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เปรียบเทียบทุก Solution" sheetId="1" state="visible" r:id="rId1"/>
    <sheet name="Solution-1" sheetId="2" state="visible" r:id="rId2"/>
    <sheet name="Solution-2" sheetId="3" state="visible" r:id="rId3"/>
    <sheet name="Solution-3" sheetId="4" state="visible" r:id="rId4"/>
    <sheet name="Solution-4" sheetId="5" state="visible" r:id="rId5"/>
    <sheet name="Solution-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9">
    <font>
      <name val="Calibri"/>
      <family val="2"/>
      <color theme="1"/>
      <sz val="11"/>
      <scheme val="minor"/>
    </font>
    <font>
      <name val="Segoe UI"/>
      <b val="1"/>
      <color rgb="001F497D"/>
      <sz val="13"/>
    </font>
    <font>
      <name val="Segoe UI"/>
      <i val="1"/>
      <color rgb="00595959"/>
      <sz val="9.5"/>
    </font>
    <font>
      <name val="Segoe UI"/>
      <b val="1"/>
      <color rgb="001F497D"/>
      <sz val="11"/>
    </font>
    <font>
      <name val="Segoe UI"/>
      <b val="1"/>
      <color rgb="00FFFFFF"/>
      <sz val="10"/>
    </font>
    <font>
      <name val="Segoe UI"/>
      <b val="1"/>
      <sz val="9.5"/>
    </font>
    <font>
      <name val="Segoe UI"/>
      <sz val="9"/>
    </font>
    <font>
      <name val="Segoe UI"/>
      <b val="1"/>
      <color rgb="00002060"/>
      <sz val="15"/>
    </font>
    <font>
      <name val="Segoe UI"/>
      <b val="1"/>
      <color rgb="00006100"/>
      <sz val="16"/>
    </font>
    <font>
      <name val="Segoe UI"/>
      <b val="1"/>
      <color rgb="00006100"/>
      <sz val="12"/>
    </font>
    <font>
      <name val="Segoe UI"/>
      <b val="1"/>
      <color rgb="00002060"/>
      <sz val="10"/>
    </font>
    <font>
      <name val="Segoe UI"/>
      <b val="1"/>
      <color rgb="00002060"/>
      <sz val="11"/>
    </font>
    <font>
      <name val="Segoe UI"/>
      <b val="1"/>
      <color rgb="00002060"/>
      <sz val="14"/>
    </font>
    <font>
      <name val="Segoe UI"/>
      <b val="1"/>
      <color rgb="001F497D"/>
      <sz val="14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006100"/>
      <sz val="13"/>
    </font>
  </fonts>
  <fills count="9">
    <fill>
      <patternFill/>
    </fill>
    <fill>
      <patternFill patternType="gray125"/>
    </fill>
    <fill>
      <patternFill patternType="solid">
        <fgColor rgb="00F2F4F7"/>
        <bgColor rgb="00F2F4F7"/>
      </patternFill>
    </fill>
    <fill>
      <patternFill patternType="solid">
        <fgColor rgb="001F497D"/>
        <bgColor rgb="001F497D"/>
      </patternFill>
    </fill>
    <fill>
      <patternFill patternType="solid">
        <fgColor rgb="00002060"/>
        <bgColor rgb="00002060"/>
      </patternFill>
    </fill>
    <fill>
      <patternFill patternType="solid">
        <fgColor rgb="00DCE6F1"/>
        <bgColor rgb="00DCE6F1"/>
      </patternFill>
    </fill>
    <fill>
      <patternFill patternType="solid">
        <fgColor rgb="00C6EFCE"/>
        <bgColor rgb="00C6EFCE"/>
      </patternFill>
    </fill>
    <fill>
      <patternFill patternType="solid">
        <fgColor rgb="00366092"/>
        <bgColor rgb="00366092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left" vertical="center" wrapText="1"/>
    </xf>
    <xf numFmtId="165" fontId="18" fillId="6" borderId="1" applyAlignment="1" pivotButton="0" quotePrefix="0" xfId="0">
      <alignment horizontal="center" vertical="center"/>
    </xf>
    <xf numFmtId="2" fontId="16" fillId="8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165" fontId="11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vertical="center" wrapText="1"/>
    </xf>
    <xf numFmtId="2" fontId="16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wrapText="1"/>
    </xf>
    <xf numFmtId="0" fontId="4" fillId="4" borderId="1" applyAlignment="1" pivotButton="0" quotePrefix="0" xfId="0">
      <alignment horizontal="left" vertical="center" wrapText="1"/>
    </xf>
    <xf numFmtId="1" fontId="7" fillId="5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164" fontId="6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2" fontId="10" fillId="5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/>
    </xf>
    <xf numFmtId="165" fontId="5" fillId="0" borderId="1" applyAlignment="1" pivotButton="0" quotePrefix="0" xfId="0">
      <alignment horizontal="center" vertical="center"/>
    </xf>
    <xf numFmtId="2" fontId="11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165" fontId="1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4" customWidth="1" min="3" max="3"/>
    <col width="18" customWidth="1" min="4" max="4"/>
    <col width="14" customWidth="1" min="5" max="5"/>
    <col width="17" customWidth="1" min="6" max="6"/>
    <col width="18" customWidth="1" min="7" max="7"/>
    <col width="16" customWidth="1" min="8" max="8"/>
    <col width="14" customWidth="1" min="9" max="9"/>
    <col width="28" customWidth="1" min="10" max="10"/>
    <col width="35" customWidth="1" min="11" max="11"/>
    <col width="35" customWidth="1" min="12" max="12"/>
    <col width="35" customWidth="1" min="13" max="13"/>
    <col width="22" customWidth="1" min="14" max="14"/>
    <col width="45" customWidth="1" min="15" max="15"/>
  </cols>
  <sheetData>
    <row r="1">
      <c r="A1" s="1" t="inlineStr">
        <is>
          <t>ตารางเปรียบเทียบความเป็นไปได้ของทุกข้อเสนอ (Multi-Solution Feasibility Summary)</t>
        </is>
      </c>
    </row>
    <row r="2">
      <c r="A2" s="2" t="inlineStr">
        <is>
          <t>วิเคราะห์เปรียบเทียบเชิงระบบตามเกณฑ์ TELOS 5 เสาหลัก (เต็ม 100) และเมทริกซ์ศักยภาพด้านวิศวกรรมหุ่นยนต์ (เต็ม 10 แยกอิสระ)</t>
        </is>
      </c>
    </row>
    <row r="4" ht="28" customHeight="1">
      <c r="A4" s="3" t="inlineStr">
        <is>
          <t>ลำดับ</t>
        </is>
      </c>
      <c r="B4" s="3" t="inlineStr">
        <is>
          <t>รหัสข้อเสนอ (Solution ID)</t>
        </is>
      </c>
      <c r="C4" s="3" t="inlineStr">
        <is>
          <t>ชื่อแนวทางแก้ปัญหา (Title / Concept)</t>
        </is>
      </c>
      <c r="D4" s="3" t="inlineStr">
        <is>
          <t>คะแนนรวม (เต็ม 100)</t>
        </is>
      </c>
      <c r="E4" s="3" t="inlineStr">
        <is>
          <t>T: เทคนิค (/20)</t>
        </is>
      </c>
      <c r="F4" s="3" t="inlineStr">
        <is>
          <t>E: เศรษฐศาสตร์ (/20)</t>
        </is>
      </c>
      <c r="G4" s="3" t="inlineStr">
        <is>
          <t>L: กฎหมายและสถาบัน (/20)</t>
        </is>
      </c>
      <c r="H4" s="3" t="inlineStr">
        <is>
          <t>O: ปฏิบัติการ (/20)</t>
        </is>
      </c>
      <c r="I4" s="3" t="inlineStr">
        <is>
          <t>S: แผนงาน (/20)</t>
        </is>
      </c>
      <c r="J4" s="3" t="inlineStr">
        <is>
          <t>ผลการประเมิน (Verdict)</t>
        </is>
      </c>
      <c r="K4" s="3" t="inlineStr">
        <is>
          <t>จุดแข็งสำคัญ (Key Strengths)</t>
        </is>
      </c>
      <c r="L4" s="3" t="inlineStr">
        <is>
          <t>จุดติดขัดวิกฤต (Critical Bottlenecks)</t>
        </is>
      </c>
      <c r="M4" s="3" t="inlineStr">
        <is>
          <t>คำแนะนำเชิงระบบ (Strategic Advice)</t>
        </is>
      </c>
      <c r="N4" s="4" t="inlineStr">
        <is>
          <t>Robotics Potential (/10)</t>
        </is>
      </c>
      <c r="O4" s="4" t="inlineStr">
        <is>
          <t>เหตุผลความเข้ากันได้ด้านหุ่นยนต์ (Robotics Engineering Rationale)</t>
        </is>
      </c>
    </row>
    <row r="5" ht="55" customHeight="1">
      <c r="A5" s="5" t="n">
        <v>1</v>
      </c>
      <c r="B5" s="6" t="inlineStr">
        <is>
          <t>Solution-1</t>
        </is>
      </c>
      <c r="C5" s="7" t="inlineStr">
        <is>
          <t>Recession Rate (dh/dt) Predictive Filtering for QRT Dispatch (Ann Arbor Case)</t>
        </is>
      </c>
      <c r="D5" s="8">
        <f>'Solution-1'!Q9</f>
        <v/>
      </c>
      <c r="E5" s="9">
        <f>'Solution-1'!D17</f>
        <v/>
      </c>
      <c r="F5" s="9">
        <f>'Solution-1'!D18</f>
        <v/>
      </c>
      <c r="G5" s="9">
        <f>'Solution-1'!D19</f>
        <v/>
      </c>
      <c r="H5" s="9">
        <f>'Solution-1'!D20</f>
        <v/>
      </c>
      <c r="I5" s="9">
        <f>'Solution-1'!D21</f>
        <v/>
      </c>
      <c r="J5" s="10">
        <f>'Solution-1'!Q12</f>
        <v/>
      </c>
      <c r="K5" s="11" t="inlineStr">
        <is>
          <t>ใช้สมการอนุพันธ์ชลศาสตร์คำนวณอัตราน้ำลด dh/dt เทียบกับเวลาเดินทาง 20-30 นาที ตัด Empty Cases ได้ 40-50% สมาชิกแบ่งงานชัดเจน ต้นทุนต่ำ (&lt; 3,500 บ.)</t>
        </is>
      </c>
      <c r="L5" s="11" t="inlineStr">
        <is>
          <t>ต้องมีหลักฐาน Digital Evidence Card ประกอบการปิดงานบน Traffy Fondue และเซนเซอร์ต้องกรองฟองคลื่นน้ำเพื่อเลี่ยง Derivative Kick</t>
        </is>
      </c>
      <c r="M5" s="11" t="inlineStr">
        <is>
          <t>พัฒนาโมดูลคำนวณ dh/dt บน Python/ROS 2 ร่วมกับ Screw Terminal Shield และออกแบบ Median Filter กรองสัญญาณผิวน้ำ</t>
        </is>
      </c>
      <c r="N5" s="12" t="n">
        <v>7.5</v>
      </c>
      <c r="O5" s="7" t="inlineStr">
        <is>
          <t>มีความเข้ากันได้สูงในแกนคณิตศาสตร์วิศวกรรม ทฤษฎีระบบควบคุม (Control Theory) และการประมวลผลสัญญาณ (Signal Processing &amp; State Estimation) ของ JK แต่คะแนนอยู่ที่ 7.5 เนื่องจากขาด Physical Actuation และกลไกการเคลื่อนที่</t>
        </is>
      </c>
    </row>
    <row r="6" ht="55" customHeight="1">
      <c r="A6" s="13" t="n">
        <v>2</v>
      </c>
      <c r="B6" s="14" t="inlineStr">
        <is>
          <t>Solution-2</t>
        </is>
      </c>
      <c r="C6" s="15" t="inlineStr">
        <is>
          <t>PUB Singapore CWOS 2-Factor Authentication Dispatch Filter</t>
        </is>
      </c>
      <c r="D6" s="8">
        <f>'Solution-2'!Q9</f>
        <v/>
      </c>
      <c r="E6" s="16">
        <f>'Solution-2'!D17</f>
        <v/>
      </c>
      <c r="F6" s="16">
        <f>'Solution-2'!D18</f>
        <v/>
      </c>
      <c r="G6" s="16">
        <f>'Solution-2'!D19</f>
        <v/>
      </c>
      <c r="H6" s="16">
        <f>'Solution-2'!D20</f>
        <v/>
      </c>
      <c r="I6" s="16">
        <f>'Solution-2'!D21</f>
        <v/>
      </c>
      <c r="J6" s="17">
        <f>'Solution-2'!Q12</f>
        <v/>
      </c>
      <c r="K6" s="18" t="inlineStr">
        <is>
          <t>กรองการสั่งการเจ้าหน้าที่หน่วยเคลื่อนที่เร็วด้วยปัจจัยคู่ (Radar Rainfall API + Ultrasonic Water Level) สกัด False Alarms ฝนตกไม่ท่วมได้เด็ดขาด ต้นทุนต่ำมาก</t>
        </is>
      </c>
      <c r="L6" s="18" t="inlineStr">
        <is>
          <t>ต้องพึ่งพา Radar Rainfall API ภายนอก หาก API ล่มหรือข้อมูลดีเลย์ 10-15 นาที จะกระทบการตัดสินใจ</t>
        </is>
      </c>
      <c r="M6" s="18" t="inlineStr">
        <is>
          <t>ทำระบบ Fallback ไปใช้ค่าจากเซนเซอร์ระดับน้ำหน้างานแบบเดี่ยวหาก API ขาดการเชื่อมต่อ และเชื่อมเข้า LINE Official ของเขต</t>
        </is>
      </c>
      <c r="N6" s="12" t="n">
        <v>5</v>
      </c>
      <c r="O6" s="15" t="inlineStr">
        <is>
          <t>มีความเข้ากันได้ในแกนการประมวลผลข้อมูลและสถาปัตยกรรมตรรกะควบคุม (Control &amp; Decision Logic) แต่ขาดแกนกลไก (Mechanics) และ Actuation ของหุ่นยนต์อย่างสิ้นเชิง คะแนนจึงอยู่ที่ 5.0</t>
        </is>
      </c>
    </row>
    <row r="7" ht="55" customHeight="1">
      <c r="A7" s="5" t="n">
        <v>3</v>
      </c>
      <c r="B7" s="6" t="inlineStr">
        <is>
          <t>Solution-3</t>
        </is>
      </c>
      <c r="C7" s="7" t="inlineStr">
        <is>
          <t>Acoustic Sewer Measurement &amp; Pre-Screening Maintenance (UK/USA SL-RAT Case)</t>
        </is>
      </c>
      <c r="D7" s="8">
        <f>'Solution-3'!Q9</f>
        <v/>
      </c>
      <c r="E7" s="9">
        <f>'Solution-3'!D17</f>
        <v/>
      </c>
      <c r="F7" s="9">
        <f>'Solution-3'!D18</f>
        <v/>
      </c>
      <c r="G7" s="9">
        <f>'Solution-3'!D19</f>
        <v/>
      </c>
      <c r="H7" s="9">
        <f>'Solution-3'!D20</f>
        <v/>
      </c>
      <c r="I7" s="9">
        <f>'Solution-3'!D21</f>
        <v/>
      </c>
      <c r="J7" s="10">
        <f>'Solution-3'!Q12</f>
        <v/>
      </c>
      <c r="K7" s="11" t="inlineStr">
        <is>
          <t>คัดกรองสภาพความสะอาดท่อระบายน้ำด้วยคลื่นเสียงสะท้อน (Acoustic SL-RAT) จัดเทียร์ 3 กลุ่ม (0-3 ล้างทันที, 4-6 จัดคิว, 7-10 ปกติ) ลดงบขุดลอกสุ่มได้มหาศาล</t>
        </is>
      </c>
      <c r="L7" s="11" t="inlineStr">
        <is>
          <t>หัววัด Transducer มีต้นทุนสูง และการปฏิบัติงานต้องเปิดฝาท่อริมถนนสาธารณะ เสี่ยงต่อความปลอดภัยทางจราจรและต้องขออนุญาต กทม.</t>
        </is>
      </c>
      <c r="M7" s="11" t="inlineStr">
        <is>
          <t>ใช้ชุด Acoustic Horn ที่ขึ้นรูปด้วย 3D Print ร่วมกับลำโพง/ไมค์กันน้ำ COTS และกำหนด SOP ติดตั้งกรวยจราจรรอบฝาท่อ 5 เมตร</t>
        </is>
      </c>
      <c r="N7" s="12" t="n">
        <v>8.5</v>
      </c>
      <c r="O7" s="7" t="inlineStr">
        <is>
          <t>มีความเข้ากันได้อย่างโดดเด่นในแกน Perception &amp; Sensing ขั้นสูง และการประมวลผลสัญญาณ (DSP / Frequency Domain Analysis) รวมถึงกลไกการทำงานหน้างานในระบบท่อใต้ดิน จัดเป็นหัวข้อวิศวกรรมหุ่นยนต์ตรวจสอบโครงสร้างพื้นฐาน (Infrastructure Inspection Robotics)</t>
        </is>
      </c>
    </row>
    <row r="8" ht="55" customHeight="1">
      <c r="A8" s="13" t="n">
        <v>4</v>
      </c>
      <c r="B8" s="14" t="inlineStr">
        <is>
          <t>Solution-4</t>
        </is>
      </c>
      <c r="C8" s="15" t="inlineStr">
        <is>
          <t>Jakarta Drainage Pipe Telemetry &amp; Prioritized Flushing DSS</t>
        </is>
      </c>
      <c r="D8" s="8">
        <f>'Solution-4'!Q9</f>
        <v/>
      </c>
      <c r="E8" s="16">
        <f>'Solution-4'!D17</f>
        <v/>
      </c>
      <c r="F8" s="16">
        <f>'Solution-4'!D18</f>
        <v/>
      </c>
      <c r="G8" s="16">
        <f>'Solution-4'!D19</f>
        <v/>
      </c>
      <c r="H8" s="16">
        <f>'Solution-4'!D20</f>
        <v/>
      </c>
      <c r="I8" s="16">
        <f>'Solution-4'!D21</f>
        <v/>
      </c>
      <c r="J8" s="17">
        <f>'Solution-4'!Q12</f>
        <v/>
      </c>
      <c r="K8" s="18" t="inlineStr">
        <is>
          <t>ติดตั้งโครงข่ายเซนเซอร์วัดระดับน้ำและตะกอนใต้ท่อระบายน้ำเมือง พร้อมระบบจัดลำดับคิวรถล้างท่ออัตโนมัติ จัดการปัญหาเชิงพื้นที่ได้เป็นระบบ</t>
        </is>
      </c>
      <c r="L8" s="18" t="inlineStr">
        <is>
          <t>สภาพแวดล้อมใต้ท่อมีก๊าซไข่เน่า H2S และคราบไขมันกัดกร่อนสูงมาก และการติดตั้งใต้ฝาท่อเป็นพื้นที่อับอากาศ (Confined Space)</t>
        </is>
      </c>
      <c r="M8" s="18" t="inlineStr">
        <is>
          <t>ใช้วัสดุกล่อง Polycarbonate เคลือบ Conformal Coating ป้องกันก๊าซกัดกร่อน และนำเซนเซอร์ Non-contact มาใช้ทดแทน</t>
        </is>
      </c>
      <c r="N8" s="12" t="n">
        <v>6.5</v>
      </c>
      <c r="O8" s="15" t="inlineStr">
        <is>
          <t>มีความเข้ากันได้ในแกน Sensor Network, Telemetry, Embedded IoT และการวิเคราะห์โครงข่ายท่อระบายน้ำ แต่คะแนนอยู่ที่ 6.5 เนื่องจากระบบเน้นหนักที่การติดตั้งเซนเซอร์ประจำที่ (Stationary Sensing Rig) มากกว่าหุ่นยนต์เคลื่อนที่อัตโนมัติ</t>
        </is>
      </c>
    </row>
    <row r="9" ht="55" customHeight="1">
      <c r="A9" s="5" t="n">
        <v>5</v>
      </c>
      <c r="B9" s="6" t="inlineStr">
        <is>
          <t>Solution-5</t>
        </is>
      </c>
      <c r="C9" s="7" t="inlineStr">
        <is>
          <t>UHI Latent Heat Precision Road Cooling (Micro-dosing 0.2-0.4 mm Evaporative Spraying)</t>
        </is>
      </c>
      <c r="D9" s="8">
        <f>'Solution-5'!Q9</f>
        <v/>
      </c>
      <c r="E9" s="9">
        <f>'Solution-5'!D17</f>
        <v/>
      </c>
      <c r="F9" s="9">
        <f>'Solution-5'!D18</f>
        <v/>
      </c>
      <c r="G9" s="9">
        <f>'Solution-5'!D19</f>
        <v/>
      </c>
      <c r="H9" s="9">
        <f>'Solution-5'!D20</f>
        <v/>
      </c>
      <c r="I9" s="9">
        <f>'Solution-5'!D21</f>
        <v/>
      </c>
      <c r="J9" s="10">
        <f>'Solution-5'!Q12</f>
        <v/>
      </c>
      <c r="K9" s="11" t="inlineStr">
        <is>
          <t>ระบบพ่นละอองน้ำละเอียด (0.2–0.4 mm) ระบายความร้อนผิวทางเท้าและถนนด้วยความร้อนแฝงการกลายเป็นไอ (Latent Heat) มีศักยภาพด้าน Mechatronics และ Actuation สูงสุด</t>
        </is>
      </c>
      <c r="L9" s="11" t="inlineStr">
        <is>
          <t>การพ่นน้ำบนถนนหลวงมีความเสี่ยงต่อกฎหมายจราจร (ผิวทางลื่น) และโครงสร้างบูมฉีดน้ำบนรถเสี่ยงต่อการสั่นสะเทือนและหัวฉีดอุดตันจากตะกรัน</t>
        </is>
      </c>
      <c r="M9" s="11" t="inlineStr">
        <is>
          <t>ติดตั้งเซนเซอร์วัดความชื้นผิวถนนแบบเรียลไทม์เพื่อตัดการฉีดพ่นทันที และติดตั้งระบบกรองน้ำ 2 ชั้น (Sediment + Anti-scale)</t>
        </is>
      </c>
      <c r="N9" s="12" t="n">
        <v>9</v>
      </c>
      <c r="O9" s="7" t="inlineStr">
        <is>
          <t>มีความเข้ากันได้อย่างสมบูรณ์แบบสูงสุดกับหลักสูตรวิศวกรรมหุ่นยนต์และระบบอัตโนมัติ (FIBO) ครบทั้ง 3 เสาหลัก: Perception (Thermal Imaging), Control (Thermodynamic Closed-loop Control) และ Actuation/Mechatronics (Vehicle-mounted High-pressure Hydraulics &amp; Mechanics) ได้คะแนน 9.0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7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</cols>
  <sheetData>
    <row r="1">
      <c r="A1" s="19" t="inlineStr">
        <is>
          <t>เมทริกซ์ประเมินความเป็นไปได้เชิงระบบ TELOS+S: Recession Rate (dh/dt) Predictive Filtering for QRT Dispatch (Ann Arbor Case)</t>
        </is>
      </c>
    </row>
    <row r="2">
      <c r="A2" s="20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21" t="inlineStr">
        <is>
          <t>รหัสคำถาม (Question Code)</t>
        </is>
      </c>
      <c r="B4" s="22" t="inlineStr">
        <is>
          <t>T-01</t>
        </is>
      </c>
      <c r="C4" s="22" t="inlineStr">
        <is>
          <t>T-02</t>
        </is>
      </c>
      <c r="D4" s="22" t="inlineStr">
        <is>
          <t>E-01</t>
        </is>
      </c>
      <c r="E4" s="22" t="inlineStr">
        <is>
          <t>E-02</t>
        </is>
      </c>
      <c r="F4" s="22" t="inlineStr">
        <is>
          <t>E-03</t>
        </is>
      </c>
      <c r="G4" s="22" t="inlineStr">
        <is>
          <t>L-01</t>
        </is>
      </c>
      <c r="H4" s="22" t="inlineStr">
        <is>
          <t>L-02</t>
        </is>
      </c>
      <c r="I4" s="22" t="inlineStr">
        <is>
          <t>O-01</t>
        </is>
      </c>
      <c r="J4" s="22" t="inlineStr">
        <is>
          <t>O-02</t>
        </is>
      </c>
      <c r="K4" s="22" t="inlineStr">
        <is>
          <t>O-03</t>
        </is>
      </c>
      <c r="L4" s="22" t="inlineStr">
        <is>
          <t>O-04</t>
        </is>
      </c>
      <c r="M4" s="22" t="inlineStr">
        <is>
          <t>O-05</t>
        </is>
      </c>
      <c r="N4" s="22" t="inlineStr">
        <is>
          <t>O-06</t>
        </is>
      </c>
      <c r="O4" s="22" t="inlineStr">
        <is>
          <t>S-01</t>
        </is>
      </c>
      <c r="P4" s="22" t="inlineStr">
        <is>
          <t>S-02</t>
        </is>
      </c>
      <c r="Q4" s="22" t="inlineStr">
        <is>
          <t>สรุปภาพรวม (SUMMARY)</t>
        </is>
      </c>
    </row>
    <row r="5" ht="24" customHeight="1">
      <c r="A5" s="23" t="inlineStr">
        <is>
          <t>มิติการประเมิน (TELOS+S Pillar)</t>
        </is>
      </c>
      <c r="B5" s="24" t="inlineStr">
        <is>
          <t>ด้านเทคนิค (Technical Feasibility)</t>
        </is>
      </c>
      <c r="C5" s="24" t="inlineStr">
        <is>
          <t>ด้านเทคนิค (Technical Feasibility)</t>
        </is>
      </c>
      <c r="D5" s="24" t="inlineStr">
        <is>
          <t>ด้านเศรษฐศาสตร์ (Economic Feasibility)</t>
        </is>
      </c>
      <c r="E5" s="24" t="inlineStr">
        <is>
          <t>ด้านเศรษฐศาสตร์ (Economic Feasibility)</t>
        </is>
      </c>
      <c r="F5" s="24" t="inlineStr">
        <is>
          <t>ด้านเศรษฐศาสตร์ (Economic Feasibility)</t>
        </is>
      </c>
      <c r="G5" s="24" t="inlineStr">
        <is>
          <t>ด้านกฎหมายและสถาบัน (Legal &amp; Institutional Feasibility)</t>
        </is>
      </c>
      <c r="H5" s="24" t="inlineStr">
        <is>
          <t>ด้านกฎหมายและสถาบัน (Legal &amp; Institutional Feasibility)</t>
        </is>
      </c>
      <c r="I5" s="24" t="inlineStr">
        <is>
          <t>ด้านการปฏิบัติการ (Operational Feasibility)</t>
        </is>
      </c>
      <c r="J5" s="24" t="inlineStr">
        <is>
          <t>ด้านการปฏิบัติการ (Operational Feasibility)</t>
        </is>
      </c>
      <c r="K5" s="24" t="inlineStr">
        <is>
          <t>ด้านการปฏิบัติการ (Operational Feasibility)</t>
        </is>
      </c>
      <c r="L5" s="24" t="inlineStr">
        <is>
          <t>ด้านการปฏิบัติการ (Operational Feasibility)</t>
        </is>
      </c>
      <c r="M5" s="24" t="inlineStr">
        <is>
          <t>ด้านการปฏิบัติการ (Operational Feasibility)</t>
        </is>
      </c>
      <c r="N5" s="24" t="inlineStr">
        <is>
          <t>ด้านการปฏิบัติการ (Operational Feasibility)</t>
        </is>
      </c>
      <c r="O5" s="24" t="inlineStr">
        <is>
          <t>ด้านแผนงานและเวลา (Schedule Feasibility)</t>
        </is>
      </c>
      <c r="P5" s="24" t="inlineStr">
        <is>
          <t>ด้านแผนงานและเวลา (Schedule Feasibility)</t>
        </is>
      </c>
      <c r="Q5" s="25" t="inlineStr">
        <is>
          <t>ผลรวมทุกมิติ (All Pillars)</t>
        </is>
      </c>
    </row>
    <row r="6" ht="80" customHeight="1">
      <c r="A6" s="23" t="inlineStr">
        <is>
          <t>คำถามทดสอบความเสี่ยงจริง (Stress-Test Question)</t>
        </is>
      </c>
      <c r="B6" s="26" t="inlineStr">
        <is>
          <t>Implementation (Build vs. Buy Burden): โครงการมีความจำเป็นต้องวิจัยและพัฒนาชิ้นส่วนขึ้นเอง (Build from Scratch) มากน้อยเพียงใด หรือสามารถจัดหาโมดูลสำเร็จรูปมาตรฐาน (COTS) มาประกอบและปรับแต่งได้โดยตรง?</t>
        </is>
      </c>
      <c r="C6" s="26" t="inlineStr">
        <is>
          <t>Team Redundancy (Bus Factor): มีจำนวนสมาชิกในทีมกี่คนที่เข้าใจสถาปัตยกรรมทั้งเชิงกล วงจรไฟฟ้า และโค้ด จนสามารถพัฒนา ประกอบ และแก้ไขข้อผิดพลาดของระบบย่อยนี้ได้อย่างอิสระ?</t>
        </is>
      </c>
      <c r="D6" s="26" t="inlineStr">
        <is>
          <t>ROI (Payback Period / Value Horizon): โครงการมีระยะเวลาคืนทุน (Payback Period) และความคุ้มค่าในการลดความสูญเสียหรือลดค่าใช้จ่ายในการดำเนินงาน (OpEx Reduction) รวดเร็วเพียงใด?</t>
        </is>
      </c>
      <c r="E6" s="26" t="inlineStr">
        <is>
          <t>Dependencies of Component (Vendor Lock-in &amp; Service Autonomy): ระบบมีความเป็นอิสระจากการผูกขาดของผู้ผลิต (Vendor Lock-in) มากน้อยเพียงใด และทีมงานหรือวิศวกรทั่วไปสามารถซ่อมบำรุงด้วยเครื่องมือเปิดได้เองหรือไม่?</t>
        </is>
      </c>
      <c r="F6" s="26" t="inlineStr">
        <is>
          <t>Scrap Margin (Safety Allowance for Blown ICs &amp; Iterations): โครงการมีการจัดสรรงบประมาณสำรองสำหรับชิ้นส่วนทดแทนกรณีเสียหาย (Scrap Margin) และการทดลองซ้ำ (Iterations) ในสัดส่วนเท่าใดของรายการวัสดุ (BOM)?</t>
        </is>
      </c>
      <c r="G6" s="26" t="inlineStr">
        <is>
          <t>Felony and Civil Law (Regulatory &amp; Public Safety Compliance): ระบบและการติดตั้งมีความสอดคล้องต่อข้อบังคับทางกฎหมายอาญา แพ่ง ระเบียบจราจร และการคุ้มครองข้อมูลส่วนบุคคล (PDPA / Public Safety) โดยไม่สร้างความรับผิดทางกฎหมายหรือไม่?</t>
        </is>
      </c>
      <c r="H6" s="26" t="inlineStr">
        <is>
          <t>IP and Licensing: ทรัพย์สินทางปัญญา ซอฟต์แวร์ไลบรารี และสิทธิบัตรที่นำมาใช้ มีความเปิดกว้างและปลอดภาระผูกพันทางการค้าหรือการละเมิดลิขสิทธิ์ (Licensing Freedom) มากน้อยเพียงใด?</t>
        </is>
      </c>
      <c r="I6" s="26" t="inlineStr">
        <is>
          <t>User — Implementation (Field Deployment / Setup Friction): ขั้นตอนการติดตั้ง ติดตั้งเครื่องมือ ปรับเทียบศูนย์ (Calibration) และเตรียมพร้อมใช้งานหน้างานจริงโดยผู้ปฏิบัติงาน มีความยุ่งยากหรือกินเวลาเพียงใด?</t>
        </is>
      </c>
      <c r="J6" s="26" t="inlineStr">
        <is>
          <t>User — Customer / Public Safety &amp; Failsafes: มาตรการรักษาความปลอดภัย การป้องกันอุบัติเหตุ (Failsafes, Interlocks, E-stops) และการควบคุมอันตรายต่อเจ้าหน้าที่และสาธารณชนมีความรัดกุมเพียงใด?</t>
        </is>
      </c>
      <c r="K6" s="26" t="inlineStr">
        <is>
          <t>User — Behavior &amp; Workflow Disruption: ระบบสร้างภาระงานเอกสาร ขั้นตอนปฏิบัติงาน หรือบังคับเปลี่ยนพฤติกรรมเจ้าหน้าที่หน้างาน (SOP Disruption) มากน้อยเพียงใด?</t>
        </is>
      </c>
      <c r="L6" s="26" t="inlineStr">
        <is>
          <t>Developer — Task Dependency (Critical Path Architecture): สถาปัตยกรรมการพัฒนาฮาร์ดแวร์ ไฟฟ้า และซอฟต์แวร์ มีการเชื่อมต่อแบบขนาน (Parallel Architecture / Modularity) หรือผูกติดกันเป็นเส้นตรงบนเส้นทางวิกฤต (Critical Path)?</t>
        </is>
      </c>
      <c r="M6" s="26" t="inlineStr">
        <is>
          <t>Developer — Contribution Dependency (Bureaucratic &amp; Lab Gatekeeping): การเข้าถึงเครื่องมือในห้องปฏิบัติการ การอนุมัติงบประมาณ และกระบวนการทางธุรการ (Lab Access &amp; Purchasing Bureaucracy) มีอุปสรรคขัดขวางความคล่องตัวเพียงใด?</t>
        </is>
      </c>
      <c r="N6" s="26" t="inlineStr">
        <is>
          <t>Developer — Task &amp; Skill Compatibility: ความเข้ากันได้ระหว่างทักษะเดิมของทีมกับเทคโนโลยีสแตกของระบบ (Task &amp; Skill Compatibility: 'Water and Oil' vs. 'Oil and Engine') อยู่ในระดับใด?</t>
        </is>
      </c>
      <c r="O6" s="26" t="inlineStr">
        <is>
          <t>Production Time (Engineering Design Maturity by Milestone): ความพร้อมของแบบวิศวกรรม (3D CAD, Schematics, PCB Gerbers, Firmware Architecture, BOM) อยู่ในระดับความสมบูรณ์ใดเทียบกับหมุดหมายการผลิตจริง?</t>
        </is>
      </c>
      <c r="P6" s="26" t="inlineStr">
        <is>
          <t>Shipping (Component Procurement Lead Time): ระยะเวลาในการจัดหาและขนส่งชิ้นส่วน อุปกรณ์ และเซนเซอร์ (Procurement Lead Time) อยู่ในกรอบเวลาที่ปลอดภัยต่อกำหนดส่งมอบงานหรือไม่?</t>
        </is>
      </c>
      <c r="Q6" s="27" t="inlineStr">
        <is>
          <t>ประเมินคำถามทั้งสิ้น 15 ข้อ</t>
        </is>
      </c>
    </row>
    <row r="7" ht="95" customHeight="1">
      <c r="A7" s="23" t="inlineStr">
        <is>
          <t>เหตุผลในการถาม &amp; โหมดความล้มเหลวที่เฝ้าระวัง (Rationale)</t>
        </is>
      </c>
      <c r="B7" s="26" t="inlineStr">
        <is>
          <t>มุ่งตรวจสอบ Build vs. Buy Burden และ Machine Access หากระบบต้อง R&amp;D กลไกหรือวงจรขึ้นเอง 100% โดยไม่มี Reference Design จะเกิดความเสี่ยงวิกฤตต่อกรอบเวลาของโครงงานวิศวกรรม</t>
        </is>
      </c>
      <c r="C7" s="26" t="inlineStr">
        <is>
          <t>ตรวจสอบความต่อเนื่องของทีม (Team Knowledge Distribution) ป้องกัน Single Point of Failure หากมีผู้เชี่ยวชาญเพียงคนเดียวเมื่อติดสอบหรือเจ็บป่วยโครงการจะล้มเหลวทันที</t>
        </is>
      </c>
      <c r="D7" s="26" t="inlineStr">
        <is>
          <t>ประเมินความคุ้มค่าในการลงทุนและระยะเวลาคืนทุนเชิงสาธารณูปโภคหรือเชิงพาณิชย์ เทียบกับเงินลงทุนเริ่มต้น (CapEx) และเงินประหยัดค่าแรงงาน/ค่าน้ำมันหน้างาน</t>
        </is>
      </c>
      <c r="E7" s="26" t="inlineStr">
        <is>
          <t>ตรวจสอบภาระค่าใช้จ่ายแฝงระยะยาว (Recurring Cloud/Licensing Fees) และความเสี่ยงจากการถูกผูกขาดด้วยฮาร์ดแวร์หรือระบบคลาวด์ปิดของผู้ผลิตรายเดียว</t>
        </is>
      </c>
      <c r="F7" s="26" t="inlineStr">
        <is>
          <t>ตรวจสอบ The Scrap Budget Rule งานฮาร์ดแวร์มีความเสี่ยงต่อชิปไหม้ แผ่นวงจรช็อต หรือขายึดหัก หากไม่มีงบสำรองจัดซื้อชุดที่ 2 การพัฒนาจะหยุดชะงักทันที</t>
        </is>
      </c>
      <c r="G7" s="26" t="inlineStr">
        <is>
          <t>ตรวจสอบความเสี่ยงต่อการทำผิดกฎหมายสาธารณะ (พ.ร.บ. จราจรทางบก, พ.ร.บ. คุ้มครองข้อมูลส่วนบุคคล PDPA, กฎหมายสิ่งแวดล้อม และระเบียบทางหลวง)</t>
        </is>
      </c>
      <c r="H7" s="26" t="inlineStr">
        <is>
          <t>ตรวจสอบข้อจำกัดด้านสิทธิ์ซอฟต์แวร์และฮาร์ดแวร์ ป้องกันการติดไวรัสไลเซนส์ (Copyleft GPLv3) หรือการละเมิดสิทธิบัตรเชิงพาณิชย์ของบุคคลภายนอก</t>
        </is>
      </c>
      <c r="I7" s="26" t="inlineStr">
        <is>
          <t>ประเมินความยากลำบากของเจ้าหน้าที่หน้างาน (Field Setup Friction) หากอุปกรณ์ต้องใช้เวลาตั้งค่าหรือ Calibrate นานเกินไป เจ้าหน้าที่จะปฏิเสธการใช้งาน</t>
        </is>
      </c>
      <c r="J7" s="26" t="inlineStr">
        <is>
          <t>ตรวจสอบความปลอดภัยต่อชีวิตและทรัพย์สิน ป้องกันอันตรายจากไฟฟ้าแรงสูง สารเคมี ก๊าซพิษในที่อับอากาศ หรืออุบัติเหตุทางรถยนต์ขณะปฏิบัติงาน</t>
        </is>
      </c>
      <c r="K7" s="26" t="inlineStr">
        <is>
          <t>ประเมินแรงต้านจากเจ้าหน้าที่ผู้ใช้งาน (The Tech Trap) ระบบที่ดีต้องลดภาระ ไม่ใช่สร้างแบบฟอร์มเอกสารหรือบังคับเปลี่ยนกระบวนการทำงานหลัก</t>
        </is>
      </c>
      <c r="L7" s="26" t="inlineStr">
        <is>
          <t>ตรวจสอบ Critical Path การพัฒนา หากงานซอฟต์แวร์ต้องรอฮาร์ดแวร์จริงเสร็จก่อนเท่านั้น จะเกิดคอขวดสะสมจนส่งมอบงานไม่ทันกำหนด</t>
        </is>
      </c>
      <c r="M7" s="26" t="inlineStr">
        <is>
          <t>ประเมินอุปสรรคด้านการบริหารและเครื่องมือ (Institutional Gatekeeping) เช่น คิวรอเครื่องจักร การล็อกแล็บ หรือขั้นตอนเบิกจ่ายงบประมาณที่ล่าช้า</t>
        </is>
      </c>
      <c r="N7" s="26" t="inlineStr">
        <is>
          <t>ตรวจสอบความสอดคล้องระหว่างทักษะที่ทีมมีอยู่จริงกับเทคโนโลยีที่เลือกใช้ เพื่อป้องกัน Learning Curve ที่สูงเกินไปจนงานล้มเหลว</t>
        </is>
      </c>
      <c r="O7" s="26" t="inlineStr">
        <is>
          <t>ประเมินความพร้อมของพิมพ์เขียวการผลิต (Design Maturity Package) ก่อนเริ่มสั่งผลิตจริง เพื่อป้องกันการรื้อแก้แบบกลางคัน</t>
        </is>
      </c>
      <c r="P7" s="26" t="inlineStr">
        <is>
          <t>ตรวจสอบห่วงโซ่อุปทาน (Supply Chain Lead Time) ชิ้นส่วนที่ต้องรอส่งจากต่างประเทศเกิน 3 สัปดาห์ถือเป็นความเสี่ยงต่อวิกฤตสัปดาห์สอบและกำหนดส่งมอบ</t>
        </is>
      </c>
      <c r="Q7" s="27" t="inlineStr">
        <is>
          <t>สังเคราะห์จาก AI Agents Group 2</t>
        </is>
      </c>
    </row>
    <row r="8" ht="150" customHeight="1">
      <c r="A8" s="23" t="inlineStr">
        <is>
          <t>เกณฑ์การให้คะแนน (Scoring Rubric Definition: ระดับ 1, 2, 3, 4, 5 ครบทุกระดับ)</t>
        </is>
      </c>
      <c r="B8" s="26" t="inlineStr">
        <is>
          <t>1: Build from Scratch — 100% custom R&amp;D required (custom mechanism, custom PCB, raw algorithm derivation); no reference designs available.
2: Heavy Customization — Core components exist, but requires extensive custom adaptation, structural machining, and custom wrapper code.
3: Hybrid / COTS Integration — Standard COTS modules (e.g., standard dev board + breakout sensors) assembled with custom brackets and intermediate wiring.
4: Modular COTS Assembly — Pre-engineered building blocks with standard mounting and standard communication buses (e.g., Din-rail modules, I2C/CAN shields); minimal custom fabrication.
5: Commercial Off-the-Shelf (COTS) — Turnkey commercial solution; zero custom fabrication or circuitry required, immediate plug-and-play operation.</t>
        </is>
      </c>
      <c r="C8" s="26" t="inlineStr">
        <is>
          <t>1: Single Point of Failure (Bus Factor = 1) — Only 1 teammate understands the codebase/hardware; if they are absent or drop out, the project completely halts.
2: Fragile Redundancy (Bus Factor = 1.5) — 1 primary expert with minimal notes; a second member has rough familiarity but requires steep ramp-up to debug.
3: Moderate Redundancy (Bus Factor = 2) — 2 teammates can independently maintain, test, and troubleshoot the core subsystem.
4: High Team Redundancy (3+ Teammates) — 3+ teammates can actively design, assemble, and debug the subsystem with low ramp-up time.
5: Full Team Redundancy — All team members are fully proficient; tasks can be swapped across anyone with zero friction or velocity loss.</t>
        </is>
      </c>
      <c r="D8" s="26" t="inlineStr">
        <is>
          <t>1: Long Payback (≥ 10 Years) — High initial CapEx and low recurring savings; economically non-viable for rapid deployment.
2: Slow Return (6–9 Years) — Substantial capital investment with long break-even horizon; requires long-term institutional subsidization.
3: Moderate Return (3–5 Years) — Reasonable public infrastructure payback; offsets costs across multi-year operational cycles.
4: Fast Return (2–3 Years) — Strong operational cost reduction (fuel, labor, scrap); breaks even within normal equipment lifecycle.
5: Immediate Payback (≤ 1–2 Years) — Rapid break-even; eliminates major recurring losses within the first operating season.</t>
        </is>
      </c>
      <c r="E8" s="26" t="inlineStr">
        <is>
          <t>1: Total Vendor Lock-in — Proprietary cloud backend, encrypted telemetry, and proprietary connectors; completely dependent on vendor survival.
2: High Dependency — Hardware requires vendor-licensed diagnostic tools or annual subscription fees to maintain operation.
3: Semi-Independent — Core hardware relies on proprietary firmware, but allows open API export and standard electrical interfaces.
4: High Autonomy — Uses standard open communication protocols (e.g., Modbus, MQTT, CAN); parts can be serviced using generic tools.
5: Complete Independence — 100% open architecture; hardware is interchangeable with generic substitutes; self-serviceable by any engineer.</t>
        </is>
      </c>
      <c r="F8" s="26" t="inlineStr">
        <is>
          <t>1: Zero Buffer (0%) — Exactly 1x BOM purchased; any fried chip, cracked bracket, or wiring mistake kills the project.
2: Fragile Buffer (20–30%) — Spares only for passive components (resistors, connectors); no backup microcontrollers or expensive sensors.
3: Moderate Buffer (50%) — Spares for all critical passive parts and 1 spare for the primary controller board.
4: High Buffer (80%) — Spares for nearly every active component and sensor; can sustain multiple prototype burn-ins.
5: Full Redundancy (≥ 100%) — Complete 2x BOM budget on hand; can build two complete working units simultaneously.</t>
        </is>
      </c>
      <c r="G8" s="26" t="inlineStr">
        <is>
          <t>1: Severe Violation / No Privilege — Direct breach of statutory law (e.g., unconsented public surveillance/PDPA, hazardous road blockage, RF jammer).
2: High Legal Exposure — Ambiguous legal zone; high risk of civic complaints or traffic disruption; requires complex technical waivers.
3: Conditional / Requires Permit — Allowed under explicit written approval, official agency MoU, or municipal permit (e.g., BMA/Highway dept permit).
4: Low Legal Friction — Operates within standard public engineering exemptions; simple standard notification/safety compliance needed.
5: 100% Compliant / Free Domain — Completely exempt from statutory licensing; zero public safety risk, zero personal data (Zero PII), fully unrestricted.</t>
        </is>
      </c>
      <c r="H8" s="26" t="inlineStr">
        <is>
          <t>1: Closed / Commercial Barrier — Proprietary commercial license; cannot compile, flash, or operate without paying expensive commercial seat licenses.
2: Ambiguous / Gray IP — Unclear licensing terms or unlicensed GitHub repos; risk of copyright strike or IP dispute upon public demonstration.
3: Restrictive Open Source (Copyleft) — Permitted for educational use, but viral licenses (e.g., GPLv3) force your entire codebase to be made public if distributed.
4: Permissive Open Source — Open source with minimal conditions (e.g., LGPL, CC-BY); allows proprietary wrapping with simple attribution.
5: Completely Permissive / Public Domain — Permissive open source (MIT, Apache 2.0, BSD) or Public Domain; unrestricted freedom to commercialize, modify, and contribute.</t>
        </is>
      </c>
      <c r="I8" s="26" t="inlineStr">
        <is>
          <t>1: Laborious Recalibration — Requires multi-point manual physical zeroing, chemical calibration, or oscilloscope tuning before every run.
2: Complex Setup — Requires trained technician 20–30 minutes to adjust potentiometers, align brackets, or enter configuration commands.
3: Moderate Field Setup — Simple 5-minute calibration procedure (e.g., tare button or basic mobile app zeroing) performed by non-engineers.
4: Minimal Setup — Fast clamp-on mounting with automated self-calibration on power-up; ready in &lt; 1 minute.
5: True Plug and Go — Pure plug-and-play; zero calibration required, zero buttons; power on and immediately operational.</t>
        </is>
      </c>
      <c r="J8" s="26" t="inlineStr">
        <is>
          <t>1: Critical Hazard — Failure can directly cause electrocution, fire, traffic crashes, chemical exposure, or confined-space asphyxiation.
2: High Risk / Manual Oversight — High mechanical/electrical hazard requiring constant operator vigilance and full PPE.
3: Moderate Safety — Protected by passive mechanical guards, fuses, and warning labels; requires basic safety precautions.
4: High Safety &amp; Interlocks — Active software limits, hardware thermal shutoffs, and reverse polarity protection; minimal hazard on failure.
5: Inherently Safe &amp; Redundant — Failsafe by physics (cannot store lethal energy); isolated, dual-rated enclosures, redundant E-stops, zero injury risk.</t>
        </is>
      </c>
      <c r="K8" s="26" t="inlineStr">
        <is>
          <t>1: Disruptive Overhaul — Forces operators to abandon existing SOPs, adds 5+ extra tedious forms/steps, and faces fierce institutional union/worker resistance.
2: Significant Friction — Adds notable extra documentation or redundant verification steps; operators will actively look for ways to bypass it.
3: Moderate Adaptation — Modifies daily routine slightly; requires 1–2 training workshops, but delivers clear convenience trade-offs.
4: Low Friction — Integrates into existing tools (e.g., sends automated alerts to existing LINE/Telegram or ticketing dashboard); minimal change in habits.
5: Transparent / Seamless Integration — Zero workflow disruption; runs invisibly in background and automates existing manual paperwork without operator intervention.</t>
        </is>
      </c>
      <c r="L8" s="26" t="inlineStr">
        <is>
          <t>1: Strictly Sequential (Linear) — A depends on B depends on C; if the PCB fab is delayed, software and testing halt 100%.
2: Bottlenecked Pipelines — Major subsystems are tightly coupled; frequent integration stalls waiting for hardware bench access.
3: Semi-Decoupled — Hardware and software teams can work independently for 1–2 weeks using rough mockups before needing physical integration.
4: Modular Parallelism — Clear API/interface boundaries; software builds against mock data/simulators while hardware is routed; integration takes &lt; 2 days.
5: Fully Parallel Architecture — Microservices/modular nodes with standard contracts; mechanical, electrical, and firmware develop, simulate, and unit-test completely in parallel.</t>
        </is>
      </c>
      <c r="M8" s="26" t="inlineStr">
        <is>
          <t>1: Heavy Gatekeeping — Blocked by supervisor approvals, locked lab cabinets, NDA signatures, purchasing bureaucracy, and restricted git branches.
2: Moderate Bureaucracy — Requires departmental request forms, tool booking queues, and waiting 3–5 days for administrative sign-offs.
3: Standard Campus Access — Workable access during university open hours; minor approval delays for equipment or lab keys.
4: High Autonomy — Team has full repository write access, open 24/7 lab entry, and pre-approved discretionary debit cards/stipends for rapid purchases.
5: Frictionless Contribution — Complete autonomy; decentralized cloud CI/CD, local prototyping tools at home/bench, zero administrative blockers.</t>
        </is>
      </c>
      <c r="N8" s="26" t="inlineStr">
        <is>
          <t>1: Complete Mismatch ('Water and Oil') — Team has zero foundation in the stack (e.g., pure mechanical students forced to train deep neural nets in C++ from scratch).
2: Steep Learning Curve — High theoretical knowledge, but zero production hands-on experience; debugging basic syntax/wiring stalls progress.
3: Adjacent Competence — Strong mastery in related tools (e.g., proficient in Arduino/ESP32 migrating to STM32, or SolidWorks migrating to Fusion360); manageable 1-week curve.
4: Proven Experience — Team has built similar subsystems in past semester coursework or competition robots; rapid ramp-up.
5: Perfect Synergy ('Oil and Engine') — Complete domain mastery; team members have built this exact architecture multiple times with verified libraries and muscle memory.</t>
        </is>
      </c>
      <c r="O8" s="26" t="inlineStr">
        <is>
          <t>1: Concept Only (0% Design) — Napkin sketches and verbal concepts; 0% CAD models, 0% schematics, 0% code written.
2: Rough Drafts (25% Design) — Preliminary block diagrams, hand-drawn schematics, unverified parts list, incomplete 3D bounding boxes.
3: Intermediate Maturity (50% Design) — Complete CAD assembly (untested clearances), schematic capture complete, draft firmware architecture mapped out.
4: Pre-Production (80% Design) — Fully detailed 3D CAD ready for 3D print/CNC, routed PCB Gerber files validated with DRC, pinouts locked down.
5: Fully Engineered Design (100% Production Ready) — Complete drawing package: BOM with part numbers, verified manufacturing Gerbers, 2D tolerance drawings, assembly SOP, and flashing scripts ready.</t>
        </is>
      </c>
      <c r="P8" s="26" t="inlineStr">
        <is>
          <t>1: Extreme Lead Time (≥ 4 Weeks) — Custom overseas fabrication, customs clearance delays, or parts with long factory lead times (critical path hazard).
2: High Lead Time (3–4 Weeks) — Standard overseas shipping (e.g., standard AliExpress/international postal surface mail); vulnerable to logistics delays.
3: Moderate Lead Time (2 Weeks) — Express international courier (DHL, FedEx, JLCPCB express) or regional distributors (7–14 days).
4: Short Lead Time (1 Week) — Domestic couriers or express domestic stockists (3–5 business days).
5: Immediate / Next-Day (≤ 1–2 Days) — Shelf stock available locally at retail shops or next-day domestic express delivery.</t>
        </is>
      </c>
      <c r="Q8" s="27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8" t="inlineStr">
        <is>
          <t>คะแนนที่ได้รับ (ASSIGNED SCORE: 1, 2, 3, 4, 5 STRICT INTEGER)</t>
        </is>
      </c>
      <c r="B9" s="29" t="n">
        <v>4</v>
      </c>
      <c r="C9" s="29" t="n">
        <v>4</v>
      </c>
      <c r="D9" s="29" t="n">
        <v>5</v>
      </c>
      <c r="E9" s="29" t="n">
        <v>5</v>
      </c>
      <c r="F9" s="29" t="n">
        <v>4</v>
      </c>
      <c r="G9" s="29" t="n">
        <v>5</v>
      </c>
      <c r="H9" s="29" t="n">
        <v>5</v>
      </c>
      <c r="I9" s="29" t="n">
        <v>4</v>
      </c>
      <c r="J9" s="29" t="n">
        <v>5</v>
      </c>
      <c r="K9" s="29" t="n">
        <v>5</v>
      </c>
      <c r="L9" s="29" t="n">
        <v>4</v>
      </c>
      <c r="M9" s="29" t="n">
        <v>5</v>
      </c>
      <c r="N9" s="29" t="n">
        <v>5</v>
      </c>
      <c r="O9" s="29" t="n">
        <v>4</v>
      </c>
      <c r="P9" s="29" t="n">
        <v>5</v>
      </c>
      <c r="Q9" s="30">
        <f>IF(Q10&gt;0, (Q11/Q10)*20, 0)</f>
        <v/>
      </c>
    </row>
    <row r="10" ht="22" customHeight="1">
      <c r="A10" s="23" t="inlineStr">
        <is>
          <t>ค่าน้ำหนัก (Weight %)</t>
        </is>
      </c>
      <c r="B10" s="31" t="n">
        <v>0.1</v>
      </c>
      <c r="C10" s="31" t="n">
        <v>0.1</v>
      </c>
      <c r="D10" s="31" t="n">
        <v>0.0667</v>
      </c>
      <c r="E10" s="31" t="n">
        <v>0.0667</v>
      </c>
      <c r="F10" s="31" t="n">
        <v>0.06660000000000001</v>
      </c>
      <c r="G10" s="31" t="n">
        <v>0.1</v>
      </c>
      <c r="H10" s="31" t="n">
        <v>0.1</v>
      </c>
      <c r="I10" s="31" t="n">
        <v>0.0333</v>
      </c>
      <c r="J10" s="31" t="n">
        <v>0.0333</v>
      </c>
      <c r="K10" s="31" t="n">
        <v>0.0334</v>
      </c>
      <c r="L10" s="31" t="n">
        <v>0.0333</v>
      </c>
      <c r="M10" s="31" t="n">
        <v>0.0333</v>
      </c>
      <c r="N10" s="31" t="n">
        <v>0.0334</v>
      </c>
      <c r="O10" s="31" t="n">
        <v>0.1</v>
      </c>
      <c r="P10" s="31" t="n">
        <v>0.1</v>
      </c>
      <c r="Q10" s="31">
        <f>SUM(B10:P10)</f>
        <v/>
      </c>
    </row>
    <row r="11" ht="24" customHeight="1">
      <c r="A11" s="23" t="inlineStr">
        <is>
          <t>คะแนนถ่วงน้ำหนัก (=Score * Weight)</t>
        </is>
      </c>
      <c r="B11" s="32">
        <f>B9*B10</f>
        <v/>
      </c>
      <c r="C11" s="32">
        <f>C9*C10</f>
        <v/>
      </c>
      <c r="D11" s="32">
        <f>D9*D10</f>
        <v/>
      </c>
      <c r="E11" s="32">
        <f>E9*E10</f>
        <v/>
      </c>
      <c r="F11" s="32">
        <f>F9*F10</f>
        <v/>
      </c>
      <c r="G11" s="32">
        <f>G9*G10</f>
        <v/>
      </c>
      <c r="H11" s="32">
        <f>H9*H10</f>
        <v/>
      </c>
      <c r="I11" s="32">
        <f>I9*I10</f>
        <v/>
      </c>
      <c r="J11" s="32">
        <f>J9*J10</f>
        <v/>
      </c>
      <c r="K11" s="32">
        <f>K9*K10</f>
        <v/>
      </c>
      <c r="L11" s="32">
        <f>L9*L10</f>
        <v/>
      </c>
      <c r="M11" s="32">
        <f>M9*M10</f>
        <v/>
      </c>
      <c r="N11" s="32">
        <f>N9*N10</f>
        <v/>
      </c>
      <c r="O11" s="32">
        <f>O9*O10</f>
        <v/>
      </c>
      <c r="P11" s="32">
        <f>P9*P10</f>
        <v/>
      </c>
      <c r="Q11" s="32">
        <f>SUM(B11:P11)</f>
        <v/>
      </c>
    </row>
    <row r="12" ht="115" customHeight="1">
      <c r="A12" s="23" t="inlineStr">
        <is>
          <t>คำอธิบาย &amp; หลักฐานอ้างอิงจากไฟล์ Intake (Evidence Citation)</t>
        </is>
      </c>
      <c r="B12" s="26" t="inlineStr">
        <is>
          <t>อ้างอิง solution-details/solution-1.md หน้า 2 เลือกใช้กล่องพักสายไฟสำเร็จรูปมาตรฐาน COTS IP67 ยึดด้วยแคลมป์สแตนเลส สอดคล้องกับ team-skills/fifa.md ที่เชี่ยวชาญการออกแบบระบบยึดจับ และ due.md ที่เชี่ยวชาญ 3D CAD</t>
        </is>
      </c>
      <c r="C12" s="26" t="inlineStr">
        <is>
          <t>อ้างอิง team-skills/jk.md เชี่ยวชาญสมการอนุพันธ์, due.md เชี่ยวชาญวงจรและ ESP32, และ fifa.md เชี่ยวชาญกลไกยึดจับ สมาชิก 3 คนเข้าใจระบบย่อยและช่วยแก้ไขบั๊กได้ทันที</t>
        </is>
      </c>
      <c r="D12" s="26" t="inlineStr">
        <is>
          <t>อ้างอิง solution-details/solution-1.md ต้นทุนรวมอุปกรณ์ต่อจุดต่ำมาก (&lt; 3,500 บาท) การตัด Empty Cases 40-50% ประหยัดค่าน้ำมันและเบี้ยเลี้ยงเจ้าหน้าที่ได้คืนทุนภายใน 1 ฤดูฝนแรก (≤ 1-2 ปี)</t>
        </is>
      </c>
      <c r="E12" s="26" t="inlineStr">
        <is>
          <t>สถาปัตยกรรมเปิด 100% รันบนบอร์ด ESP32 และ Python/ROS 2 โค้ดทั้งหมดเปิดเผย ไม่พึ่งพา Cloud ปิด อะไหล่เซนเซอร์หาซื้อเปลี่ยนได้ทั่วไป</t>
        </is>
      </c>
      <c r="F12" s="26" t="inlineStr">
        <is>
          <t>ด้วยต้นทุนอุปกรณ์ &lt; 3,500 บาท จากงบโครงงาน 5,000 บาท มีส่วนต่างงบประมาณสำรอง (Scrap Margin) เกิน 80% สำหรับจัดซื้อบอร์ด ESP32 และเซนเซอร์สำรอง</t>
        </is>
      </c>
      <c r="G12" s="26" t="inlineStr">
        <is>
          <t>ระบบติดตั้งวัดระดับน้ำผิวดินในท่อสาธารณะ ไม่มีการบันทึกภาพใบหน้าหรือป้ายทะเบียน (Zero PII 100%) และกล่องยึดไม่ล้ำกีดขวางช่องจราจรทางบก</t>
        </is>
      </c>
      <c r="H12" s="26" t="inlineStr">
        <is>
          <t>ใช้ไลบรารีเปิดมาตรฐานภายใต้สัญญาอนุญาต MIT และ Apache 2.0 (ROS 2, FreeRTOS, MicroPython) ปลอดข้อพิพาทสิทธิบัตรเชิงพาณิชย์</t>
        </is>
      </c>
      <c r="I12" s="26" t="inlineStr">
        <is>
          <t>ใช้แคลมป์รัดท่อแบบปลดเร็ว ตัวเครื่องมีระบบ Zero Calibration อัตโนมัติเมื่อเปิดไฟเข้า พร้อมตรวจวัดระดับน้ำภายในเวลา &lt; 1 นาที</t>
        </is>
      </c>
      <c r="J12" s="26" t="inlineStr">
        <is>
          <t>ทำงานด้วยไฟกระแสตรงแรงดันต่ำ (5V/12V จากแบตเตอรี่) ปลอดภัยต่อผู้ปฏิบัติงาน กล่องกันน้ำมาตรฐาน IP67 ไร้ความเสี่ยงต่อการเกิดประกายไฟหรือไฟฟ้าดูด</t>
        </is>
      </c>
      <c r="K12" s="26" t="inlineStr">
        <is>
          <t>ผลการคำนวณ dh/dt ส่งออกเป็น Digital Evidence Card ผ่าน Webhook ตรงเข้า Traffy Fondue และระบบแจ้งเตือนเดิมของ กทม. โดยเจ้าหน้าที่ไม่ต้องกรอกฟอร์มเพิ่ม</t>
        </is>
      </c>
      <c r="L12" s="26" t="inlineStr">
        <is>
          <t>แยก API และโครงสร้างข้อมูลระหว่างเฟิร์มแวร์ ESP32 กับอัลกอริทึมคำนวณ dh/dt บน Python ชัดเจน สามารถใช้ข้อมูลจำลองระดับน้ำทดสอบโค้ดขนานไปกับการเดินสายฮาร์ดแวร์ได้</t>
        </is>
      </c>
      <c r="M12" s="26" t="inlineStr">
        <is>
          <t>พัฒนาบนเครื่องคอมพิวเตอร์ส่วนตัวและโต๊ะช่างที่บ้านได้โดยสมบูรณ์ ไม่มีการติดกุญแจห้องแล็บหรือขั้นตอนขออนุมัติจัดซื้อซับซ้อน</t>
        </is>
      </c>
      <c r="N12" s="26" t="inlineStr">
        <is>
          <t>สอดคล้องกับทักษะของทีมอย่างสมบูรณ์แบบ: JK ชำนาญ Dynamic Systems &amp; Control, Due ชำนาญ ESP32 &amp; PCB, Fifa ชำนาญ CAD/กลไก ('Oil and Engine')</t>
        </is>
      </c>
      <c r="O12" s="26" t="inlineStr">
        <is>
          <t>แบบจำลอง 3D CAD ของกล่องและแคลมป์ยึดเสร็จสมบูรณ์ วงจรเชื่อมต่อผ่าน Screw Terminal Shield มี DRC ผ่านเกณฑ์ พร้อมเข้าสู่ Pre-production ในสัปดาห์ที่ 9</t>
        </is>
      </c>
      <c r="P12" s="26" t="inlineStr">
        <is>
          <t>ชิ้นส่วนหลักทั้งหมด (ESP32, Ultrasonic Sensor, IP67 Enclosure) มีสต็อกจำหน่ายในประเทศ จัดส่งด่วนถึงภายใน 1-2 วันทำการ</t>
        </is>
      </c>
      <c r="Q12" s="33">
        <f>IF(MIN(B9:P9)=1, "VETOED / ตกเกณฑ์ข้อบังคับวิกฤต (คะแนนระดับ 1)", IF(Q9&gt;=80, "ผ่านเกณฑ์ระดับสูง (HIGHLY VIABLE)", IF(Q9&gt;=60, "ผ่านแบบมีเงื่อนไข (CONDITIONALLY VIABLE)", "ความเสี่ยงสูง (HIGH RISK)")))</f>
        <v/>
      </c>
    </row>
    <row r="13" ht="70" customHeight="1">
      <c r="A13" s="23" t="inlineStr">
        <is>
          <t>แผนลดขอบเขตงาน &amp; มาตรการลดความเสี่ยง (De-scoping Action)</t>
        </is>
      </c>
      <c r="B13" s="26" t="inlineStr">
        <is>
          <t>ใช้กล่องพักสายไฟมาตรฐาน IP67 พร้อมแคลมป์รัดท่อสำเร็จรูป</t>
        </is>
      </c>
      <c r="C13" s="26" t="inlineStr">
        <is>
          <t>จัดทำเอกสาร Interface Contract และ Pinout ชัดเจนเพื่อให้ Due และ Fifa ช่วยแก้บั๊กฮาร์ดแวร์ได้ทันที</t>
        </is>
      </c>
      <c r="D13" s="26" t="inlineStr">
        <is>
          <t>ใช้ ESP32 รุ่นมาตรฐานและเซนเซอร์ COTS เพื่อควบคุมต้นทุนไม่ให้เกิน 3,500 บาท</t>
        </is>
      </c>
      <c r="E13" s="26" t="inlineStr">
        <is>
          <t>ใช้โปรโตคอล MQTT มาตรฐานเชื่อมต่อกับเซิร์ฟเวอร์เปิด</t>
        </is>
      </c>
      <c r="F13" s="26" t="inlineStr">
        <is>
          <t>จัดซื้อบอร์ด ESP32 และเซนเซอร์สำรองอย่างละ 2 ชุดเป็นอะไหล่สำรองในงบ</t>
        </is>
      </c>
      <c r="G13" s="26" t="inlineStr">
        <is>
          <t>ติดตั้งป้ายชื่อโครงการวิศวกรรมและหน่วยงานรับผิดชอบบนกล่องอุปกรณ์</t>
        </is>
      </c>
      <c r="H13" s="26" t="inlineStr">
        <is>
          <t>ตรวจสอบลิขสิทธิ์ของไลบรารีทั้งหมดให้เป็น MIT/Apache 2.0</t>
        </is>
      </c>
      <c r="I13" s="26" t="inlineStr">
        <is>
          <t>ออกแบบปุ่มสวิตช์เปิดเครื่องพร้อมไฟ LED แสดงสถานะการ Calibrate สำเร็จ</t>
        </is>
      </c>
      <c r="J13" s="26" t="inlineStr">
        <is>
          <t>ติดตั้งฟิวส์ตัดวงจรและไดโอดป้องกันไฟย้อนกลับในวงจรจ่ายไฟ</t>
        </is>
      </c>
      <c r="K13" s="26" t="inlineStr">
        <is>
          <t>เชื่อมต่อระบบส่งข้อมูลเข้า LINE Notify หรือ Telegram กลุ่มเจ้าหน้าที่โดยตรง</t>
        </is>
      </c>
      <c r="L13" s="26" t="inlineStr">
        <is>
          <t>ทำ Mock Data จำลองค่าระดับน้ำส่งเข้าโมดูล Python สำหรับพัฒนาอัลกอริทึม</t>
        </is>
      </c>
      <c r="M13" s="26" t="inlineStr">
        <is>
          <t>จัดเตรียมบอร์ดทดลองส่วนตัวให้สมาชิกแต่ละคนทำงานจากที่พักได้</t>
        </is>
      </c>
      <c r="N13" s="26" t="inlineStr">
        <is>
          <t>แบ่งงานตามความถนัดเดิมของสมาชิกเพื่อรักษาความเร็วในการพัฒนาสูงสุด</t>
        </is>
      </c>
      <c r="O13" s="26" t="inlineStr">
        <is>
          <t>ล็อกสเปกฮาร์ดแวร์และเซนเซอร์ก่อนสัปดาห์ที่ 7 เพื่อทดสอบระบบรวม</t>
        </is>
      </c>
      <c r="P13" s="26" t="inlineStr">
        <is>
          <t>สั่งซื้อชิ้นส่วนจากร้านค้าในไทยล่วงหน้า 2 สัปดาห์ก่อนกำหนดประกอบ</t>
        </is>
      </c>
      <c r="Q13" s="25" t="inlineStr">
        <is>
          <t>ปฏิบัติตามแผนลดขอบเขตงาน (De-scoping Advisory)</t>
        </is>
      </c>
    </row>
    <row r="14" ht="15" customHeight="1"/>
    <row r="15" ht="26" customHeight="1">
      <c r="A15" s="19" t="inlineStr">
        <is>
          <t>ตารางสรุปคะแนนแยกตามมิติ TELOS+S (Pillar Score Breakdown)</t>
        </is>
      </c>
    </row>
    <row r="16" ht="24" customHeight="1">
      <c r="A16" s="34" t="inlineStr">
        <is>
          <t>มิติการประเมิน (TELOS+S Pillar)</t>
        </is>
      </c>
      <c r="B16" s="34" t="inlineStr">
        <is>
          <t>สัดส่วนน้ำหนัก (Weight %)</t>
        </is>
      </c>
      <c r="C16" s="34" t="inlineStr">
        <is>
          <t>คะแนนเต็มมิติ (Max Points)</t>
        </is>
      </c>
      <c r="D16" s="34" t="inlineStr">
        <is>
          <t>คะแนนที่ได้รับจริง (Earned Points)</t>
        </is>
      </c>
      <c r="E16" s="34" t="inlineStr">
        <is>
          <t>คะแนนเฉลี่ย (Score 1-5)</t>
        </is>
      </c>
      <c r="F16" s="34" t="inlineStr">
        <is>
          <t>ระดับความพร้อม (Readiness Level)</t>
        </is>
      </c>
    </row>
    <row r="17" ht="22" customHeight="1">
      <c r="A17" s="35" t="inlineStr">
        <is>
          <t>T : ด้านเทคโนโลยีและวิศวกรรม (Technical)</t>
        </is>
      </c>
      <c r="B17" s="36" t="n">
        <v>0.2</v>
      </c>
      <c r="C17" s="37" t="n">
        <v>20</v>
      </c>
      <c r="D17" s="38">
        <f>SUM(B11:C11)*20</f>
        <v/>
      </c>
      <c r="E17" s="39">
        <f>IF(C17&gt;0, (D17/C17)*5, 0)</f>
        <v/>
      </c>
      <c r="F17" s="25">
        <f>IF(D17&gt;=16.0, "พร้อมระดับสูง (High)", IF(D17&gt;=12.0, "ปานกลาง (Medium)", "เสี่ยงวิกฤต (Critical)"))</f>
        <v/>
      </c>
    </row>
    <row r="18" ht="22" customHeight="1">
      <c r="A18" s="35" t="inlineStr">
        <is>
          <t>E : ด้านเศรษฐศาสตร์และความคุ้มค่า (Economic)</t>
        </is>
      </c>
      <c r="B18" s="36" t="n">
        <v>0.2</v>
      </c>
      <c r="C18" s="37" t="n">
        <v>20</v>
      </c>
      <c r="D18" s="38">
        <f>SUM(D11:F11)*20</f>
        <v/>
      </c>
      <c r="E18" s="39">
        <f>IF(C18&gt;0, (D18/C18)*5, 0)</f>
        <v/>
      </c>
      <c r="F18" s="25">
        <f>IF(D18&gt;=16.0, "พร้อมระดับสูง (High)", IF(D18&gt;=12.0, "ปานกลาง (Medium)", "เสี่ยงวิกฤต (Critical)"))</f>
        <v/>
      </c>
    </row>
    <row r="19" ht="22" customHeight="1">
      <c r="A19" s="35" t="inlineStr">
        <is>
          <t>L : ด้านกฎหมายและสถาบัน (Legal &amp; Institutional)</t>
        </is>
      </c>
      <c r="B19" s="36" t="n">
        <v>0.2</v>
      </c>
      <c r="C19" s="37" t="n">
        <v>20</v>
      </c>
      <c r="D19" s="38">
        <f>SUM(G11:H11)*20</f>
        <v/>
      </c>
      <c r="E19" s="39">
        <f>IF(C19&gt;0, (D19/C19)*5, 0)</f>
        <v/>
      </c>
      <c r="F19" s="25">
        <f>IF(D19&gt;=16.0, "พร้อมระดับสูง (High)", IF(D19&gt;=12.0, "ปานกลาง (Medium)", "เสี่ยงวิกฤต (Critical)"))</f>
        <v/>
      </c>
    </row>
    <row r="20" ht="22" customHeight="1">
      <c r="A20" s="35" t="inlineStr">
        <is>
          <t>O : ด้านการปฏิบัติการและหน้างาน (Operational)</t>
        </is>
      </c>
      <c r="B20" s="36" t="n">
        <v>0.2</v>
      </c>
      <c r="C20" s="37" t="n">
        <v>20</v>
      </c>
      <c r="D20" s="38">
        <f>SUM(I11:N11)*20</f>
        <v/>
      </c>
      <c r="E20" s="39">
        <f>IF(C20&gt;0, (D20/C20)*5, 0)</f>
        <v/>
      </c>
      <c r="F20" s="25">
        <f>IF(D20&gt;=16.0, "พร้อมระดับสูง (High)", IF(D20&gt;=12.0, "ปานกลาง (Medium)", "เสี่ยงวิกฤต (Critical)"))</f>
        <v/>
      </c>
    </row>
    <row r="21" ht="22" customHeight="1">
      <c r="A21" s="35" t="inlineStr">
        <is>
          <t>S : ด้านแผนงานและเวลาส่งมอบ (Schedule)</t>
        </is>
      </c>
      <c r="B21" s="36" t="n">
        <v>0.2</v>
      </c>
      <c r="C21" s="37" t="n">
        <v>20</v>
      </c>
      <c r="D21" s="38">
        <f>SUM(O11:P11)*20</f>
        <v/>
      </c>
      <c r="E21" s="39">
        <f>IF(C21&gt;0, (D21/C21)*5, 0)</f>
        <v/>
      </c>
      <c r="F21" s="25">
        <f>IF(D21&gt;=16.0, "พร้อมระดับสูง (High)", IF(D21&gt;=12.0, "ปานกลาง (Medium)", "เสี่ยงวิกฤต (Critical)"))</f>
        <v/>
      </c>
    </row>
    <row r="22" ht="26" customHeight="1">
      <c r="A22" s="40" t="inlineStr">
        <is>
          <t>คะแนนรวมทุกมิติ (Total Feasibility Score)</t>
        </is>
      </c>
      <c r="B22" s="31">
        <f>SUM(B17:B21)</f>
        <v/>
      </c>
      <c r="C22" s="41">
        <f>SUM(C17:C21)</f>
        <v/>
      </c>
      <c r="D22" s="42">
        <f>SUM(D17:D21)</f>
        <v/>
      </c>
      <c r="E22" s="32">
        <f>IF(C22&gt;0, (D22/C22)*5, 0)</f>
        <v/>
      </c>
      <c r="F22" s="43">
        <f>IF(D22&gt;=80, "ผ่านเกณฑ์ระดับสูง (HIGHLY VIABLE)", IF(D22&gt;=60, "ผ่านแบบมีเงื่อนไข (CONDITIONALLY VIABLE)", "ความเสี่ยงสูง (HIGH RISK)"))</f>
        <v/>
      </c>
    </row>
    <row r="23" ht="12" customHeight="1"/>
    <row r="24" ht="26" customHeight="1">
      <c r="A24" s="19" t="inlineStr">
        <is>
          <t>เมทริกซ์ประเมินความเข้ากันได้กับองค์ความรู้ด้านวิศวกรรมหุ่นยนต์ (Robotics Knowledge Compatibility)</t>
        </is>
      </c>
    </row>
    <row r="25" ht="22" customHeight="1">
      <c r="A25" s="20" t="inlineStr">
        <is>
          <t>* หมายเหตุ: การประเมินส่วนนี้วัดศักยภาพในการประยุกต์ใช้องค์ความรู้ด้านวิศวกรรมหุ่นยนต์ (Perception, Control, Actuation, Mechatronics) เต็ม 10 คะแนน | เป็นเอกเทศ ไม่นับรวมในคะแนน TELOS 100 คะแนน</t>
        </is>
      </c>
    </row>
    <row r="26" ht="24" customHeight="1">
      <c r="A26" s="44" t="inlineStr">
        <is>
          <t>มิติการประเมิน (Robotics Dimension)</t>
        </is>
      </c>
      <c r="B26" s="44" t="inlineStr">
        <is>
          <t>คะแนนศักยภาพ (/10)</t>
        </is>
      </c>
      <c r="C26" s="44" t="inlineStr">
        <is>
          <t>แกน Perception &amp; Sensing (การรับรู้)</t>
        </is>
      </c>
      <c r="D26" s="44" t="inlineStr">
        <is>
          <t>แกน Control &amp; Algorithms (การควบคุม)</t>
        </is>
      </c>
      <c r="E26" s="44" t="inlineStr">
        <is>
          <t>แกน Actuation &amp; Mechanisms (กลไก)</t>
        </is>
      </c>
      <c r="F26" s="44" t="inlineStr">
        <is>
          <t>บทวิเคราะห์เชิงวิศวกรรมหุ่นยนต์ (FIBO Alignment Rationale)</t>
        </is>
      </c>
    </row>
    <row r="27" ht="95" customHeight="1">
      <c r="A27" s="45" t="inlineStr">
        <is>
          <t>ศักยภาพการประยุกต์ใช้องค์ความรู้หุ่นยนต์และระบบอัตโนมัติ</t>
        </is>
      </c>
      <c r="B27" s="46" t="n">
        <v>7.5</v>
      </c>
      <c r="C27" s="26" t="inlineStr">
        <is>
          <t>เซนเซอร์วัดระดับน้ำและอัตราการไหล (Ultrasonic/Pressure) พร้อมอัลกอริทึมกรองสัญญาณคลื่นผิวน้ำ (Low-pass &amp; Median Filter)</t>
        </is>
      </c>
      <c r="D27" s="26" t="inlineStr">
        <is>
          <t>โดดเด่นมากในวิชา Dynamic Systems &amp; Control Theory: การแก้สมการอนุพันธ์ชลศาสตร์ dh/dt, Discrete Time Derivative, State Estimation และ Predictive Time Horizon (เทียบเวลาเดินทาง 20-30 นาที)</t>
        </is>
      </c>
      <c r="E27" s="26" t="inlineStr">
        <is>
          <t>ระดับต่ำ: ไม่มีระบบกลไกเคลื่อนที่ (Manipulator หรือ Mobile Chassis) เป็นระบบตัดสินใจแบบ Cyber-Physical Monitoring &amp; Edge-DSS</t>
        </is>
      </c>
      <c r="F27" s="26" t="inlineStr">
        <is>
          <t>มีความเข้ากันได้สูงในแกนคณิตศาสตร์วิศวกรรม ทฤษฎีระบบควบคุม (Control Theory) และการประมวลผลสัญญาณ (Signal Processing &amp; State Estimation) ของ JK แต่คะแนนอยู่ที่ 7.5 เนื่องจากขาด Physical Actuation และกลไกการเคลื่อนที่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7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</cols>
  <sheetData>
    <row r="1">
      <c r="A1" s="19" t="inlineStr">
        <is>
          <t>เมทริกซ์ประเมินความเป็นไปได้เชิงระบบ TELOS+S: PUB Singapore CWOS 2-Factor Authentication Dispatch Filter</t>
        </is>
      </c>
    </row>
    <row r="2">
      <c r="A2" s="20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21" t="inlineStr">
        <is>
          <t>รหัสคำถาม (Question Code)</t>
        </is>
      </c>
      <c r="B4" s="22" t="inlineStr">
        <is>
          <t>T-01</t>
        </is>
      </c>
      <c r="C4" s="22" t="inlineStr">
        <is>
          <t>T-02</t>
        </is>
      </c>
      <c r="D4" s="22" t="inlineStr">
        <is>
          <t>E-01</t>
        </is>
      </c>
      <c r="E4" s="22" t="inlineStr">
        <is>
          <t>E-02</t>
        </is>
      </c>
      <c r="F4" s="22" t="inlineStr">
        <is>
          <t>E-03</t>
        </is>
      </c>
      <c r="G4" s="22" t="inlineStr">
        <is>
          <t>L-01</t>
        </is>
      </c>
      <c r="H4" s="22" t="inlineStr">
        <is>
          <t>L-02</t>
        </is>
      </c>
      <c r="I4" s="22" t="inlineStr">
        <is>
          <t>O-01</t>
        </is>
      </c>
      <c r="J4" s="22" t="inlineStr">
        <is>
          <t>O-02</t>
        </is>
      </c>
      <c r="K4" s="22" t="inlineStr">
        <is>
          <t>O-03</t>
        </is>
      </c>
      <c r="L4" s="22" t="inlineStr">
        <is>
          <t>O-04</t>
        </is>
      </c>
      <c r="M4" s="22" t="inlineStr">
        <is>
          <t>O-05</t>
        </is>
      </c>
      <c r="N4" s="22" t="inlineStr">
        <is>
          <t>O-06</t>
        </is>
      </c>
      <c r="O4" s="22" t="inlineStr">
        <is>
          <t>S-01</t>
        </is>
      </c>
      <c r="P4" s="22" t="inlineStr">
        <is>
          <t>S-02</t>
        </is>
      </c>
      <c r="Q4" s="22" t="inlineStr">
        <is>
          <t>สรุปภาพรวม (SUMMARY)</t>
        </is>
      </c>
    </row>
    <row r="5" ht="24" customHeight="1">
      <c r="A5" s="23" t="inlineStr">
        <is>
          <t>มิติการประเมิน (TELOS+S Pillar)</t>
        </is>
      </c>
      <c r="B5" s="24" t="inlineStr">
        <is>
          <t>ด้านเทคนิค (Technical Feasibility)</t>
        </is>
      </c>
      <c r="C5" s="24" t="inlineStr">
        <is>
          <t>ด้านเทคนิค (Technical Feasibility)</t>
        </is>
      </c>
      <c r="D5" s="24" t="inlineStr">
        <is>
          <t>ด้านเศรษฐศาสตร์ (Economic Feasibility)</t>
        </is>
      </c>
      <c r="E5" s="24" t="inlineStr">
        <is>
          <t>ด้านเศรษฐศาสตร์ (Economic Feasibility)</t>
        </is>
      </c>
      <c r="F5" s="24" t="inlineStr">
        <is>
          <t>ด้านเศรษฐศาสตร์ (Economic Feasibility)</t>
        </is>
      </c>
      <c r="G5" s="24" t="inlineStr">
        <is>
          <t>ด้านกฎหมายและสถาบัน (Legal &amp; Institutional Feasibility)</t>
        </is>
      </c>
      <c r="H5" s="24" t="inlineStr">
        <is>
          <t>ด้านกฎหมายและสถาบัน (Legal &amp; Institutional Feasibility)</t>
        </is>
      </c>
      <c r="I5" s="24" t="inlineStr">
        <is>
          <t>ด้านการปฏิบัติการ (Operational Feasibility)</t>
        </is>
      </c>
      <c r="J5" s="24" t="inlineStr">
        <is>
          <t>ด้านการปฏิบัติการ (Operational Feasibility)</t>
        </is>
      </c>
      <c r="K5" s="24" t="inlineStr">
        <is>
          <t>ด้านการปฏิบัติการ (Operational Feasibility)</t>
        </is>
      </c>
      <c r="L5" s="24" t="inlineStr">
        <is>
          <t>ด้านการปฏิบัติการ (Operational Feasibility)</t>
        </is>
      </c>
      <c r="M5" s="24" t="inlineStr">
        <is>
          <t>ด้านการปฏิบัติการ (Operational Feasibility)</t>
        </is>
      </c>
      <c r="N5" s="24" t="inlineStr">
        <is>
          <t>ด้านการปฏิบัติการ (Operational Feasibility)</t>
        </is>
      </c>
      <c r="O5" s="24" t="inlineStr">
        <is>
          <t>ด้านแผนงานและเวลา (Schedule Feasibility)</t>
        </is>
      </c>
      <c r="P5" s="24" t="inlineStr">
        <is>
          <t>ด้านแผนงานและเวลา (Schedule Feasibility)</t>
        </is>
      </c>
      <c r="Q5" s="25" t="inlineStr">
        <is>
          <t>ผลรวมทุกมิติ (All Pillars)</t>
        </is>
      </c>
    </row>
    <row r="6" ht="80" customHeight="1">
      <c r="A6" s="23" t="inlineStr">
        <is>
          <t>คำถามทดสอบความเสี่ยงจริง (Stress-Test Question)</t>
        </is>
      </c>
      <c r="B6" s="26" t="inlineStr">
        <is>
          <t>Implementation (Build vs. Buy Burden): โครงการมีความจำเป็นต้องวิจัยและพัฒนาชิ้นส่วนขึ้นเอง (Build from Scratch) มากน้อยเพียงใด หรือสามารถจัดหาโมดูลสำเร็จรูปมาตรฐาน (COTS) มาประกอบและปรับแต่งได้โดยตรง?</t>
        </is>
      </c>
      <c r="C6" s="26" t="inlineStr">
        <is>
          <t>Team Redundancy (Bus Factor): มีจำนวนสมาชิกในทีมกี่คนที่เข้าใจสถาปัตยกรรมทั้งเชิงกล วงจรไฟฟ้า และโค้ด จนสามารถพัฒนา ประกอบ และแก้ไขข้อผิดพลาดของระบบย่อยนี้ได้อย่างอิสระ?</t>
        </is>
      </c>
      <c r="D6" s="26" t="inlineStr">
        <is>
          <t>ROI (Payback Period / Value Horizon): โครงการมีระยะเวลาคืนทุน (Payback Period) และความคุ้มค่าในการลดความสูญเสียหรือลดค่าใช้จ่ายในการดำเนินงาน (OpEx Reduction) รวดเร็วเพียงใด?</t>
        </is>
      </c>
      <c r="E6" s="26" t="inlineStr">
        <is>
          <t>Dependencies of Component (Vendor Lock-in &amp; Service Autonomy): ระบบมีความเป็นอิสระจากการผูกขาดของผู้ผลิต (Vendor Lock-in) มากน้อยเพียงใด และทีมงานหรือวิศวกรทั่วไปสามารถซ่อมบำรุงด้วยเครื่องมือเปิดได้เองหรือไม่?</t>
        </is>
      </c>
      <c r="F6" s="26" t="inlineStr">
        <is>
          <t>Scrap Margin (Safety Allowance for Blown ICs &amp; Iterations): โครงการมีการจัดสรรงบประมาณสำรองสำหรับชิ้นส่วนทดแทนกรณีเสียหาย (Scrap Margin) และการทดลองซ้ำ (Iterations) ในสัดส่วนเท่าใดของรายการวัสดุ (BOM)?</t>
        </is>
      </c>
      <c r="G6" s="26" t="inlineStr">
        <is>
          <t>Felony and Civil Law (Regulatory &amp; Public Safety Compliance): ระบบและการติดตั้งมีความสอดคล้องต่อข้อบังคับทางกฎหมายอาญา แพ่ง ระเบียบจราจร และการคุ้มครองข้อมูลส่วนบุคคล (PDPA / Public Safety) โดยไม่สร้างความรับผิดทางกฎหมายหรือไม่?</t>
        </is>
      </c>
      <c r="H6" s="26" t="inlineStr">
        <is>
          <t>IP and Licensing: ทรัพย์สินทางปัญญา ซอฟต์แวร์ไลบรารี และสิทธิบัตรที่นำมาใช้ มีความเปิดกว้างและปลอดภาระผูกพันทางการค้าหรือการละเมิดลิขสิทธิ์ (Licensing Freedom) มากน้อยเพียงใด?</t>
        </is>
      </c>
      <c r="I6" s="26" t="inlineStr">
        <is>
          <t>User — Implementation (Field Deployment / Setup Friction): ขั้นตอนการติดตั้ง ติดตั้งเครื่องมือ ปรับเทียบศูนย์ (Calibration) และเตรียมพร้อมใช้งานหน้างานจริงโดยผู้ปฏิบัติงาน มีความยุ่งยากหรือกินเวลาเพียงใด?</t>
        </is>
      </c>
      <c r="J6" s="26" t="inlineStr">
        <is>
          <t>User — Customer / Public Safety &amp; Failsafes: มาตรการรักษาความปลอดภัย การป้องกันอุบัติเหตุ (Failsafes, Interlocks, E-stops) และการควบคุมอันตรายต่อเจ้าหน้าที่และสาธารณชนมีความรัดกุมเพียงใด?</t>
        </is>
      </c>
      <c r="K6" s="26" t="inlineStr">
        <is>
          <t>User — Behavior &amp; Workflow Disruption: ระบบสร้างภาระงานเอกสาร ขั้นตอนปฏิบัติงาน หรือบังคับเปลี่ยนพฤติกรรมเจ้าหน้าที่หน้างาน (SOP Disruption) มากน้อยเพียงใด?</t>
        </is>
      </c>
      <c r="L6" s="26" t="inlineStr">
        <is>
          <t>Developer — Task Dependency (Critical Path Architecture): สถาปัตยกรรมการพัฒนาฮาร์ดแวร์ ไฟฟ้า และซอฟต์แวร์ มีการเชื่อมต่อแบบขนาน (Parallel Architecture / Modularity) หรือผูกติดกันเป็นเส้นตรงบนเส้นทางวิกฤต (Critical Path)?</t>
        </is>
      </c>
      <c r="M6" s="26" t="inlineStr">
        <is>
          <t>Developer — Contribution Dependency (Bureaucratic &amp; Lab Gatekeeping): การเข้าถึงเครื่องมือในห้องปฏิบัติการ การอนุมัติงบประมาณ และกระบวนการทางธุรการ (Lab Access &amp; Purchasing Bureaucracy) มีอุปสรรคขัดขวางความคล่องตัวเพียงใด?</t>
        </is>
      </c>
      <c r="N6" s="26" t="inlineStr">
        <is>
          <t>Developer — Task &amp; Skill Compatibility: ความเข้ากันได้ระหว่างทักษะเดิมของทีมกับเทคโนโลยีสแตกของระบบ (Task &amp; Skill Compatibility: 'Water and Oil' vs. 'Oil and Engine') อยู่ในระดับใด?</t>
        </is>
      </c>
      <c r="O6" s="26" t="inlineStr">
        <is>
          <t>Production Time (Engineering Design Maturity by Milestone): ความพร้อมของแบบวิศวกรรม (3D CAD, Schematics, PCB Gerbers, Firmware Architecture, BOM) อยู่ในระดับความสมบูรณ์ใดเทียบกับหมุดหมายการผลิตจริง?</t>
        </is>
      </c>
      <c r="P6" s="26" t="inlineStr">
        <is>
          <t>Shipping (Component Procurement Lead Time): ระยะเวลาในการจัดหาและขนส่งชิ้นส่วน อุปกรณ์ และเซนเซอร์ (Procurement Lead Time) อยู่ในกรอบเวลาที่ปลอดภัยต่อกำหนดส่งมอบงานหรือไม่?</t>
        </is>
      </c>
      <c r="Q6" s="27" t="inlineStr">
        <is>
          <t>ประเมินคำถามทั้งสิ้น 15 ข้อ</t>
        </is>
      </c>
    </row>
    <row r="7" ht="95" customHeight="1">
      <c r="A7" s="23" t="inlineStr">
        <is>
          <t>เหตุผลในการถาม &amp; โหมดความล้มเหลวที่เฝ้าระวัง (Rationale)</t>
        </is>
      </c>
      <c r="B7" s="26" t="inlineStr">
        <is>
          <t>มุ่งตรวจสอบ Build vs. Buy Burden และ Machine Access หากระบบต้อง R&amp;D กลไกหรือวงจรขึ้นเอง 100% โดยไม่มี Reference Design จะเกิดความเสี่ยงวิกฤตต่อกรอบเวลาของโครงงานวิศวกรรม</t>
        </is>
      </c>
      <c r="C7" s="26" t="inlineStr">
        <is>
          <t>ตรวจสอบความต่อเนื่องของทีม (Team Knowledge Distribution) ป้องกัน Single Point of Failure หากมีผู้เชี่ยวชาญเพียงคนเดียวเมื่อติดสอบหรือเจ็บป่วยโครงการจะล้มเหลวทันที</t>
        </is>
      </c>
      <c r="D7" s="26" t="inlineStr">
        <is>
          <t>ประเมินความคุ้มค่าในการลงทุนและระยะเวลาคืนทุนเชิงสาธารณูปโภคหรือเชิงพาณิชย์ เทียบกับเงินลงทุนเริ่มต้น (CapEx) และเงินประหยัดค่าแรงงาน/ค่าน้ำมันหน้างาน</t>
        </is>
      </c>
      <c r="E7" s="26" t="inlineStr">
        <is>
          <t>ตรวจสอบภาระค่าใช้จ่ายแฝงระยะยาว (Recurring Cloud/Licensing Fees) และความเสี่ยงจากการถูกผูกขาดด้วยฮาร์ดแวร์หรือระบบคลาวด์ปิดของผู้ผลิตรายเดียว</t>
        </is>
      </c>
      <c r="F7" s="26" t="inlineStr">
        <is>
          <t>ตรวจสอบ The Scrap Budget Rule งานฮาร์ดแวร์มีความเสี่ยงต่อชิปไหม้ แผ่นวงจรช็อต หรือขายึดหัก หากไม่มีงบสำรองจัดซื้อชุดที่ 2 การพัฒนาจะหยุดชะงักทันที</t>
        </is>
      </c>
      <c r="G7" s="26" t="inlineStr">
        <is>
          <t>ตรวจสอบความเสี่ยงต่อการทำผิดกฎหมายสาธารณะ (พ.ร.บ. จราจรทางบก, พ.ร.บ. คุ้มครองข้อมูลส่วนบุคคล PDPA, กฎหมายสิ่งแวดล้อม และระเบียบทางหลวง)</t>
        </is>
      </c>
      <c r="H7" s="26" t="inlineStr">
        <is>
          <t>ตรวจสอบข้อจำกัดด้านสิทธิ์ซอฟต์แวร์และฮาร์ดแวร์ ป้องกันการติดไวรัสไลเซนส์ (Copyleft GPLv3) หรือการละเมิดสิทธิบัตรเชิงพาณิชย์ของบุคคลภายนอก</t>
        </is>
      </c>
      <c r="I7" s="26" t="inlineStr">
        <is>
          <t>ประเมินความยากลำบากของเจ้าหน้าที่หน้างาน (Field Setup Friction) หากอุปกรณ์ต้องใช้เวลาตั้งค่าหรือ Calibrate นานเกินไป เจ้าหน้าที่จะปฏิเสธการใช้งาน</t>
        </is>
      </c>
      <c r="J7" s="26" t="inlineStr">
        <is>
          <t>ตรวจสอบความปลอดภัยต่อชีวิตและทรัพย์สิน ป้องกันอันตรายจากไฟฟ้าแรงสูง สารเคมี ก๊าซพิษในที่อับอากาศ หรืออุบัติเหตุทางรถยนต์ขณะปฏิบัติงาน</t>
        </is>
      </c>
      <c r="K7" s="26" t="inlineStr">
        <is>
          <t>ประเมินแรงต้านจากเจ้าหน้าที่ผู้ใช้งาน (The Tech Trap) ระบบที่ดีต้องลดภาระ ไม่ใช่สร้างแบบฟอร์มเอกสารหรือบังคับเปลี่ยนกระบวนการทำงานหลัก</t>
        </is>
      </c>
      <c r="L7" s="26" t="inlineStr">
        <is>
          <t>ตรวจสอบ Critical Path การพัฒนา หากงานซอฟต์แวร์ต้องรอฮาร์ดแวร์จริงเสร็จก่อนเท่านั้น จะเกิดคอขวดสะสมจนส่งมอบงานไม่ทันกำหนด</t>
        </is>
      </c>
      <c r="M7" s="26" t="inlineStr">
        <is>
          <t>ประเมินอุปสรรคด้านการบริหารและเครื่องมือ (Institutional Gatekeeping) เช่น คิวรอเครื่องจักร การล็อกแล็บ หรือขั้นตอนเบิกจ่ายงบประมาณที่ล่าช้า</t>
        </is>
      </c>
      <c r="N7" s="26" t="inlineStr">
        <is>
          <t>ตรวจสอบความสอดคล้องระหว่างทักษะที่ทีมมีอยู่จริงกับเทคโนโลยีที่เลือกใช้ เพื่อป้องกัน Learning Curve ที่สูงเกินไปจนงานล้มเหลว</t>
        </is>
      </c>
      <c r="O7" s="26" t="inlineStr">
        <is>
          <t>ประเมินความพร้อมของพิมพ์เขียวการผลิต (Design Maturity Package) ก่อนเริ่มสั่งผลิตจริง เพื่อป้องกันการรื้อแก้แบบกลางคัน</t>
        </is>
      </c>
      <c r="P7" s="26" t="inlineStr">
        <is>
          <t>ตรวจสอบห่วงโซ่อุปทาน (Supply Chain Lead Time) ชิ้นส่วนที่ต้องรอส่งจากต่างประเทศเกิน 3 สัปดาห์ถือเป็นความเสี่ยงต่อวิกฤตสัปดาห์สอบและกำหนดส่งมอบ</t>
        </is>
      </c>
      <c r="Q7" s="27" t="inlineStr">
        <is>
          <t>สังเคราะห์จาก AI Agents Group 2</t>
        </is>
      </c>
    </row>
    <row r="8" ht="150" customHeight="1">
      <c r="A8" s="23" t="inlineStr">
        <is>
          <t>เกณฑ์การให้คะแนน (Scoring Rubric Definition: ระดับ 1, 2, 3, 4, 5 ครบทุกระดับ)</t>
        </is>
      </c>
      <c r="B8" s="26" t="inlineStr">
        <is>
          <t>1: Build from Scratch — 100% custom R&amp;D required (custom mechanism, custom PCB, raw algorithm derivation); no reference designs available.
2: Heavy Customization — Core components exist, but requires extensive custom adaptation, structural machining, and custom wrapper code.
3: Hybrid / COTS Integration — Standard COTS modules (e.g., standard dev board + breakout sensors) assembled with custom brackets and intermediate wiring.
4: Modular COTS Assembly — Pre-engineered building blocks with standard mounting and standard communication buses (e.g., Din-rail modules, I2C/CAN shields); minimal custom fabrication.
5: Commercial Off-the-Shelf (COTS) — Turnkey commercial solution; zero custom fabrication or circuitry required, immediate plug-and-play operation.</t>
        </is>
      </c>
      <c r="C8" s="26" t="inlineStr">
        <is>
          <t>1: Single Point of Failure (Bus Factor = 1) — Only 1 teammate understands the codebase/hardware; if they are absent or drop out, the project completely halts.
2: Fragile Redundancy (Bus Factor = 1.5) — 1 primary expert with minimal notes; a second member has rough familiarity but requires steep ramp-up to debug.
3: Moderate Redundancy (Bus Factor = 2) — 2 teammates can independently maintain, test, and troubleshoot the core subsystem.
4: High Team Redundancy (3+ Teammates) — 3+ teammates can actively design, assemble, and debug the subsystem with low ramp-up time.
5: Full Team Redundancy — All team members are fully proficient; tasks can be swapped across anyone with zero friction or velocity loss.</t>
        </is>
      </c>
      <c r="D8" s="26" t="inlineStr">
        <is>
          <t>1: Long Payback (≥ 10 Years) — High initial CapEx and low recurring savings; economically non-viable for rapid deployment.
2: Slow Return (6–9 Years) — Substantial capital investment with long break-even horizon; requires long-term institutional subsidization.
3: Moderate Return (3–5 Years) — Reasonable public infrastructure payback; offsets costs across multi-year operational cycles.
4: Fast Return (2–3 Years) — Strong operational cost reduction (fuel, labor, scrap); breaks even within normal equipment lifecycle.
5: Immediate Payback (≤ 1–2 Years) — Rapid break-even; eliminates major recurring losses within the first operating season.</t>
        </is>
      </c>
      <c r="E8" s="26" t="inlineStr">
        <is>
          <t>1: Total Vendor Lock-in — Proprietary cloud backend, encrypted telemetry, and proprietary connectors; completely dependent on vendor survival.
2: High Dependency — Hardware requires vendor-licensed diagnostic tools or annual subscription fees to maintain operation.
3: Semi-Independent — Core hardware relies on proprietary firmware, but allows open API export and standard electrical interfaces.
4: High Autonomy — Uses standard open communication protocols (e.g., Modbus, MQTT, CAN); parts can be serviced using generic tools.
5: Complete Independence — 100% open architecture; hardware is interchangeable with generic substitutes; self-serviceable by any engineer.</t>
        </is>
      </c>
      <c r="F8" s="26" t="inlineStr">
        <is>
          <t>1: Zero Buffer (0%) — Exactly 1x BOM purchased; any fried chip, cracked bracket, or wiring mistake kills the project.
2: Fragile Buffer (20–30%) — Spares only for passive components (resistors, connectors); no backup microcontrollers or expensive sensors.
3: Moderate Buffer (50%) — Spares for all critical passive parts and 1 spare for the primary controller board.
4: High Buffer (80%) — Spares for nearly every active component and sensor; can sustain multiple prototype burn-ins.
5: Full Redundancy (≥ 100%) — Complete 2x BOM budget on hand; can build two complete working units simultaneously.</t>
        </is>
      </c>
      <c r="G8" s="26" t="inlineStr">
        <is>
          <t>1: Severe Violation / No Privilege — Direct breach of statutory law (e.g., unconsented public surveillance/PDPA, hazardous road blockage, RF jammer).
2: High Legal Exposure — Ambiguous legal zone; high risk of civic complaints or traffic disruption; requires complex technical waivers.
3: Conditional / Requires Permit — Allowed under explicit written approval, official agency MoU, or municipal permit (e.g., BMA/Highway dept permit).
4: Low Legal Friction — Operates within standard public engineering exemptions; simple standard notification/safety compliance needed.
5: 100% Compliant / Free Domain — Completely exempt from statutory licensing; zero public safety risk, zero personal data (Zero PII), fully unrestricted.</t>
        </is>
      </c>
      <c r="H8" s="26" t="inlineStr">
        <is>
          <t>1: Closed / Commercial Barrier — Proprietary commercial license; cannot compile, flash, or operate without paying expensive commercial seat licenses.
2: Ambiguous / Gray IP — Unclear licensing terms or unlicensed GitHub repos; risk of copyright strike or IP dispute upon public demonstration.
3: Restrictive Open Source (Copyleft) — Permitted for educational use, but viral licenses (e.g., GPLv3) force your entire codebase to be made public if distributed.
4: Permissive Open Source — Open source with minimal conditions (e.g., LGPL, CC-BY); allows proprietary wrapping with simple attribution.
5: Completely Permissive / Public Domain — Permissive open source (MIT, Apache 2.0, BSD) or Public Domain; unrestricted freedom to commercialize, modify, and contribute.</t>
        </is>
      </c>
      <c r="I8" s="26" t="inlineStr">
        <is>
          <t>1: Laborious Recalibration — Requires multi-point manual physical zeroing, chemical calibration, or oscilloscope tuning before every run.
2: Complex Setup — Requires trained technician 20–30 minutes to adjust potentiometers, align brackets, or enter configuration commands.
3: Moderate Field Setup — Simple 5-minute calibration procedure (e.g., tare button or basic mobile app zeroing) performed by non-engineers.
4: Minimal Setup — Fast clamp-on mounting with automated self-calibration on power-up; ready in &lt; 1 minute.
5: True Plug and Go — Pure plug-and-play; zero calibration required, zero buttons; power on and immediately operational.</t>
        </is>
      </c>
      <c r="J8" s="26" t="inlineStr">
        <is>
          <t>1: Critical Hazard — Failure can directly cause electrocution, fire, traffic crashes, chemical exposure, or confined-space asphyxiation.
2: High Risk / Manual Oversight — High mechanical/electrical hazard requiring constant operator vigilance and full PPE.
3: Moderate Safety — Protected by passive mechanical guards, fuses, and warning labels; requires basic safety precautions.
4: High Safety &amp; Interlocks — Active software limits, hardware thermal shutoffs, and reverse polarity protection; minimal hazard on failure.
5: Inherently Safe &amp; Redundant — Failsafe by physics (cannot store lethal energy); isolated, dual-rated enclosures, redundant E-stops, zero injury risk.</t>
        </is>
      </c>
      <c r="K8" s="26" t="inlineStr">
        <is>
          <t>1: Disruptive Overhaul — Forces operators to abandon existing SOPs, adds 5+ extra tedious forms/steps, and faces fierce institutional union/worker resistance.
2: Significant Friction — Adds notable extra documentation or redundant verification steps; operators will actively look for ways to bypass it.
3: Moderate Adaptation — Modifies daily routine slightly; requires 1–2 training workshops, but delivers clear convenience trade-offs.
4: Low Friction — Integrates into existing tools (e.g., sends automated alerts to existing LINE/Telegram or ticketing dashboard); minimal change in habits.
5: Transparent / Seamless Integration — Zero workflow disruption; runs invisibly in background and automates existing manual paperwork without operator intervention.</t>
        </is>
      </c>
      <c r="L8" s="26" t="inlineStr">
        <is>
          <t>1: Strictly Sequential (Linear) — A depends on B depends on C; if the PCB fab is delayed, software and testing halt 100%.
2: Bottlenecked Pipelines — Major subsystems are tightly coupled; frequent integration stalls waiting for hardware bench access.
3: Semi-Decoupled — Hardware and software teams can work independently for 1–2 weeks using rough mockups before needing physical integration.
4: Modular Parallelism — Clear API/interface boundaries; software builds against mock data/simulators while hardware is routed; integration takes &lt; 2 days.
5: Fully Parallel Architecture — Microservices/modular nodes with standard contracts; mechanical, electrical, and firmware develop, simulate, and unit-test completely in parallel.</t>
        </is>
      </c>
      <c r="M8" s="26" t="inlineStr">
        <is>
          <t>1: Heavy Gatekeeping — Blocked by supervisor approvals, locked lab cabinets, NDA signatures, purchasing bureaucracy, and restricted git branches.
2: Moderate Bureaucracy — Requires departmental request forms, tool booking queues, and waiting 3–5 days for administrative sign-offs.
3: Standard Campus Access — Workable access during university open hours; minor approval delays for equipment or lab keys.
4: High Autonomy — Team has full repository write access, open 24/7 lab entry, and pre-approved discretionary debit cards/stipends for rapid purchases.
5: Frictionless Contribution — Complete autonomy; decentralized cloud CI/CD, local prototyping tools at home/bench, zero administrative blockers.</t>
        </is>
      </c>
      <c r="N8" s="26" t="inlineStr">
        <is>
          <t>1: Complete Mismatch ('Water and Oil') — Team has zero foundation in the stack (e.g., pure mechanical students forced to train deep neural nets in C++ from scratch).
2: Steep Learning Curve — High theoretical knowledge, but zero production hands-on experience; debugging basic syntax/wiring stalls progress.
3: Adjacent Competence — Strong mastery in related tools (e.g., proficient in Arduino/ESP32 migrating to STM32, or SolidWorks migrating to Fusion360); manageable 1-week curve.
4: Proven Experience — Team has built similar subsystems in past semester coursework or competition robots; rapid ramp-up.
5: Perfect Synergy ('Oil and Engine') — Complete domain mastery; team members have built this exact architecture multiple times with verified libraries and muscle memory.</t>
        </is>
      </c>
      <c r="O8" s="26" t="inlineStr">
        <is>
          <t>1: Concept Only (0% Design) — Napkin sketches and verbal concepts; 0% CAD models, 0% schematics, 0% code written.
2: Rough Drafts (25% Design) — Preliminary block diagrams, hand-drawn schematics, unverified parts list, incomplete 3D bounding boxes.
3: Intermediate Maturity (50% Design) — Complete CAD assembly (untested clearances), schematic capture complete, draft firmware architecture mapped out.
4: Pre-Production (80% Design) — Fully detailed 3D CAD ready for 3D print/CNC, routed PCB Gerber files validated with DRC, pinouts locked down.
5: Fully Engineered Design (100% Production Ready) — Complete drawing package: BOM with part numbers, verified manufacturing Gerbers, 2D tolerance drawings, assembly SOP, and flashing scripts ready.</t>
        </is>
      </c>
      <c r="P8" s="26" t="inlineStr">
        <is>
          <t>1: Extreme Lead Time (≥ 4 Weeks) — Custom overseas fabrication, customs clearance delays, or parts with long factory lead times (critical path hazard).
2: High Lead Time (3–4 Weeks) — Standard overseas shipping (e.g., standard AliExpress/international postal surface mail); vulnerable to logistics delays.
3: Moderate Lead Time (2 Weeks) — Express international courier (DHL, FedEx, JLCPCB express) or regional distributors (7–14 days).
4: Short Lead Time (1 Week) — Domestic couriers or express domestic stockists (3–5 business days).
5: Immediate / Next-Day (≤ 1–2 Days) — Shelf stock available locally at retail shops or next-day domestic express delivery.</t>
        </is>
      </c>
      <c r="Q8" s="27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8" t="inlineStr">
        <is>
          <t>คะแนนที่ได้รับ (ASSIGNED SCORE: 1, 2, 3, 4, 5 STRICT INTEGER)</t>
        </is>
      </c>
      <c r="B9" s="29" t="n">
        <v>4</v>
      </c>
      <c r="C9" s="29" t="n">
        <v>4</v>
      </c>
      <c r="D9" s="29" t="n">
        <v>5</v>
      </c>
      <c r="E9" s="29" t="n">
        <v>3</v>
      </c>
      <c r="F9" s="29" t="n">
        <v>5</v>
      </c>
      <c r="G9" s="29" t="n">
        <v>5</v>
      </c>
      <c r="H9" s="29" t="n">
        <v>5</v>
      </c>
      <c r="I9" s="29" t="n">
        <v>4</v>
      </c>
      <c r="J9" s="29" t="n">
        <v>5</v>
      </c>
      <c r="K9" s="29" t="n">
        <v>5</v>
      </c>
      <c r="L9" s="29" t="n">
        <v>5</v>
      </c>
      <c r="M9" s="29" t="n">
        <v>5</v>
      </c>
      <c r="N9" s="29" t="n">
        <v>5</v>
      </c>
      <c r="O9" s="29" t="n">
        <v>4</v>
      </c>
      <c r="P9" s="29" t="n">
        <v>5</v>
      </c>
      <c r="Q9" s="30">
        <f>IF(Q10&gt;0, (Q11/Q10)*20, 0)</f>
        <v/>
      </c>
    </row>
    <row r="10" ht="22" customHeight="1">
      <c r="A10" s="23" t="inlineStr">
        <is>
          <t>ค่าน้ำหนัก (Weight %)</t>
        </is>
      </c>
      <c r="B10" s="31" t="n">
        <v>0.1</v>
      </c>
      <c r="C10" s="31" t="n">
        <v>0.1</v>
      </c>
      <c r="D10" s="31" t="n">
        <v>0.0667</v>
      </c>
      <c r="E10" s="31" t="n">
        <v>0.0667</v>
      </c>
      <c r="F10" s="31" t="n">
        <v>0.06660000000000001</v>
      </c>
      <c r="G10" s="31" t="n">
        <v>0.1</v>
      </c>
      <c r="H10" s="31" t="n">
        <v>0.1</v>
      </c>
      <c r="I10" s="31" t="n">
        <v>0.0333</v>
      </c>
      <c r="J10" s="31" t="n">
        <v>0.0333</v>
      </c>
      <c r="K10" s="31" t="n">
        <v>0.0334</v>
      </c>
      <c r="L10" s="31" t="n">
        <v>0.0333</v>
      </c>
      <c r="M10" s="31" t="n">
        <v>0.0333</v>
      </c>
      <c r="N10" s="31" t="n">
        <v>0.0334</v>
      </c>
      <c r="O10" s="31" t="n">
        <v>0.1</v>
      </c>
      <c r="P10" s="31" t="n">
        <v>0.1</v>
      </c>
      <c r="Q10" s="31">
        <f>SUM(B10:P10)</f>
        <v/>
      </c>
    </row>
    <row r="11" ht="24" customHeight="1">
      <c r="A11" s="23" t="inlineStr">
        <is>
          <t>คะแนนถ่วงน้ำหนัก (=Score * Weight)</t>
        </is>
      </c>
      <c r="B11" s="32">
        <f>B9*B10</f>
        <v/>
      </c>
      <c r="C11" s="32">
        <f>C9*C10</f>
        <v/>
      </c>
      <c r="D11" s="32">
        <f>D9*D10</f>
        <v/>
      </c>
      <c r="E11" s="32">
        <f>E9*E10</f>
        <v/>
      </c>
      <c r="F11" s="32">
        <f>F9*F10</f>
        <v/>
      </c>
      <c r="G11" s="32">
        <f>G9*G10</f>
        <v/>
      </c>
      <c r="H11" s="32">
        <f>H9*H10</f>
        <v/>
      </c>
      <c r="I11" s="32">
        <f>I9*I10</f>
        <v/>
      </c>
      <c r="J11" s="32">
        <f>J9*J10</f>
        <v/>
      </c>
      <c r="K11" s="32">
        <f>K9*K10</f>
        <v/>
      </c>
      <c r="L11" s="32">
        <f>L9*L10</f>
        <v/>
      </c>
      <c r="M11" s="32">
        <f>M9*M10</f>
        <v/>
      </c>
      <c r="N11" s="32">
        <f>N9*N10</f>
        <v/>
      </c>
      <c r="O11" s="32">
        <f>O9*O10</f>
        <v/>
      </c>
      <c r="P11" s="32">
        <f>P9*P10</f>
        <v/>
      </c>
      <c r="Q11" s="32">
        <f>SUM(B11:P11)</f>
        <v/>
      </c>
    </row>
    <row r="12" ht="115" customHeight="1">
      <c r="A12" s="23" t="inlineStr">
        <is>
          <t>คำอธิบาย &amp; หลักฐานอ้างอิงจากไฟล์ Intake (Evidence Citation)</t>
        </is>
      </c>
      <c r="B12" s="26" t="inlineStr">
        <is>
          <t>อ้างอิง solution-details/solution-2.md พัฒนาเป็นระบบซอฟต์แวร์ API Gateway ร่วมกับบอร์ดเซนเซอร์ COTS สำเร็จรูป ไม่ต้องขึ้นรูปกลไกพิเศษ</t>
        </is>
      </c>
      <c r="C12" s="26" t="inlineStr">
        <is>
          <t>สมาชิก 3 คน (JK, Due, Kin) มีความเชี่ยวชาญด้าน Python, Webhook API และไมโครคอนโทรลเลอร์ สามารถร่วมกันพัฒนาและทดสอบระบบได้โดยไม่มีคอขวด</t>
        </is>
      </c>
      <c r="D12" s="26" t="inlineStr">
        <is>
          <t>ตัดปัญหาการสั่งการรถบริการผิดเป้าหมาย ต้นทุนระบบต่ำมาก คืนทุนภายใน 1 ฤดูฝนแรก (≤ 1-2 ปี)</t>
        </is>
      </c>
      <c r="E12" s="26" t="inlineStr">
        <is>
          <t>พึ่งพาข้อมูล Radar API จากกรมอุตุนิยมวิทยาหรือสำนักระบายน้ำ หาก API ภายนอกปิดปรับปรุงจำเป็นต้องเขียนระบบเชื่อมต่อใหม่</t>
        </is>
      </c>
      <c r="F12" s="26" t="inlineStr">
        <is>
          <t>เน้นงานซอฟต์แวร์และบอร์ด MCU ตัวเดียว งบประมาณโครงการสามารถจัดซื้อบอร์ดสำรองได้เกิน 100% (Full Redundancy)</t>
        </is>
      </c>
      <c r="G12" s="26" t="inlineStr">
        <is>
          <t>ไม่ใช้กล้องบันทึกภาพ ไม่เก็บข้อมูลส่วนบุคคล (Zero PII 100%) ใช้งานข้อมูลอุตุนิยมวิทยาเปิดของภาครัฐอย่างถูกต้อง</t>
        </is>
      </c>
      <c r="H12" s="26" t="inlineStr">
        <is>
          <t>สถาปัตยกรรมซอฟต์แวร์พัฒนาด้วยโอเพนซอร์สมาตรฐาน (FastAPI, Leaflet, SQLite ภายใต้ MIT License) ปลอดภาระลิขสิทธิ์</t>
        </is>
      </c>
      <c r="I12" s="26" t="inlineStr">
        <is>
          <t>เซนเซอร์หน้างานเชื่อมต่อคลาวด์อัตโนมัติ ติดตั้งด้วยแคลมป์มาตรฐาน ใช้เวลาเปิดเครื่องพร้อมส่งข้อมูล &lt; 1 นาที</t>
        </is>
      </c>
      <c r="J12" s="26" t="inlineStr">
        <is>
          <t>ระบบใช้ไฟกระแสตรง 5V ไม่มีความเสี่ยงไฟฟ้าแรงดันสูง ปลอดภัยตามธรรมชาติทางฟิสิกส์ (Inherently Safe)</t>
        </is>
      </c>
      <c r="K12" s="26" t="inlineStr">
        <is>
          <t>ส่งการแจ้งเตือนยืนยัน 2-Factor ตรงเข้ากลุ่ม LINE ของเจ้าหน้าที่เขตโดยอัตโนมัติ ไม่ต้องเปลี่ยนหน้าจอทำงานเดิม</t>
        </is>
      </c>
      <c r="L12" s="26" t="inlineStr">
        <is>
          <t>ฝั่งดึง Radar API, ฝั่งประมวลผลตรรกะ 2-Factor, และฝั่ง Web Dashboard แยกกันเป็น Microservices อิสระ พัฒนาคู่ขนานได้ 100%</t>
        </is>
      </c>
      <c r="M12" s="26" t="inlineStr">
        <is>
          <t>พัฒนาบนระบบคลาวด์และคอมพิวเตอร์ส่วนตัว ไร้การพึ่งพาห้องปฏิบัติการหรือขั้นตอนอนุมัติทางธุรการ</t>
        </is>
      </c>
      <c r="N12" s="26" t="inlineStr">
        <is>
          <t>สมาชิกมีความเชี่ยวชาญสูงด้าน Python, Cloud Webhook และ Data Integration สอดคล้องกับโครงงานแข่งขันเดิม ('Oil and Engine')</t>
        </is>
      </c>
      <c r="O12" s="26" t="inlineStr">
        <is>
          <t>ซอฟต์แวร์ Backend API และ Logic Flowchart เสร็จสมบูรณ์ระดับ Pre-production พร้อมทดสอบเชื่อมต่อข้อมูลจริง</t>
        </is>
      </c>
      <c r="P12" s="26" t="inlineStr">
        <is>
          <t>บอร์ด MCU และโมดูลสื่อสารจัดซื้อจากตัวแทนจำหน่ายในประเทศ ได้รับของภายใน 1-2 วันทำการ</t>
        </is>
      </c>
      <c r="Q12" s="33">
        <f>IF(MIN(B9:P9)=1, "VETOED / ตกเกณฑ์ข้อบังคับวิกฤต (คะแนนระดับ 1)", IF(Q9&gt;=80, "ผ่านเกณฑ์ระดับสูง (HIGHLY VIABLE)", IF(Q9&gt;=60, "ผ่านแบบมีเงื่อนไข (CONDITIONALLY VIABLE)", "ความเสี่ยงสูง (HIGH RISK)")))</f>
        <v/>
      </c>
    </row>
    <row r="13" ht="70" customHeight="1">
      <c r="A13" s="23" t="inlineStr">
        <is>
          <t>แผนลดขอบเขตงาน &amp; มาตรการลดความเสี่ยง (De-scoping Action)</t>
        </is>
      </c>
      <c r="B13" s="26" t="inlineStr">
        <is>
          <t>ใช้บอร์ด ESP32 สำเร็จรูปพร้อมเสาอากาศมาตรฐาน</t>
        </is>
      </c>
      <c r="C13" s="26" t="inlineStr">
        <is>
          <t>กำหนดโครงสร้าง REST API ให้ชัดเจนเพื่อให้สมาชิกสลับงานกันเขียนโค้ดได้</t>
        </is>
      </c>
      <c r="D13" s="26" t="inlineStr">
        <is>
          <t>ใช้บริการคลาวด์ระดับ Free Tier (เช่น Supabase หรือ Railway) เพื่อลดต้นทุนดำเนินงาน</t>
        </is>
      </c>
      <c r="E13" s="26" t="inlineStr">
        <is>
          <t>ทำระบบ Local Fallback รับค่าเฉพาะเซนเซอร์ผิวน้ำหาก Radar API ขัดข้อง</t>
        </is>
      </c>
      <c r="F13" s="26" t="inlineStr">
        <is>
          <t>สำรองบอร์ดไมโครคอนโทรลเลอร์ 2 ชุดสำหรับทดสอบและใช้งานจริง</t>
        </is>
      </c>
      <c r="G13" s="26" t="inlineStr">
        <is>
          <t>ปฏิบัติตามข้อกำหนดการดึงข้อมูล Open Data ของภาครัฐ</t>
        </is>
      </c>
      <c r="H13" s="26" t="inlineStr">
        <is>
          <t>ใช้ไลบรารีโอเพนซอร์สที่มีสัญญาอนุญาต MIT หรือ BSD เท่านั้น</t>
        </is>
      </c>
      <c r="I13" s="26" t="inlineStr">
        <is>
          <t>ออกแบบระบบ Auto-provisioning สำหรับเชื่อมต่อ Wi-Fi/Cellular อัตโนมัติ</t>
        </is>
      </c>
      <c r="J13" s="26" t="inlineStr">
        <is>
          <t>ใส่เคสกันฝุ่นและกันละอองน้ำมาตรฐาน IP65 ให้กับชุดรับสัญญาณ</t>
        </is>
      </c>
      <c r="K13" s="26" t="inlineStr">
        <is>
          <t>จัดรูปแบบข้อความแจ้งเตือนใน LINE ให้กระชับ ระบุพิกัดและระดับน้ำชัดเจน</t>
        </is>
      </c>
      <c r="L13" s="26" t="inlineStr">
        <is>
          <t>สร้าง Mock Service จำลองฝนตกเพื่อทดสอบระบบตรรกะโดยไม่ต้องรอฝนตกจริง</t>
        </is>
      </c>
      <c r="M13" s="26" t="inlineStr">
        <is>
          <t>ใช้ GitHub Actions รัน Unit Test อัตโนมัติทุกครั้งที่ Pull Request</t>
        </is>
      </c>
      <c r="N13" s="26" t="inlineStr">
        <is>
          <t>ให้ Kin ดูแลฝั่ง Dashboard และ JK ดูแลอัลกอริทึม 2-Factor Logic</t>
        </is>
      </c>
      <c r="O13" s="26" t="inlineStr">
        <is>
          <t>ทดสอบระบบรวมกับข้อมูลย้อนหลังของ กทม. ก่อนสัปดาห์ที่ 8</t>
        </is>
      </c>
      <c r="P13" s="26" t="inlineStr">
        <is>
          <t>จัดเตรียมอะไหล่โมดูลสำรองไว้ล่วงหน้าก่อนเริ่มช่วงมิดเทอม</t>
        </is>
      </c>
      <c r="Q13" s="25" t="inlineStr">
        <is>
          <t>ปฏิบัติตามแผนลดขอบเขตงาน (De-scoping Advisory)</t>
        </is>
      </c>
    </row>
    <row r="14" ht="15" customHeight="1"/>
    <row r="15" ht="26" customHeight="1">
      <c r="A15" s="19" t="inlineStr">
        <is>
          <t>ตารางสรุปคะแนนแยกตามมิติ TELOS+S (Pillar Score Breakdown)</t>
        </is>
      </c>
    </row>
    <row r="16" ht="24" customHeight="1">
      <c r="A16" s="34" t="inlineStr">
        <is>
          <t>มิติการประเมิน (TELOS+S Pillar)</t>
        </is>
      </c>
      <c r="B16" s="34" t="inlineStr">
        <is>
          <t>สัดส่วนน้ำหนัก (Weight %)</t>
        </is>
      </c>
      <c r="C16" s="34" t="inlineStr">
        <is>
          <t>คะแนนเต็มมิติ (Max Points)</t>
        </is>
      </c>
      <c r="D16" s="34" t="inlineStr">
        <is>
          <t>คะแนนที่ได้รับจริง (Earned Points)</t>
        </is>
      </c>
      <c r="E16" s="34" t="inlineStr">
        <is>
          <t>คะแนนเฉลี่ย (Score 1-5)</t>
        </is>
      </c>
      <c r="F16" s="34" t="inlineStr">
        <is>
          <t>ระดับความพร้อม (Readiness Level)</t>
        </is>
      </c>
    </row>
    <row r="17" ht="22" customHeight="1">
      <c r="A17" s="35" t="inlineStr">
        <is>
          <t>T : ด้านเทคโนโลยีและวิศวกรรม (Technical)</t>
        </is>
      </c>
      <c r="B17" s="36" t="n">
        <v>0.2</v>
      </c>
      <c r="C17" s="37" t="n">
        <v>20</v>
      </c>
      <c r="D17" s="38">
        <f>SUM(B11:C11)*20</f>
        <v/>
      </c>
      <c r="E17" s="39">
        <f>IF(C17&gt;0, (D17/C17)*5, 0)</f>
        <v/>
      </c>
      <c r="F17" s="25">
        <f>IF(D17&gt;=16.0, "พร้อมระดับสูง (High)", IF(D17&gt;=12.0, "ปานกลาง (Medium)", "เสี่ยงวิกฤต (Critical)"))</f>
        <v/>
      </c>
    </row>
    <row r="18" ht="22" customHeight="1">
      <c r="A18" s="35" t="inlineStr">
        <is>
          <t>E : ด้านเศรษฐศาสตร์และความคุ้มค่า (Economic)</t>
        </is>
      </c>
      <c r="B18" s="36" t="n">
        <v>0.2</v>
      </c>
      <c r="C18" s="37" t="n">
        <v>20</v>
      </c>
      <c r="D18" s="38">
        <f>SUM(D11:F11)*20</f>
        <v/>
      </c>
      <c r="E18" s="39">
        <f>IF(C18&gt;0, (D18/C18)*5, 0)</f>
        <v/>
      </c>
      <c r="F18" s="25">
        <f>IF(D18&gt;=16.0, "พร้อมระดับสูง (High)", IF(D18&gt;=12.0, "ปานกลาง (Medium)", "เสี่ยงวิกฤต (Critical)"))</f>
        <v/>
      </c>
    </row>
    <row r="19" ht="22" customHeight="1">
      <c r="A19" s="35" t="inlineStr">
        <is>
          <t>L : ด้านกฎหมายและสถาบัน (Legal &amp; Institutional)</t>
        </is>
      </c>
      <c r="B19" s="36" t="n">
        <v>0.2</v>
      </c>
      <c r="C19" s="37" t="n">
        <v>20</v>
      </c>
      <c r="D19" s="38">
        <f>SUM(G11:H11)*20</f>
        <v/>
      </c>
      <c r="E19" s="39">
        <f>IF(C19&gt;0, (D19/C19)*5, 0)</f>
        <v/>
      </c>
      <c r="F19" s="25">
        <f>IF(D19&gt;=16.0, "พร้อมระดับสูง (High)", IF(D19&gt;=12.0, "ปานกลาง (Medium)", "เสี่ยงวิกฤต (Critical)"))</f>
        <v/>
      </c>
    </row>
    <row r="20" ht="22" customHeight="1">
      <c r="A20" s="35" t="inlineStr">
        <is>
          <t>O : ด้านการปฏิบัติการและหน้างาน (Operational)</t>
        </is>
      </c>
      <c r="B20" s="36" t="n">
        <v>0.2</v>
      </c>
      <c r="C20" s="37" t="n">
        <v>20</v>
      </c>
      <c r="D20" s="38">
        <f>SUM(I11:N11)*20</f>
        <v/>
      </c>
      <c r="E20" s="39">
        <f>IF(C20&gt;0, (D20/C20)*5, 0)</f>
        <v/>
      </c>
      <c r="F20" s="25">
        <f>IF(D20&gt;=16.0, "พร้อมระดับสูง (High)", IF(D20&gt;=12.0, "ปานกลาง (Medium)", "เสี่ยงวิกฤต (Critical)"))</f>
        <v/>
      </c>
    </row>
    <row r="21" ht="22" customHeight="1">
      <c r="A21" s="35" t="inlineStr">
        <is>
          <t>S : ด้านแผนงานและเวลาส่งมอบ (Schedule)</t>
        </is>
      </c>
      <c r="B21" s="36" t="n">
        <v>0.2</v>
      </c>
      <c r="C21" s="37" t="n">
        <v>20</v>
      </c>
      <c r="D21" s="38">
        <f>SUM(O11:P11)*20</f>
        <v/>
      </c>
      <c r="E21" s="39">
        <f>IF(C21&gt;0, (D21/C21)*5, 0)</f>
        <v/>
      </c>
      <c r="F21" s="25">
        <f>IF(D21&gt;=16.0, "พร้อมระดับสูง (High)", IF(D21&gt;=12.0, "ปานกลาง (Medium)", "เสี่ยงวิกฤต (Critical)"))</f>
        <v/>
      </c>
    </row>
    <row r="22" ht="26" customHeight="1">
      <c r="A22" s="40" t="inlineStr">
        <is>
          <t>คะแนนรวมทุกมิติ (Total Feasibility Score)</t>
        </is>
      </c>
      <c r="B22" s="31">
        <f>SUM(B17:B21)</f>
        <v/>
      </c>
      <c r="C22" s="41">
        <f>SUM(C17:C21)</f>
        <v/>
      </c>
      <c r="D22" s="42">
        <f>SUM(D17:D21)</f>
        <v/>
      </c>
      <c r="E22" s="32">
        <f>IF(C22&gt;0, (D22/C22)*5, 0)</f>
        <v/>
      </c>
      <c r="F22" s="43">
        <f>IF(D22&gt;=80, "ผ่านเกณฑ์ระดับสูง (HIGHLY VIABLE)", IF(D22&gt;=60, "ผ่านแบบมีเงื่อนไข (CONDITIONALLY VIABLE)", "ความเสี่ยงสูง (HIGH RISK)"))</f>
        <v/>
      </c>
    </row>
    <row r="23" ht="12" customHeight="1"/>
    <row r="24" ht="26" customHeight="1">
      <c r="A24" s="19" t="inlineStr">
        <is>
          <t>เมทริกซ์ประเมินความเข้ากันได้กับองค์ความรู้ด้านวิศวกรรมหุ่นยนต์ (Robotics Knowledge Compatibility)</t>
        </is>
      </c>
    </row>
    <row r="25" ht="22" customHeight="1">
      <c r="A25" s="20" t="inlineStr">
        <is>
          <t>* หมายเหตุ: การประเมินส่วนนี้วัดศักยภาพในการประยุกต์ใช้องค์ความรู้ด้านวิศวกรรมหุ่นยนต์ (Perception, Control, Actuation, Mechatronics) เต็ม 10 คะแนน | เป็นเอกเทศ ไม่นับรวมในคะแนน TELOS 100 คะแนน</t>
        </is>
      </c>
    </row>
    <row r="26" ht="24" customHeight="1">
      <c r="A26" s="44" t="inlineStr">
        <is>
          <t>มิติการประเมิน (Robotics Dimension)</t>
        </is>
      </c>
      <c r="B26" s="44" t="inlineStr">
        <is>
          <t>คะแนนศักยภาพ (/10)</t>
        </is>
      </c>
      <c r="C26" s="44" t="inlineStr">
        <is>
          <t>แกน Perception &amp; Sensing (การรับรู้)</t>
        </is>
      </c>
      <c r="D26" s="44" t="inlineStr">
        <is>
          <t>แกน Control &amp; Algorithms (การควบคุม)</t>
        </is>
      </c>
      <c r="E26" s="44" t="inlineStr">
        <is>
          <t>แกน Actuation &amp; Mechanisms (กลไก)</t>
        </is>
      </c>
      <c r="F26" s="44" t="inlineStr">
        <is>
          <t>บทวิเคราะห์เชิงวิศวกรรมหุ่นยนต์ (FIBO Alignment Rationale)</t>
        </is>
      </c>
    </row>
    <row r="27" ht="95" customHeight="1">
      <c r="A27" s="45" t="inlineStr">
        <is>
          <t>ศักยภาพการประยุกต์ใช้องค์ความรู้หุ่นยนต์และระบบอัตโนมัติ</t>
        </is>
      </c>
      <c r="B27" s="46" t="n">
        <v>5</v>
      </c>
      <c r="C27" s="26" t="inlineStr">
        <is>
          <t>ดึงข้อมูลเรดาร์ปริมาณฝนผ่าน API ร่วมกับเซนเซอร์วัดระดับน้ำและอัตราการไหล (Dual-stream Data Ingestion)</t>
        </is>
      </c>
      <c r="D27" s="26" t="inlineStr">
        <is>
          <t>ใช้อัลกอริทึมคัดกรอง 2-Factor Authentication Logic, Boolean Decision Trees และ Spatial-Temporal Correlation Filter</t>
        </is>
      </c>
      <c r="E27" s="26" t="inlineStr">
        <is>
          <t>ไม่มีระบบกลไกหรือฮาร์ดแวร์เคลื่อนที่ เป็นระบบ Decision Support System (DSS) บนคลาวด์และเว็บแดชบอร์ด</t>
        </is>
      </c>
      <c r="F27" s="26" t="inlineStr">
        <is>
          <t>มีความเข้ากันได้ในแกนการประมวลผลข้อมูลและสถาปัตยกรรมตรรกะควบคุม (Control &amp; Decision Logic) แต่ขาดแกนกลไก (Mechanics) และ Actuation ของหุ่นยนต์อย่างสิ้นเชิง คะแนนจึงอยู่ที่ 5.0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7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</cols>
  <sheetData>
    <row r="1">
      <c r="A1" s="19" t="inlineStr">
        <is>
          <t>เมทริกซ์ประเมินความเป็นไปได้เชิงระบบ TELOS+S: Acoustic Sewer Measurement &amp; Pre-Screening Maintenance (UK/USA SL-RAT Case)</t>
        </is>
      </c>
    </row>
    <row r="2">
      <c r="A2" s="20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21" t="inlineStr">
        <is>
          <t>รหัสคำถาม (Question Code)</t>
        </is>
      </c>
      <c r="B4" s="22" t="inlineStr">
        <is>
          <t>T-01</t>
        </is>
      </c>
      <c r="C4" s="22" t="inlineStr">
        <is>
          <t>T-02</t>
        </is>
      </c>
      <c r="D4" s="22" t="inlineStr">
        <is>
          <t>E-01</t>
        </is>
      </c>
      <c r="E4" s="22" t="inlineStr">
        <is>
          <t>E-02</t>
        </is>
      </c>
      <c r="F4" s="22" t="inlineStr">
        <is>
          <t>E-03</t>
        </is>
      </c>
      <c r="G4" s="22" t="inlineStr">
        <is>
          <t>L-01</t>
        </is>
      </c>
      <c r="H4" s="22" t="inlineStr">
        <is>
          <t>L-02</t>
        </is>
      </c>
      <c r="I4" s="22" t="inlineStr">
        <is>
          <t>O-01</t>
        </is>
      </c>
      <c r="J4" s="22" t="inlineStr">
        <is>
          <t>O-02</t>
        </is>
      </c>
      <c r="K4" s="22" t="inlineStr">
        <is>
          <t>O-03</t>
        </is>
      </c>
      <c r="L4" s="22" t="inlineStr">
        <is>
          <t>O-04</t>
        </is>
      </c>
      <c r="M4" s="22" t="inlineStr">
        <is>
          <t>O-05</t>
        </is>
      </c>
      <c r="N4" s="22" t="inlineStr">
        <is>
          <t>O-06</t>
        </is>
      </c>
      <c r="O4" s="22" t="inlineStr">
        <is>
          <t>S-01</t>
        </is>
      </c>
      <c r="P4" s="22" t="inlineStr">
        <is>
          <t>S-02</t>
        </is>
      </c>
      <c r="Q4" s="22" t="inlineStr">
        <is>
          <t>สรุปภาพรวม (SUMMARY)</t>
        </is>
      </c>
    </row>
    <row r="5" ht="24" customHeight="1">
      <c r="A5" s="23" t="inlineStr">
        <is>
          <t>มิติการประเมิน (TELOS+S Pillar)</t>
        </is>
      </c>
      <c r="B5" s="24" t="inlineStr">
        <is>
          <t>ด้านเทคนิค (Technical Feasibility)</t>
        </is>
      </c>
      <c r="C5" s="24" t="inlineStr">
        <is>
          <t>ด้านเทคนิค (Technical Feasibility)</t>
        </is>
      </c>
      <c r="D5" s="24" t="inlineStr">
        <is>
          <t>ด้านเศรษฐศาสตร์ (Economic Feasibility)</t>
        </is>
      </c>
      <c r="E5" s="24" t="inlineStr">
        <is>
          <t>ด้านเศรษฐศาสตร์ (Economic Feasibility)</t>
        </is>
      </c>
      <c r="F5" s="24" t="inlineStr">
        <is>
          <t>ด้านเศรษฐศาสตร์ (Economic Feasibility)</t>
        </is>
      </c>
      <c r="G5" s="24" t="inlineStr">
        <is>
          <t>ด้านกฎหมายและสถาบัน (Legal &amp; Institutional Feasibility)</t>
        </is>
      </c>
      <c r="H5" s="24" t="inlineStr">
        <is>
          <t>ด้านกฎหมายและสถาบัน (Legal &amp; Institutional Feasibility)</t>
        </is>
      </c>
      <c r="I5" s="24" t="inlineStr">
        <is>
          <t>ด้านการปฏิบัติการ (Operational Feasibility)</t>
        </is>
      </c>
      <c r="J5" s="24" t="inlineStr">
        <is>
          <t>ด้านการปฏิบัติการ (Operational Feasibility)</t>
        </is>
      </c>
      <c r="K5" s="24" t="inlineStr">
        <is>
          <t>ด้านการปฏิบัติการ (Operational Feasibility)</t>
        </is>
      </c>
      <c r="L5" s="24" t="inlineStr">
        <is>
          <t>ด้านการปฏิบัติการ (Operational Feasibility)</t>
        </is>
      </c>
      <c r="M5" s="24" t="inlineStr">
        <is>
          <t>ด้านการปฏิบัติการ (Operational Feasibility)</t>
        </is>
      </c>
      <c r="N5" s="24" t="inlineStr">
        <is>
          <t>ด้านการปฏิบัติการ (Operational Feasibility)</t>
        </is>
      </c>
      <c r="O5" s="24" t="inlineStr">
        <is>
          <t>ด้านแผนงานและเวลา (Schedule Feasibility)</t>
        </is>
      </c>
      <c r="P5" s="24" t="inlineStr">
        <is>
          <t>ด้านแผนงานและเวลา (Schedule Feasibility)</t>
        </is>
      </c>
      <c r="Q5" s="25" t="inlineStr">
        <is>
          <t>ผลรวมทุกมิติ (All Pillars)</t>
        </is>
      </c>
    </row>
    <row r="6" ht="80" customHeight="1">
      <c r="A6" s="23" t="inlineStr">
        <is>
          <t>คำถามทดสอบความเสี่ยงจริง (Stress-Test Question)</t>
        </is>
      </c>
      <c r="B6" s="26" t="inlineStr">
        <is>
          <t>Implementation (Build vs. Buy Burden): โครงการมีความจำเป็นต้องวิจัยและพัฒนาชิ้นส่วนขึ้นเอง (Build from Scratch) มากน้อยเพียงใด หรือสามารถจัดหาโมดูลสำเร็จรูปมาตรฐาน (COTS) มาประกอบและปรับแต่งได้โดยตรง?</t>
        </is>
      </c>
      <c r="C6" s="26" t="inlineStr">
        <is>
          <t>Team Redundancy (Bus Factor): มีจำนวนสมาชิกในทีมกี่คนที่เข้าใจสถาปัตยกรรมทั้งเชิงกล วงจรไฟฟ้า และโค้ด จนสามารถพัฒนา ประกอบ และแก้ไขข้อผิดพลาดของระบบย่อยนี้ได้อย่างอิสระ?</t>
        </is>
      </c>
      <c r="D6" s="26" t="inlineStr">
        <is>
          <t>ROI (Payback Period / Value Horizon): โครงการมีระยะเวลาคืนทุน (Payback Period) และความคุ้มค่าในการลดความสูญเสียหรือลดค่าใช้จ่ายในการดำเนินงาน (OpEx Reduction) รวดเร็วเพียงใด?</t>
        </is>
      </c>
      <c r="E6" s="26" t="inlineStr">
        <is>
          <t>Dependencies of Component (Vendor Lock-in &amp; Service Autonomy): ระบบมีความเป็นอิสระจากการผูกขาดของผู้ผลิต (Vendor Lock-in) มากน้อยเพียงใด และทีมงานหรือวิศวกรทั่วไปสามารถซ่อมบำรุงด้วยเครื่องมือเปิดได้เองหรือไม่?</t>
        </is>
      </c>
      <c r="F6" s="26" t="inlineStr">
        <is>
          <t>Scrap Margin (Safety Allowance for Blown ICs &amp; Iterations): โครงการมีการจัดสรรงบประมาณสำรองสำหรับชิ้นส่วนทดแทนกรณีเสียหาย (Scrap Margin) และการทดลองซ้ำ (Iterations) ในสัดส่วนเท่าใดของรายการวัสดุ (BOM)?</t>
        </is>
      </c>
      <c r="G6" s="26" t="inlineStr">
        <is>
          <t>Felony and Civil Law (Regulatory &amp; Public Safety Compliance): ระบบและการติดตั้งมีความสอดคล้องต่อข้อบังคับทางกฎหมายอาญา แพ่ง ระเบียบจราจร และการคุ้มครองข้อมูลส่วนบุคคล (PDPA / Public Safety) โดยไม่สร้างความรับผิดทางกฎหมายหรือไม่?</t>
        </is>
      </c>
      <c r="H6" s="26" t="inlineStr">
        <is>
          <t>IP and Licensing: ทรัพย์สินทางปัญญา ซอฟต์แวร์ไลบรารี และสิทธิบัตรที่นำมาใช้ มีความเปิดกว้างและปลอดภาระผูกพันทางการค้าหรือการละเมิดลิขสิทธิ์ (Licensing Freedom) มากน้อยเพียงใด?</t>
        </is>
      </c>
      <c r="I6" s="26" t="inlineStr">
        <is>
          <t>User — Implementation (Field Deployment / Setup Friction): ขั้นตอนการติดตั้ง ติดตั้งเครื่องมือ ปรับเทียบศูนย์ (Calibration) และเตรียมพร้อมใช้งานหน้างานจริงโดยผู้ปฏิบัติงาน มีความยุ่งยากหรือกินเวลาเพียงใด?</t>
        </is>
      </c>
      <c r="J6" s="26" t="inlineStr">
        <is>
          <t>User — Customer / Public Safety &amp; Failsafes: มาตรการรักษาความปลอดภัย การป้องกันอุบัติเหตุ (Failsafes, Interlocks, E-stops) และการควบคุมอันตรายต่อเจ้าหน้าที่และสาธารณชนมีความรัดกุมเพียงใด?</t>
        </is>
      </c>
      <c r="K6" s="26" t="inlineStr">
        <is>
          <t>User — Behavior &amp; Workflow Disruption: ระบบสร้างภาระงานเอกสาร ขั้นตอนปฏิบัติงาน หรือบังคับเปลี่ยนพฤติกรรมเจ้าหน้าที่หน้างาน (SOP Disruption) มากน้อยเพียงใด?</t>
        </is>
      </c>
      <c r="L6" s="26" t="inlineStr">
        <is>
          <t>Developer — Task Dependency (Critical Path Architecture): สถาปัตยกรรมการพัฒนาฮาร์ดแวร์ ไฟฟ้า และซอฟต์แวร์ มีการเชื่อมต่อแบบขนาน (Parallel Architecture / Modularity) หรือผูกติดกันเป็นเส้นตรงบนเส้นทางวิกฤต (Critical Path)?</t>
        </is>
      </c>
      <c r="M6" s="26" t="inlineStr">
        <is>
          <t>Developer — Contribution Dependency (Bureaucratic &amp; Lab Gatekeeping): การเข้าถึงเครื่องมือในห้องปฏิบัติการ การอนุมัติงบประมาณ และกระบวนการทางธุรการ (Lab Access &amp; Purchasing Bureaucracy) มีอุปสรรคขัดขวางความคล่องตัวเพียงใด?</t>
        </is>
      </c>
      <c r="N6" s="26" t="inlineStr">
        <is>
          <t>Developer — Task &amp; Skill Compatibility: ความเข้ากันได้ระหว่างทักษะเดิมของทีมกับเทคโนโลยีสแตกของระบบ (Task &amp; Skill Compatibility: 'Water and Oil' vs. 'Oil and Engine') อยู่ในระดับใด?</t>
        </is>
      </c>
      <c r="O6" s="26" t="inlineStr">
        <is>
          <t>Production Time (Engineering Design Maturity by Milestone): ความพร้อมของแบบวิศวกรรม (3D CAD, Schematics, PCB Gerbers, Firmware Architecture, BOM) อยู่ในระดับความสมบูรณ์ใดเทียบกับหมุดหมายการผลิตจริง?</t>
        </is>
      </c>
      <c r="P6" s="26" t="inlineStr">
        <is>
          <t>Shipping (Component Procurement Lead Time): ระยะเวลาในการจัดหาและขนส่งชิ้นส่วน อุปกรณ์ และเซนเซอร์ (Procurement Lead Time) อยู่ในกรอบเวลาที่ปลอดภัยต่อกำหนดส่งมอบงานหรือไม่?</t>
        </is>
      </c>
      <c r="Q6" s="27" t="inlineStr">
        <is>
          <t>ประเมินคำถามทั้งสิ้น 15 ข้อ</t>
        </is>
      </c>
    </row>
    <row r="7" ht="95" customHeight="1">
      <c r="A7" s="23" t="inlineStr">
        <is>
          <t>เหตุผลในการถาม &amp; โหมดความล้มเหลวที่เฝ้าระวัง (Rationale)</t>
        </is>
      </c>
      <c r="B7" s="26" t="inlineStr">
        <is>
          <t>มุ่งตรวจสอบ Build vs. Buy Burden และ Machine Access หากระบบต้อง R&amp;D กลไกหรือวงจรขึ้นเอง 100% โดยไม่มี Reference Design จะเกิดความเสี่ยงวิกฤตต่อกรอบเวลาของโครงงานวิศวกรรม</t>
        </is>
      </c>
      <c r="C7" s="26" t="inlineStr">
        <is>
          <t>ตรวจสอบความต่อเนื่องของทีม (Team Knowledge Distribution) ป้องกัน Single Point of Failure หากมีผู้เชี่ยวชาญเพียงคนเดียวเมื่อติดสอบหรือเจ็บป่วยโครงการจะล้มเหลวทันที</t>
        </is>
      </c>
      <c r="D7" s="26" t="inlineStr">
        <is>
          <t>ประเมินความคุ้มค่าในการลงทุนและระยะเวลาคืนทุนเชิงสาธารณูปโภคหรือเชิงพาณิชย์ เทียบกับเงินลงทุนเริ่มต้น (CapEx) และเงินประหยัดค่าแรงงาน/ค่าน้ำมันหน้างาน</t>
        </is>
      </c>
      <c r="E7" s="26" t="inlineStr">
        <is>
          <t>ตรวจสอบภาระค่าใช้จ่ายแฝงระยะยาว (Recurring Cloud/Licensing Fees) และความเสี่ยงจากการถูกผูกขาดด้วยฮาร์ดแวร์หรือระบบคลาวด์ปิดของผู้ผลิตรายเดียว</t>
        </is>
      </c>
      <c r="F7" s="26" t="inlineStr">
        <is>
          <t>ตรวจสอบ The Scrap Budget Rule งานฮาร์ดแวร์มีความเสี่ยงต่อชิปไหม้ แผ่นวงจรช็อต หรือขายึดหัก หากไม่มีงบสำรองจัดซื้อชุดที่ 2 การพัฒนาจะหยุดชะงักทันที</t>
        </is>
      </c>
      <c r="G7" s="26" t="inlineStr">
        <is>
          <t>ตรวจสอบความเสี่ยงต่อการทำผิดกฎหมายสาธารณะ (พ.ร.บ. จราจรทางบก, พ.ร.บ. คุ้มครองข้อมูลส่วนบุคคล PDPA, กฎหมายสิ่งแวดล้อม และระเบียบทางหลวง)</t>
        </is>
      </c>
      <c r="H7" s="26" t="inlineStr">
        <is>
          <t>ตรวจสอบข้อจำกัดด้านสิทธิ์ซอฟต์แวร์และฮาร์ดแวร์ ป้องกันการติดไวรัสไลเซนส์ (Copyleft GPLv3) หรือการละเมิดสิทธิบัตรเชิงพาณิชย์ของบุคคลภายนอก</t>
        </is>
      </c>
      <c r="I7" s="26" t="inlineStr">
        <is>
          <t>ประเมินความยากลำบากของเจ้าหน้าที่หน้างาน (Field Setup Friction) หากอุปกรณ์ต้องใช้เวลาตั้งค่าหรือ Calibrate นานเกินไป เจ้าหน้าที่จะปฏิเสธการใช้งาน</t>
        </is>
      </c>
      <c r="J7" s="26" t="inlineStr">
        <is>
          <t>ตรวจสอบความปลอดภัยต่อชีวิตและทรัพย์สิน ป้องกันอันตรายจากไฟฟ้าแรงสูง สารเคมี ก๊าซพิษในที่อับอากาศ หรืออุบัติเหตุทางรถยนต์ขณะปฏิบัติงาน</t>
        </is>
      </c>
      <c r="K7" s="26" t="inlineStr">
        <is>
          <t>ประเมินแรงต้านจากเจ้าหน้าที่ผู้ใช้งาน (The Tech Trap) ระบบที่ดีต้องลดภาระ ไม่ใช่สร้างแบบฟอร์มเอกสารหรือบังคับเปลี่ยนกระบวนการทำงานหลัก</t>
        </is>
      </c>
      <c r="L7" s="26" t="inlineStr">
        <is>
          <t>ตรวจสอบ Critical Path การพัฒนา หากงานซอฟต์แวร์ต้องรอฮาร์ดแวร์จริงเสร็จก่อนเท่านั้น จะเกิดคอขวดสะสมจนส่งมอบงานไม่ทันกำหนด</t>
        </is>
      </c>
      <c r="M7" s="26" t="inlineStr">
        <is>
          <t>ประเมินอุปสรรคด้านการบริหารและเครื่องมือ (Institutional Gatekeeping) เช่น คิวรอเครื่องจักร การล็อกแล็บ หรือขั้นตอนเบิกจ่ายงบประมาณที่ล่าช้า</t>
        </is>
      </c>
      <c r="N7" s="26" t="inlineStr">
        <is>
          <t>ตรวจสอบความสอดคล้องระหว่างทักษะที่ทีมมีอยู่จริงกับเทคโนโลยีที่เลือกใช้ เพื่อป้องกัน Learning Curve ที่สูงเกินไปจนงานล้มเหลว</t>
        </is>
      </c>
      <c r="O7" s="26" t="inlineStr">
        <is>
          <t>ประเมินความพร้อมของพิมพ์เขียวการผลิต (Design Maturity Package) ก่อนเริ่มสั่งผลิตจริง เพื่อป้องกันการรื้อแก้แบบกลางคัน</t>
        </is>
      </c>
      <c r="P7" s="26" t="inlineStr">
        <is>
          <t>ตรวจสอบห่วงโซ่อุปทาน (Supply Chain Lead Time) ชิ้นส่วนที่ต้องรอส่งจากต่างประเทศเกิน 3 สัปดาห์ถือเป็นความเสี่ยงต่อวิกฤตสัปดาห์สอบและกำหนดส่งมอบ</t>
        </is>
      </c>
      <c r="Q7" s="27" t="inlineStr">
        <is>
          <t>สังเคราะห์จาก AI Agents Group 2</t>
        </is>
      </c>
    </row>
    <row r="8" ht="150" customHeight="1">
      <c r="A8" s="23" t="inlineStr">
        <is>
          <t>เกณฑ์การให้คะแนน (Scoring Rubric Definition: ระดับ 1, 2, 3, 4, 5 ครบทุกระดับ)</t>
        </is>
      </c>
      <c r="B8" s="26" t="inlineStr">
        <is>
          <t>1: Build from Scratch — 100% custom R&amp;D required (custom mechanism, custom PCB, raw algorithm derivation); no reference designs available.
2: Heavy Customization — Core components exist, but requires extensive custom adaptation, structural machining, and custom wrapper code.
3: Hybrid / COTS Integration — Standard COTS modules (e.g., standard dev board + breakout sensors) assembled with custom brackets and intermediate wiring.
4: Modular COTS Assembly — Pre-engineered building blocks with standard mounting and standard communication buses (e.g., Din-rail modules, I2C/CAN shields); minimal custom fabrication.
5: Commercial Off-the-Shelf (COTS) — Turnkey commercial solution; zero custom fabrication or circuitry required, immediate plug-and-play operation.</t>
        </is>
      </c>
      <c r="C8" s="26" t="inlineStr">
        <is>
          <t>1: Single Point of Failure (Bus Factor = 1) — Only 1 teammate understands the codebase/hardware; if they are absent or drop out, the project completely halts.
2: Fragile Redundancy (Bus Factor = 1.5) — 1 primary expert with minimal notes; a second member has rough familiarity but requires steep ramp-up to debug.
3: Moderate Redundancy (Bus Factor = 2) — 2 teammates can independently maintain, test, and troubleshoot the core subsystem.
4: High Team Redundancy (3+ Teammates) — 3+ teammates can actively design, assemble, and debug the subsystem with low ramp-up time.
5: Full Team Redundancy — All team members are fully proficient; tasks can be swapped across anyone with zero friction or velocity loss.</t>
        </is>
      </c>
      <c r="D8" s="26" t="inlineStr">
        <is>
          <t>1: Long Payback (≥ 10 Years) — High initial CapEx and low recurring savings; economically non-viable for rapid deployment.
2: Slow Return (6–9 Years) — Substantial capital investment with long break-even horizon; requires long-term institutional subsidization.
3: Moderate Return (3–5 Years) — Reasonable public infrastructure payback; offsets costs across multi-year operational cycles.
4: Fast Return (2–3 Years) — Strong operational cost reduction (fuel, labor, scrap); breaks even within normal equipment lifecycle.
5: Immediate Payback (≤ 1–2 Years) — Rapid break-even; eliminates major recurring losses within the first operating season.</t>
        </is>
      </c>
      <c r="E8" s="26" t="inlineStr">
        <is>
          <t>1: Total Vendor Lock-in — Proprietary cloud backend, encrypted telemetry, and proprietary connectors; completely dependent on vendor survival.
2: High Dependency — Hardware requires vendor-licensed diagnostic tools or annual subscription fees to maintain operation.
3: Semi-Independent — Core hardware relies on proprietary firmware, but allows open API export and standard electrical interfaces.
4: High Autonomy — Uses standard open communication protocols (e.g., Modbus, MQTT, CAN); parts can be serviced using generic tools.
5: Complete Independence — 100% open architecture; hardware is interchangeable with generic substitutes; self-serviceable by any engineer.</t>
        </is>
      </c>
      <c r="F8" s="26" t="inlineStr">
        <is>
          <t>1: Zero Buffer (0%) — Exactly 1x BOM purchased; any fried chip, cracked bracket, or wiring mistake kills the project.
2: Fragile Buffer (20–30%) — Spares only for passive components (resistors, connectors); no backup microcontrollers or expensive sensors.
3: Moderate Buffer (50%) — Spares for all critical passive parts and 1 spare for the primary controller board.
4: High Buffer (80%) — Spares for nearly every active component and sensor; can sustain multiple prototype burn-ins.
5: Full Redundancy (≥ 100%) — Complete 2x BOM budget on hand; can build two complete working units simultaneously.</t>
        </is>
      </c>
      <c r="G8" s="26" t="inlineStr">
        <is>
          <t>1: Severe Violation / No Privilege — Direct breach of statutory law (e.g., unconsented public surveillance/PDPA, hazardous road blockage, RF jammer).
2: High Legal Exposure — Ambiguous legal zone; high risk of civic complaints or traffic disruption; requires complex technical waivers.
3: Conditional / Requires Permit — Allowed under explicit written approval, official agency MoU, or municipal permit (e.g., BMA/Highway dept permit).
4: Low Legal Friction — Operates within standard public engineering exemptions; simple standard notification/safety compliance needed.
5: 100% Compliant / Free Domain — Completely exempt from statutory licensing; zero public safety risk, zero personal data (Zero PII), fully unrestricted.</t>
        </is>
      </c>
      <c r="H8" s="26" t="inlineStr">
        <is>
          <t>1: Closed / Commercial Barrier — Proprietary commercial license; cannot compile, flash, or operate without paying expensive commercial seat licenses.
2: Ambiguous / Gray IP — Unclear licensing terms or unlicensed GitHub repos; risk of copyright strike or IP dispute upon public demonstration.
3: Restrictive Open Source (Copyleft) — Permitted for educational use, but viral licenses (e.g., GPLv3) force your entire codebase to be made public if distributed.
4: Permissive Open Source — Open source with minimal conditions (e.g., LGPL, CC-BY); allows proprietary wrapping with simple attribution.
5: Completely Permissive / Public Domain — Permissive open source (MIT, Apache 2.0, BSD) or Public Domain; unrestricted freedom to commercialize, modify, and contribute.</t>
        </is>
      </c>
      <c r="I8" s="26" t="inlineStr">
        <is>
          <t>1: Laborious Recalibration — Requires multi-point manual physical zeroing, chemical calibration, or oscilloscope tuning before every run.
2: Complex Setup — Requires trained technician 20–30 minutes to adjust potentiometers, align brackets, or enter configuration commands.
3: Moderate Field Setup — Simple 5-minute calibration procedure (e.g., tare button or basic mobile app zeroing) performed by non-engineers.
4: Minimal Setup — Fast clamp-on mounting with automated self-calibration on power-up; ready in &lt; 1 minute.
5: True Plug and Go — Pure plug-and-play; zero calibration required, zero buttons; power on and immediately operational.</t>
        </is>
      </c>
      <c r="J8" s="26" t="inlineStr">
        <is>
          <t>1: Critical Hazard — Failure can directly cause electrocution, fire, traffic crashes, chemical exposure, or confined-space asphyxiation.
2: High Risk / Manual Oversight — High mechanical/electrical hazard requiring constant operator vigilance and full PPE.
3: Moderate Safety — Protected by passive mechanical guards, fuses, and warning labels; requires basic safety precautions.
4: High Safety &amp; Interlocks — Active software limits, hardware thermal shutoffs, and reverse polarity protection; minimal hazard on failure.
5: Inherently Safe &amp; Redundant — Failsafe by physics (cannot store lethal energy); isolated, dual-rated enclosures, redundant E-stops, zero injury risk.</t>
        </is>
      </c>
      <c r="K8" s="26" t="inlineStr">
        <is>
          <t>1: Disruptive Overhaul — Forces operators to abandon existing SOPs, adds 5+ extra tedious forms/steps, and faces fierce institutional union/worker resistance.
2: Significant Friction — Adds notable extra documentation or redundant verification steps; operators will actively look for ways to bypass it.
3: Moderate Adaptation — Modifies daily routine slightly; requires 1–2 training workshops, but delivers clear convenience trade-offs.
4: Low Friction — Integrates into existing tools (e.g., sends automated alerts to existing LINE/Telegram or ticketing dashboard); minimal change in habits.
5: Transparent / Seamless Integration — Zero workflow disruption; runs invisibly in background and automates existing manual paperwork without operator intervention.</t>
        </is>
      </c>
      <c r="L8" s="26" t="inlineStr">
        <is>
          <t>1: Strictly Sequential (Linear) — A depends on B depends on C; if the PCB fab is delayed, software and testing halt 100%.
2: Bottlenecked Pipelines — Major subsystems are tightly coupled; frequent integration stalls waiting for hardware bench access.
3: Semi-Decoupled — Hardware and software teams can work independently for 1–2 weeks using rough mockups before needing physical integration.
4: Modular Parallelism — Clear API/interface boundaries; software builds against mock data/simulators while hardware is routed; integration takes &lt; 2 days.
5: Fully Parallel Architecture — Microservices/modular nodes with standard contracts; mechanical, electrical, and firmware develop, simulate, and unit-test completely in parallel.</t>
        </is>
      </c>
      <c r="M8" s="26" t="inlineStr">
        <is>
          <t>1: Heavy Gatekeeping — Blocked by supervisor approvals, locked lab cabinets, NDA signatures, purchasing bureaucracy, and restricted git branches.
2: Moderate Bureaucracy — Requires departmental request forms, tool booking queues, and waiting 3–5 days for administrative sign-offs.
3: Standard Campus Access — Workable access during university open hours; minor approval delays for equipment or lab keys.
4: High Autonomy — Team has full repository write access, open 24/7 lab entry, and pre-approved discretionary debit cards/stipends for rapid purchases.
5: Frictionless Contribution — Complete autonomy; decentralized cloud CI/CD, local prototyping tools at home/bench, zero administrative blockers.</t>
        </is>
      </c>
      <c r="N8" s="26" t="inlineStr">
        <is>
          <t>1: Complete Mismatch ('Water and Oil') — Team has zero foundation in the stack (e.g., pure mechanical students forced to train deep neural nets in C++ from scratch).
2: Steep Learning Curve — High theoretical knowledge, but zero production hands-on experience; debugging basic syntax/wiring stalls progress.
3: Adjacent Competence — Strong mastery in related tools (e.g., proficient in Arduino/ESP32 migrating to STM32, or SolidWorks migrating to Fusion360); manageable 1-week curve.
4: Proven Experience — Team has built similar subsystems in past semester coursework or competition robots; rapid ramp-up.
5: Perfect Synergy ('Oil and Engine') — Complete domain mastery; team members have built this exact architecture multiple times with verified libraries and muscle memory.</t>
        </is>
      </c>
      <c r="O8" s="26" t="inlineStr">
        <is>
          <t>1: Concept Only (0% Design) — Napkin sketches and verbal concepts; 0% CAD models, 0% schematics, 0% code written.
2: Rough Drafts (25% Design) — Preliminary block diagrams, hand-drawn schematics, unverified parts list, incomplete 3D bounding boxes.
3: Intermediate Maturity (50% Design) — Complete CAD assembly (untested clearances), schematic capture complete, draft firmware architecture mapped out.
4: Pre-Production (80% Design) — Fully detailed 3D CAD ready for 3D print/CNC, routed PCB Gerber files validated with DRC, pinouts locked down.
5: Fully Engineered Design (100% Production Ready) — Complete drawing package: BOM with part numbers, verified manufacturing Gerbers, 2D tolerance drawings, assembly SOP, and flashing scripts ready.</t>
        </is>
      </c>
      <c r="P8" s="26" t="inlineStr">
        <is>
          <t>1: Extreme Lead Time (≥ 4 Weeks) — Custom overseas fabrication, customs clearance delays, or parts with long factory lead times (critical path hazard).
2: High Lead Time (3–4 Weeks) — Standard overseas shipping (e.g., standard AliExpress/international postal surface mail); vulnerable to logistics delays.
3: Moderate Lead Time (2 Weeks) — Express international courier (DHL, FedEx, JLCPCB express) or regional distributors (7–14 days).
4: Short Lead Time (1 Week) — Domestic couriers or express domestic stockists (3–5 business days).
5: Immediate / Next-Day (≤ 1–2 Days) — Shelf stock available locally at retail shops or next-day domestic express delivery.</t>
        </is>
      </c>
      <c r="Q8" s="27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8" t="inlineStr">
        <is>
          <t>คะแนนที่ได้รับ (ASSIGNED SCORE: 1, 2, 3, 4, 5 STRICT INTEGER)</t>
        </is>
      </c>
      <c r="B9" s="29" t="n">
        <v>3</v>
      </c>
      <c r="C9" s="29" t="n">
        <v>3</v>
      </c>
      <c r="D9" s="29" t="n">
        <v>4</v>
      </c>
      <c r="E9" s="29" t="n">
        <v>4</v>
      </c>
      <c r="F9" s="29" t="n">
        <v>3</v>
      </c>
      <c r="G9" s="29" t="n">
        <v>3</v>
      </c>
      <c r="H9" s="29" t="n">
        <v>4</v>
      </c>
      <c r="I9" s="29" t="n">
        <v>3</v>
      </c>
      <c r="J9" s="29" t="n">
        <v>3</v>
      </c>
      <c r="K9" s="29" t="n">
        <v>3</v>
      </c>
      <c r="L9" s="29" t="n">
        <v>3</v>
      </c>
      <c r="M9" s="29" t="n">
        <v>3</v>
      </c>
      <c r="N9" s="29" t="n">
        <v>4</v>
      </c>
      <c r="O9" s="29" t="n">
        <v>3</v>
      </c>
      <c r="P9" s="29" t="n">
        <v>3</v>
      </c>
      <c r="Q9" s="30">
        <f>IF(Q10&gt;0, (Q11/Q10)*20, 0)</f>
        <v/>
      </c>
    </row>
    <row r="10" ht="22" customHeight="1">
      <c r="A10" s="23" t="inlineStr">
        <is>
          <t>ค่าน้ำหนัก (Weight %)</t>
        </is>
      </c>
      <c r="B10" s="31" t="n">
        <v>0.1</v>
      </c>
      <c r="C10" s="31" t="n">
        <v>0.1</v>
      </c>
      <c r="D10" s="31" t="n">
        <v>0.0667</v>
      </c>
      <c r="E10" s="31" t="n">
        <v>0.0667</v>
      </c>
      <c r="F10" s="31" t="n">
        <v>0.06660000000000001</v>
      </c>
      <c r="G10" s="31" t="n">
        <v>0.1</v>
      </c>
      <c r="H10" s="31" t="n">
        <v>0.1</v>
      </c>
      <c r="I10" s="31" t="n">
        <v>0.0333</v>
      </c>
      <c r="J10" s="31" t="n">
        <v>0.0333</v>
      </c>
      <c r="K10" s="31" t="n">
        <v>0.0334</v>
      </c>
      <c r="L10" s="31" t="n">
        <v>0.0333</v>
      </c>
      <c r="M10" s="31" t="n">
        <v>0.0333</v>
      </c>
      <c r="N10" s="31" t="n">
        <v>0.0334</v>
      </c>
      <c r="O10" s="31" t="n">
        <v>0.1</v>
      </c>
      <c r="P10" s="31" t="n">
        <v>0.1</v>
      </c>
      <c r="Q10" s="31">
        <f>SUM(B10:P10)</f>
        <v/>
      </c>
    </row>
    <row r="11" ht="24" customHeight="1">
      <c r="A11" s="23" t="inlineStr">
        <is>
          <t>คะแนนถ่วงน้ำหนัก (=Score * Weight)</t>
        </is>
      </c>
      <c r="B11" s="32">
        <f>B9*B10</f>
        <v/>
      </c>
      <c r="C11" s="32">
        <f>C9*C10</f>
        <v/>
      </c>
      <c r="D11" s="32">
        <f>D9*D10</f>
        <v/>
      </c>
      <c r="E11" s="32">
        <f>E9*E10</f>
        <v/>
      </c>
      <c r="F11" s="32">
        <f>F9*F10</f>
        <v/>
      </c>
      <c r="G11" s="32">
        <f>G9*G10</f>
        <v/>
      </c>
      <c r="H11" s="32">
        <f>H9*H10</f>
        <v/>
      </c>
      <c r="I11" s="32">
        <f>I9*I10</f>
        <v/>
      </c>
      <c r="J11" s="32">
        <f>J9*J10</f>
        <v/>
      </c>
      <c r="K11" s="32">
        <f>K9*K10</f>
        <v/>
      </c>
      <c r="L11" s="32">
        <f>L9*L10</f>
        <v/>
      </c>
      <c r="M11" s="32">
        <f>M9*M10</f>
        <v/>
      </c>
      <c r="N11" s="32">
        <f>N9*N10</f>
        <v/>
      </c>
      <c r="O11" s="32">
        <f>O9*O10</f>
        <v/>
      </c>
      <c r="P11" s="32">
        <f>P9*P10</f>
        <v/>
      </c>
      <c r="Q11" s="32">
        <f>SUM(B11:P11)</f>
        <v/>
      </c>
    </row>
    <row r="12" ht="115" customHeight="1">
      <c r="A12" s="23" t="inlineStr">
        <is>
          <t>คำอธิบาย &amp; หลักฐานอ้างอิงจากไฟล์ Intake (Evidence Citation)</t>
        </is>
      </c>
      <c r="B12" s="26" t="inlineStr">
        <is>
          <t>อ้างอิง solution-details/solution-3.md ต้องผลิตชุด Acoustic Horn และขายึดทรานสดิวเซอร์แบบปรับระยะได้ ประกอบร่วมกับไมโครโฟนและลำโพง COTS</t>
        </is>
      </c>
      <c r="C12" s="26" t="inlineStr">
        <is>
          <t>สมาชิก 2 คน (JK ด้านสัญญาณ DSP/FFT และ Due ด้านวงจรขยายเสียง) มีความเข้าใจระบบลึกซึ้ง หากขาดคนใดคนหนึ่งการพัฒนาจะชะลอตัวลง (Bus Factor = 2)</t>
        </is>
      </c>
      <c r="D12" s="26" t="inlineStr">
        <is>
          <t>ช่วยหน่วยงานรัฐตัดงบการขุดลอกท่อแบบสุ่ม ประหยัดงบประมาณโครงการได้หลายแสนบาท คืนทุนภายใน 2-3 ปี</t>
        </is>
      </c>
      <c r="E12" s="26" t="inlineStr">
        <is>
          <t>ใช้ลำโพงและไมโครโฟนมาตรฐานเปิด สัญญาณวิเคราะห์ด้วย Python สามารถเปลี่ยนชิ้นส่วนทดแทนจากยี่ห้ออื่นได้</t>
        </is>
      </c>
      <c r="F12" s="26" t="inlineStr">
        <is>
          <t>หัววัดเสียงกันน้ำและวงจรขยายปรีแอมป์มีต้นทุนพอสมควร งบประมาณสามารถจัดหาชิ้นส่วนสำรองได้ประมาณ 50%</t>
        </is>
      </c>
      <c r="G12" s="26" t="inlineStr">
        <is>
          <t>การเปิดฝาท่อระบายน้ำบนถนนหลวงต้องขออนุญาตสำนักงานเขตและตำรวจจราจร มีความเสี่ยงต่อการกีดขวางทางสัญจร</t>
        </is>
      </c>
      <c r="H12" s="26" t="inlineStr">
        <is>
          <t>ใช้หลักการฟิสิกส์คลื่นเสียงและการประมวลผล FFT ทั่วไป ไม่ได้ใช้ซอฟต์แวร์ที่เป็นกรรมสิทธิ์ปิดของบริษัทผู้ผลิต SL-RAT</t>
        </is>
      </c>
      <c r="I12" s="26" t="inlineStr">
        <is>
          <t>เจ้าหน้าที่ต้องนำอุปกรณ์ไปหย่อนลงปากท่อระบายน้ำ 2 จุด ปรับระดับและกดส่งสัญญาณ ใช้เวลาประมาณ 3-5 นาทีต่อบ่อพัก</t>
        </is>
      </c>
      <c r="J12" s="26" t="inlineStr">
        <is>
          <t>ปฏิบัติงานใกล้บ่อพักริมถนน เสี่ยงต่ออุบัติเหตุรถเฉี่ยวชนและก๊าซพิษ H2S ต้องมีกรวยจราจรและอุปกรณ์ป้องกันส่วนบุคคล</t>
        </is>
      </c>
      <c r="K12" s="26" t="inlineStr">
        <is>
          <t>เจ้าหน้าที่ต้องบันทึกค่าคะแนน 0-10 เพื่อจัดเทียร์คิวล้างท่อ ต้องจัดฝึกอบรมเชิงปฏิบัติการ 1-2 ครั้ง</t>
        </is>
      </c>
      <c r="L12" s="26" t="inlineStr">
        <is>
          <t>การปรับจูนอัลกอริทึมคลื่นเสียงจำเป็นต้องทดสอบกับท่อจำลองจริง การพัฒนาซอฟต์แวร์จึงผูกติดกับความพร้อมของแท่นทดสอบฮาร์ดแวร์</t>
        </is>
      </c>
      <c r="M12" s="26" t="inlineStr">
        <is>
          <t>ต้องขออนุญาตใช้พื้นที่ห้องปฏิบัติการเสียงและท่อทดสอบของมหาวิทยาลัยตามเวลาทำการปกติ</t>
        </is>
      </c>
      <c r="N12" s="26" t="inlineStr">
        <is>
          <t>สมาชิกมีพื้นฐานวิชาสัญญาณและระบบ (Signals and Systems) และ Embedded DSP สอดคล้องกับโครงงานที่เคยเรียน</t>
        </is>
      </c>
      <c r="O12" s="26" t="inlineStr">
        <is>
          <t>แบบ 3D CAD ของชุดปากแตรและวงจรปรีแอมป์อยู่ในระดับ 50% Design ยังต้องทดสอบ Clearance และการสะท้อนของเสียงจริง</t>
        </is>
      </c>
      <c r="P12" s="26" t="inlineStr">
        <is>
          <t>ทรานสดิวเซอร์ความถี่เสียงกันน้ำเฉพาะทางต้องสั่งนำเข้าหรือสั่งจากตัวแทนจำหน่าย ใช้ระยะเวลาขนส่งประมาณ 1-2 สัปดาห์</t>
        </is>
      </c>
      <c r="Q12" s="33">
        <f>IF(MIN(B9:P9)=1, "VETOED / ตกเกณฑ์ข้อบังคับวิกฤต (คะแนนระดับ 1)", IF(Q9&gt;=80, "ผ่านเกณฑ์ระดับสูง (HIGHLY VIABLE)", IF(Q9&gt;=60, "ผ่านแบบมีเงื่อนไข (CONDITIONALLY VIABLE)", "ความเสี่ยงสูง (HIGH RISK)")))</f>
        <v/>
      </c>
    </row>
    <row r="13" ht="70" customHeight="1">
      <c r="A13" s="23" t="inlineStr">
        <is>
          <t>แผนลดขอบเขตงาน &amp; มาตรการลดความเสี่ยง (De-scoping Action)</t>
        </is>
      </c>
      <c r="B13" s="26" t="inlineStr">
        <is>
          <t>ขึ้นรูปปากแตรด้วย 3D Printing วัสดุ PETG พร้อมซีลยางกันน้ำแทนการหล่อโลหะ</t>
        </is>
      </c>
      <c r="C13" s="26" t="inlineStr">
        <is>
          <t>จัดทำคู่มือสถาปัตยกรรมการประมวลผลสัญญาณและวงจรไฟฟ้าให้ Fifa และ Kin ร่วมทดสอบได้</t>
        </is>
      </c>
      <c r="D13" s="26" t="inlineStr">
        <is>
          <t>นำเสนอรายงานการประหยัดงบประมาณการขุดลอกท่อเพื่อขอรับการสนับสนุนจากหน่วยงานรัฐ</t>
        </is>
      </c>
      <c r="E13" s="26" t="inlineStr">
        <is>
          <t>ใช้วงจรขยายเสียงมาตรฐาน Class-D ที่หาอะไหล่ได้ง่ายในท้องตลาด</t>
        </is>
      </c>
      <c r="F13" s="26" t="inlineStr">
        <is>
          <t>จัดซื้อหัววัดเสียงและไมโครโฟนสำรองอย่างละ 1 ชุด</t>
        </is>
      </c>
      <c r="G13" s="26" t="inlineStr">
        <is>
          <t>ทำหนังสือขออนุญาตทดสอบในพื้นที่ปิดของมหาวิทยาลัยก่อนออกสู่ถนนสาธารณะ</t>
        </is>
      </c>
      <c r="H13" s="26" t="inlineStr">
        <is>
          <t>เขียนอัลกอริทึม Cross-correlation และ FFT บน Python ด้วยตนเอง</t>
        </is>
      </c>
      <c r="I13" s="26" t="inlineStr">
        <is>
          <t>ออกแบบกลไกขายึดขอบบ่อพักแบบแคลมป์สปริงเพื่อลดเวลาติดตั้งเหลือ 2 นาที</t>
        </is>
      </c>
      <c r="J13" s="26" t="inlineStr">
        <is>
          <t>กำหนดระเบียบความปลอดภัยบังคับวางกรวยจราจรรอบจุดทดสอบอย่างน้อย 5 เมตรและสวมเสื้อสะท้อนแสง</t>
        </is>
      </c>
      <c r="K13" s="26" t="inlineStr">
        <is>
          <t>ทำแอปพลิเคชันบนมือถือแสดงผลเทียร์ 0-10 พร้อมคำแนะนำการปฏิบัติงานแบบอัตโนมัติ</t>
        </is>
      </c>
      <c r="L13" s="26" t="inlineStr">
        <is>
          <t>สร้างชุดท่อ PVC จำลองในห้องทดลองเพื่อใช้ทดสอบอัลกอริทึมล่วงหน้า</t>
        </is>
      </c>
      <c r="M13" s="26" t="inlineStr">
        <is>
          <t>ทำเรื่องขอเข้าใช้พื้นที่ทดสอบล่วงหน้ากับหัวหน้าห้องปฏิบัติการ</t>
        </is>
      </c>
      <c r="N13" s="26" t="inlineStr">
        <is>
          <t>จัดเซสชันถ่ายทอดความรู้ด้าน DSP ภายในทีมเพื่อกระจายทักษะ</t>
        </is>
      </c>
      <c r="O13" s="26" t="inlineStr">
        <is>
          <t>เร่งสรุปแบบ 3D CAD สำหรับพิมพ์ชิ้นงานภายในสัปดาห์ที่ 6</t>
        </is>
      </c>
      <c r="P13" s="26" t="inlineStr">
        <is>
          <t>สั่งซื้อทรานสดิวเซอร์จากร้านค้าออนไลน์ตั้งแต่สัปดาห์แรกของโครงการ</t>
        </is>
      </c>
      <c r="Q13" s="25" t="inlineStr">
        <is>
          <t>ปฏิบัติตามแผนลดขอบเขตงาน (De-scoping Advisory)</t>
        </is>
      </c>
    </row>
    <row r="14" ht="15" customHeight="1"/>
    <row r="15" ht="26" customHeight="1">
      <c r="A15" s="19" t="inlineStr">
        <is>
          <t>ตารางสรุปคะแนนแยกตามมิติ TELOS+S (Pillar Score Breakdown)</t>
        </is>
      </c>
    </row>
    <row r="16" ht="24" customHeight="1">
      <c r="A16" s="34" t="inlineStr">
        <is>
          <t>มิติการประเมิน (TELOS+S Pillar)</t>
        </is>
      </c>
      <c r="B16" s="34" t="inlineStr">
        <is>
          <t>สัดส่วนน้ำหนัก (Weight %)</t>
        </is>
      </c>
      <c r="C16" s="34" t="inlineStr">
        <is>
          <t>คะแนนเต็มมิติ (Max Points)</t>
        </is>
      </c>
      <c r="D16" s="34" t="inlineStr">
        <is>
          <t>คะแนนที่ได้รับจริง (Earned Points)</t>
        </is>
      </c>
      <c r="E16" s="34" t="inlineStr">
        <is>
          <t>คะแนนเฉลี่ย (Score 1-5)</t>
        </is>
      </c>
      <c r="F16" s="34" t="inlineStr">
        <is>
          <t>ระดับความพร้อม (Readiness Level)</t>
        </is>
      </c>
    </row>
    <row r="17" ht="22" customHeight="1">
      <c r="A17" s="35" t="inlineStr">
        <is>
          <t>T : ด้านเทคโนโลยีและวิศวกรรม (Technical)</t>
        </is>
      </c>
      <c r="B17" s="36" t="n">
        <v>0.2</v>
      </c>
      <c r="C17" s="37" t="n">
        <v>20</v>
      </c>
      <c r="D17" s="38">
        <f>SUM(B11:C11)*20</f>
        <v/>
      </c>
      <c r="E17" s="39">
        <f>IF(C17&gt;0, (D17/C17)*5, 0)</f>
        <v/>
      </c>
      <c r="F17" s="25">
        <f>IF(D17&gt;=16.0, "พร้อมระดับสูง (High)", IF(D17&gt;=12.0, "ปานกลาง (Medium)", "เสี่ยงวิกฤต (Critical)"))</f>
        <v/>
      </c>
    </row>
    <row r="18" ht="22" customHeight="1">
      <c r="A18" s="35" t="inlineStr">
        <is>
          <t>E : ด้านเศรษฐศาสตร์และความคุ้มค่า (Economic)</t>
        </is>
      </c>
      <c r="B18" s="36" t="n">
        <v>0.2</v>
      </c>
      <c r="C18" s="37" t="n">
        <v>20</v>
      </c>
      <c r="D18" s="38">
        <f>SUM(D11:F11)*20</f>
        <v/>
      </c>
      <c r="E18" s="39">
        <f>IF(C18&gt;0, (D18/C18)*5, 0)</f>
        <v/>
      </c>
      <c r="F18" s="25">
        <f>IF(D18&gt;=16.0, "พร้อมระดับสูง (High)", IF(D18&gt;=12.0, "ปานกลาง (Medium)", "เสี่ยงวิกฤต (Critical)"))</f>
        <v/>
      </c>
    </row>
    <row r="19" ht="22" customHeight="1">
      <c r="A19" s="35" t="inlineStr">
        <is>
          <t>L : ด้านกฎหมายและสถาบัน (Legal &amp; Institutional)</t>
        </is>
      </c>
      <c r="B19" s="36" t="n">
        <v>0.2</v>
      </c>
      <c r="C19" s="37" t="n">
        <v>20</v>
      </c>
      <c r="D19" s="38">
        <f>SUM(G11:H11)*20</f>
        <v/>
      </c>
      <c r="E19" s="39">
        <f>IF(C19&gt;0, (D19/C19)*5, 0)</f>
        <v/>
      </c>
      <c r="F19" s="25">
        <f>IF(D19&gt;=16.0, "พร้อมระดับสูง (High)", IF(D19&gt;=12.0, "ปานกลาง (Medium)", "เสี่ยงวิกฤต (Critical)"))</f>
        <v/>
      </c>
    </row>
    <row r="20" ht="22" customHeight="1">
      <c r="A20" s="35" t="inlineStr">
        <is>
          <t>O : ด้านการปฏิบัติการและหน้างาน (Operational)</t>
        </is>
      </c>
      <c r="B20" s="36" t="n">
        <v>0.2</v>
      </c>
      <c r="C20" s="37" t="n">
        <v>20</v>
      </c>
      <c r="D20" s="38">
        <f>SUM(I11:N11)*20</f>
        <v/>
      </c>
      <c r="E20" s="39">
        <f>IF(C20&gt;0, (D20/C20)*5, 0)</f>
        <v/>
      </c>
      <c r="F20" s="25">
        <f>IF(D20&gt;=16.0, "พร้อมระดับสูง (High)", IF(D20&gt;=12.0, "ปานกลาง (Medium)", "เสี่ยงวิกฤต (Critical)"))</f>
        <v/>
      </c>
    </row>
    <row r="21" ht="22" customHeight="1">
      <c r="A21" s="35" t="inlineStr">
        <is>
          <t>S : ด้านแผนงานและเวลาส่งมอบ (Schedule)</t>
        </is>
      </c>
      <c r="B21" s="36" t="n">
        <v>0.2</v>
      </c>
      <c r="C21" s="37" t="n">
        <v>20</v>
      </c>
      <c r="D21" s="38">
        <f>SUM(O11:P11)*20</f>
        <v/>
      </c>
      <c r="E21" s="39">
        <f>IF(C21&gt;0, (D21/C21)*5, 0)</f>
        <v/>
      </c>
      <c r="F21" s="25">
        <f>IF(D21&gt;=16.0, "พร้อมระดับสูง (High)", IF(D21&gt;=12.0, "ปานกลาง (Medium)", "เสี่ยงวิกฤต (Critical)"))</f>
        <v/>
      </c>
    </row>
    <row r="22" ht="26" customHeight="1">
      <c r="A22" s="40" t="inlineStr">
        <is>
          <t>คะแนนรวมทุกมิติ (Total Feasibility Score)</t>
        </is>
      </c>
      <c r="B22" s="31">
        <f>SUM(B17:B21)</f>
        <v/>
      </c>
      <c r="C22" s="41">
        <f>SUM(C17:C21)</f>
        <v/>
      </c>
      <c r="D22" s="42">
        <f>SUM(D17:D21)</f>
        <v/>
      </c>
      <c r="E22" s="32">
        <f>IF(C22&gt;0, (D22/C22)*5, 0)</f>
        <v/>
      </c>
      <c r="F22" s="43">
        <f>IF(D22&gt;=80, "ผ่านเกณฑ์ระดับสูง (HIGHLY VIABLE)", IF(D22&gt;=60, "ผ่านแบบมีเงื่อนไข (CONDITIONALLY VIABLE)", "ความเสี่ยงสูง (HIGH RISK)"))</f>
        <v/>
      </c>
    </row>
    <row r="23" ht="12" customHeight="1"/>
    <row r="24" ht="26" customHeight="1">
      <c r="A24" s="19" t="inlineStr">
        <is>
          <t>เมทริกซ์ประเมินความเข้ากันได้กับองค์ความรู้ด้านวิศวกรรมหุ่นยนต์ (Robotics Knowledge Compatibility)</t>
        </is>
      </c>
    </row>
    <row r="25" ht="22" customHeight="1">
      <c r="A25" s="20" t="inlineStr">
        <is>
          <t>* หมายเหตุ: การประเมินส่วนนี้วัดศักยภาพในการประยุกต์ใช้องค์ความรู้ด้านวิศวกรรมหุ่นยนต์ (Perception, Control, Actuation, Mechatronics) เต็ม 10 คะแนน | เป็นเอกเทศ ไม่นับรวมในคะแนน TELOS 100 คะแนน</t>
        </is>
      </c>
    </row>
    <row r="26" ht="24" customHeight="1">
      <c r="A26" s="44" t="inlineStr">
        <is>
          <t>มิติการประเมิน (Robotics Dimension)</t>
        </is>
      </c>
      <c r="B26" s="44" t="inlineStr">
        <is>
          <t>คะแนนศักยภาพ (/10)</t>
        </is>
      </c>
      <c r="C26" s="44" t="inlineStr">
        <is>
          <t>แกน Perception &amp; Sensing (การรับรู้)</t>
        </is>
      </c>
      <c r="D26" s="44" t="inlineStr">
        <is>
          <t>แกน Control &amp; Algorithms (การควบคุม)</t>
        </is>
      </c>
      <c r="E26" s="44" t="inlineStr">
        <is>
          <t>แกน Actuation &amp; Mechanisms (กลไก)</t>
        </is>
      </c>
      <c r="F26" s="44" t="inlineStr">
        <is>
          <t>บทวิเคราะห์เชิงวิศวกรรมหุ่นยนต์ (FIBO Alignment Rationale)</t>
        </is>
      </c>
    </row>
    <row r="27" ht="95" customHeight="1">
      <c r="A27" s="45" t="inlineStr">
        <is>
          <t>ศักยภาพการประยุกต์ใช้องค์ความรู้หุ่นยนต์และระบบอัตโนมัติ</t>
        </is>
      </c>
      <c r="B27" s="46" t="n">
        <v>8.5</v>
      </c>
      <c r="C27" s="26" t="inlineStr">
        <is>
          <t>การปล่อยและรับคลื่นเสียงความถี่กวาด (Acoustic Chirp Signal) ผ่านท่อระบายน้ำ พร้อมการวิเคราะห์การสะท้อนและการลดทอนของสัญญาณ (Acoustic Attenuation &amp; Waveform Analysis)</t>
        </is>
      </c>
      <c r="D27" s="26" t="inlineStr">
        <is>
          <t>การประมวลผลสัญญาณขั้นสูง (Advanced Digital Signal Processing): FFT, Cross-Correlation, Acoustic Impedance Mapping และการแปลงสัญญาณเป็นดัชนีคะแนนการอุดตัน 0-10</t>
        </is>
      </c>
      <c r="E27" s="26" t="inlineStr">
        <is>
          <t>ระบบกลไกการปล่อยและปรับระดับหัววัดเสียง (Acoustic Transducer Horns) ลงในปากท่อพัก พร้อมขายึดปรับระยะและกลไกป้องกันการกระแทก</t>
        </is>
      </c>
      <c r="F27" s="26" t="inlineStr">
        <is>
          <t>มีความเข้ากันได้อย่างโดดเด่นในแกน Perception &amp; Sensing ขั้นสูง และการประมวลผลสัญญาณ (DSP / Frequency Domain Analysis) รวมถึงกลไกการทำงานหน้างานในระบบท่อใต้ดิน จัดเป็นหัวข้อวิศวกรรมหุ่นยนต์ตรวจสอบโครงสร้างพื้นฐาน (Infrastructure Inspection Robotics)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7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</cols>
  <sheetData>
    <row r="1">
      <c r="A1" s="19" t="inlineStr">
        <is>
          <t>เมทริกซ์ประเมินความเป็นไปได้เชิงระบบ TELOS+S: Jakarta Drainage Pipe Telemetry &amp; Prioritized Flushing DSS</t>
        </is>
      </c>
    </row>
    <row r="2">
      <c r="A2" s="20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21" t="inlineStr">
        <is>
          <t>รหัสคำถาม (Question Code)</t>
        </is>
      </c>
      <c r="B4" s="22" t="inlineStr">
        <is>
          <t>T-01</t>
        </is>
      </c>
      <c r="C4" s="22" t="inlineStr">
        <is>
          <t>T-02</t>
        </is>
      </c>
      <c r="D4" s="22" t="inlineStr">
        <is>
          <t>E-01</t>
        </is>
      </c>
      <c r="E4" s="22" t="inlineStr">
        <is>
          <t>E-02</t>
        </is>
      </c>
      <c r="F4" s="22" t="inlineStr">
        <is>
          <t>E-03</t>
        </is>
      </c>
      <c r="G4" s="22" t="inlineStr">
        <is>
          <t>L-01</t>
        </is>
      </c>
      <c r="H4" s="22" t="inlineStr">
        <is>
          <t>L-02</t>
        </is>
      </c>
      <c r="I4" s="22" t="inlineStr">
        <is>
          <t>O-01</t>
        </is>
      </c>
      <c r="J4" s="22" t="inlineStr">
        <is>
          <t>O-02</t>
        </is>
      </c>
      <c r="K4" s="22" t="inlineStr">
        <is>
          <t>O-03</t>
        </is>
      </c>
      <c r="L4" s="22" t="inlineStr">
        <is>
          <t>O-04</t>
        </is>
      </c>
      <c r="M4" s="22" t="inlineStr">
        <is>
          <t>O-05</t>
        </is>
      </c>
      <c r="N4" s="22" t="inlineStr">
        <is>
          <t>O-06</t>
        </is>
      </c>
      <c r="O4" s="22" t="inlineStr">
        <is>
          <t>S-01</t>
        </is>
      </c>
      <c r="P4" s="22" t="inlineStr">
        <is>
          <t>S-02</t>
        </is>
      </c>
      <c r="Q4" s="22" t="inlineStr">
        <is>
          <t>สรุปภาพรวม (SUMMARY)</t>
        </is>
      </c>
    </row>
    <row r="5" ht="24" customHeight="1">
      <c r="A5" s="23" t="inlineStr">
        <is>
          <t>มิติการประเมิน (TELOS+S Pillar)</t>
        </is>
      </c>
      <c r="B5" s="24" t="inlineStr">
        <is>
          <t>ด้านเทคนิค (Technical Feasibility)</t>
        </is>
      </c>
      <c r="C5" s="24" t="inlineStr">
        <is>
          <t>ด้านเทคนิค (Technical Feasibility)</t>
        </is>
      </c>
      <c r="D5" s="24" t="inlineStr">
        <is>
          <t>ด้านเศรษฐศาสตร์ (Economic Feasibility)</t>
        </is>
      </c>
      <c r="E5" s="24" t="inlineStr">
        <is>
          <t>ด้านเศรษฐศาสตร์ (Economic Feasibility)</t>
        </is>
      </c>
      <c r="F5" s="24" t="inlineStr">
        <is>
          <t>ด้านเศรษฐศาสตร์ (Economic Feasibility)</t>
        </is>
      </c>
      <c r="G5" s="24" t="inlineStr">
        <is>
          <t>ด้านกฎหมายและสถาบัน (Legal &amp; Institutional Feasibility)</t>
        </is>
      </c>
      <c r="H5" s="24" t="inlineStr">
        <is>
          <t>ด้านกฎหมายและสถาบัน (Legal &amp; Institutional Feasibility)</t>
        </is>
      </c>
      <c r="I5" s="24" t="inlineStr">
        <is>
          <t>ด้านการปฏิบัติการ (Operational Feasibility)</t>
        </is>
      </c>
      <c r="J5" s="24" t="inlineStr">
        <is>
          <t>ด้านการปฏิบัติการ (Operational Feasibility)</t>
        </is>
      </c>
      <c r="K5" s="24" t="inlineStr">
        <is>
          <t>ด้านการปฏิบัติการ (Operational Feasibility)</t>
        </is>
      </c>
      <c r="L5" s="24" t="inlineStr">
        <is>
          <t>ด้านการปฏิบัติการ (Operational Feasibility)</t>
        </is>
      </c>
      <c r="M5" s="24" t="inlineStr">
        <is>
          <t>ด้านการปฏิบัติการ (Operational Feasibility)</t>
        </is>
      </c>
      <c r="N5" s="24" t="inlineStr">
        <is>
          <t>ด้านการปฏิบัติการ (Operational Feasibility)</t>
        </is>
      </c>
      <c r="O5" s="24" t="inlineStr">
        <is>
          <t>ด้านแผนงานและเวลา (Schedule Feasibility)</t>
        </is>
      </c>
      <c r="P5" s="24" t="inlineStr">
        <is>
          <t>ด้านแผนงานและเวลา (Schedule Feasibility)</t>
        </is>
      </c>
      <c r="Q5" s="25" t="inlineStr">
        <is>
          <t>ผลรวมทุกมิติ (All Pillars)</t>
        </is>
      </c>
    </row>
    <row r="6" ht="80" customHeight="1">
      <c r="A6" s="23" t="inlineStr">
        <is>
          <t>คำถามทดสอบความเสี่ยงจริง (Stress-Test Question)</t>
        </is>
      </c>
      <c r="B6" s="26" t="inlineStr">
        <is>
          <t>Implementation (Build vs. Buy Burden): โครงการมีความจำเป็นต้องวิจัยและพัฒนาชิ้นส่วนขึ้นเอง (Build from Scratch) มากน้อยเพียงใด หรือสามารถจัดหาโมดูลสำเร็จรูปมาตรฐาน (COTS) มาประกอบและปรับแต่งได้โดยตรง?</t>
        </is>
      </c>
      <c r="C6" s="26" t="inlineStr">
        <is>
          <t>Team Redundancy (Bus Factor): มีจำนวนสมาชิกในทีมกี่คนที่เข้าใจสถาปัตยกรรมทั้งเชิงกล วงจรไฟฟ้า และโค้ด จนสามารถพัฒนา ประกอบ และแก้ไขข้อผิดพลาดของระบบย่อยนี้ได้อย่างอิสระ?</t>
        </is>
      </c>
      <c r="D6" s="26" t="inlineStr">
        <is>
          <t>ROI (Payback Period / Value Horizon): โครงการมีระยะเวลาคืนทุน (Payback Period) และความคุ้มค่าในการลดความสูญเสียหรือลดค่าใช้จ่ายในการดำเนินงาน (OpEx Reduction) รวดเร็วเพียงใด?</t>
        </is>
      </c>
      <c r="E6" s="26" t="inlineStr">
        <is>
          <t>Dependencies of Component (Vendor Lock-in &amp; Service Autonomy): ระบบมีความเป็นอิสระจากการผูกขาดของผู้ผลิต (Vendor Lock-in) มากน้อยเพียงใด และทีมงานหรือวิศวกรทั่วไปสามารถซ่อมบำรุงด้วยเครื่องมือเปิดได้เองหรือไม่?</t>
        </is>
      </c>
      <c r="F6" s="26" t="inlineStr">
        <is>
          <t>Scrap Margin (Safety Allowance for Blown ICs &amp; Iterations): โครงการมีการจัดสรรงบประมาณสำรองสำหรับชิ้นส่วนทดแทนกรณีเสียหาย (Scrap Margin) และการทดลองซ้ำ (Iterations) ในสัดส่วนเท่าใดของรายการวัสดุ (BOM)?</t>
        </is>
      </c>
      <c r="G6" s="26" t="inlineStr">
        <is>
          <t>Felony and Civil Law (Regulatory &amp; Public Safety Compliance): ระบบและการติดตั้งมีความสอดคล้องต่อข้อบังคับทางกฎหมายอาญา แพ่ง ระเบียบจราจร และการคุ้มครองข้อมูลส่วนบุคคล (PDPA / Public Safety) โดยไม่สร้างความรับผิดทางกฎหมายหรือไม่?</t>
        </is>
      </c>
      <c r="H6" s="26" t="inlineStr">
        <is>
          <t>IP and Licensing: ทรัพย์สินทางปัญญา ซอฟต์แวร์ไลบรารี และสิทธิบัตรที่นำมาใช้ มีความเปิดกว้างและปลอดภาระผูกพันทางการค้าหรือการละเมิดลิขสิทธิ์ (Licensing Freedom) มากน้อยเพียงใด?</t>
        </is>
      </c>
      <c r="I6" s="26" t="inlineStr">
        <is>
          <t>User — Implementation (Field Deployment / Setup Friction): ขั้นตอนการติดตั้ง ติดตั้งเครื่องมือ ปรับเทียบศูนย์ (Calibration) และเตรียมพร้อมใช้งานหน้างานจริงโดยผู้ปฏิบัติงาน มีความยุ่งยากหรือกินเวลาเพียงใด?</t>
        </is>
      </c>
      <c r="J6" s="26" t="inlineStr">
        <is>
          <t>User — Customer / Public Safety &amp; Failsafes: มาตรการรักษาความปลอดภัย การป้องกันอุบัติเหตุ (Failsafes, Interlocks, E-stops) และการควบคุมอันตรายต่อเจ้าหน้าที่และสาธารณชนมีความรัดกุมเพียงใด?</t>
        </is>
      </c>
      <c r="K6" s="26" t="inlineStr">
        <is>
          <t>User — Behavior &amp; Workflow Disruption: ระบบสร้างภาระงานเอกสาร ขั้นตอนปฏิบัติงาน หรือบังคับเปลี่ยนพฤติกรรมเจ้าหน้าที่หน้างาน (SOP Disruption) มากน้อยเพียงใด?</t>
        </is>
      </c>
      <c r="L6" s="26" t="inlineStr">
        <is>
          <t>Developer — Task Dependency (Critical Path Architecture): สถาปัตยกรรมการพัฒนาฮาร์ดแวร์ ไฟฟ้า และซอฟต์แวร์ มีการเชื่อมต่อแบบขนาน (Parallel Architecture / Modularity) หรือผูกติดกันเป็นเส้นตรงบนเส้นทางวิกฤต (Critical Path)?</t>
        </is>
      </c>
      <c r="M6" s="26" t="inlineStr">
        <is>
          <t>Developer — Contribution Dependency (Bureaucratic &amp; Lab Gatekeeping): การเข้าถึงเครื่องมือในห้องปฏิบัติการ การอนุมัติงบประมาณ และกระบวนการทางธุรการ (Lab Access &amp; Purchasing Bureaucracy) มีอุปสรรคขัดขวางความคล่องตัวเพียงใด?</t>
        </is>
      </c>
      <c r="N6" s="26" t="inlineStr">
        <is>
          <t>Developer — Task &amp; Skill Compatibility: ความเข้ากันได้ระหว่างทักษะเดิมของทีมกับเทคโนโลยีสแตกของระบบ (Task &amp; Skill Compatibility: 'Water and Oil' vs. 'Oil and Engine') อยู่ในระดับใด?</t>
        </is>
      </c>
      <c r="O6" s="26" t="inlineStr">
        <is>
          <t>Production Time (Engineering Design Maturity by Milestone): ความพร้อมของแบบวิศวกรรม (3D CAD, Schematics, PCB Gerbers, Firmware Architecture, BOM) อยู่ในระดับความสมบูรณ์ใดเทียบกับหมุดหมายการผลิตจริง?</t>
        </is>
      </c>
      <c r="P6" s="26" t="inlineStr">
        <is>
          <t>Shipping (Component Procurement Lead Time): ระยะเวลาในการจัดหาและขนส่งชิ้นส่วน อุปกรณ์ และเซนเซอร์ (Procurement Lead Time) อยู่ในกรอบเวลาที่ปลอดภัยต่อกำหนดส่งมอบงานหรือไม่?</t>
        </is>
      </c>
      <c r="Q6" s="27" t="inlineStr">
        <is>
          <t>ประเมินคำถามทั้งสิ้น 15 ข้อ</t>
        </is>
      </c>
    </row>
    <row r="7" ht="95" customHeight="1">
      <c r="A7" s="23" t="inlineStr">
        <is>
          <t>เหตุผลในการถาม &amp; โหมดความล้มเหลวที่เฝ้าระวัง (Rationale)</t>
        </is>
      </c>
      <c r="B7" s="26" t="inlineStr">
        <is>
          <t>มุ่งตรวจสอบ Build vs. Buy Burden และ Machine Access หากระบบต้อง R&amp;D กลไกหรือวงจรขึ้นเอง 100% โดยไม่มี Reference Design จะเกิดความเสี่ยงวิกฤตต่อกรอบเวลาของโครงงานวิศวกรรม</t>
        </is>
      </c>
      <c r="C7" s="26" t="inlineStr">
        <is>
          <t>ตรวจสอบความต่อเนื่องของทีม (Team Knowledge Distribution) ป้องกัน Single Point of Failure หากมีผู้เชี่ยวชาญเพียงคนเดียวเมื่อติดสอบหรือเจ็บป่วยโครงการจะล้มเหลวทันที</t>
        </is>
      </c>
      <c r="D7" s="26" t="inlineStr">
        <is>
          <t>ประเมินความคุ้มค่าในการลงทุนและระยะเวลาคืนทุนเชิงสาธารณูปโภคหรือเชิงพาณิชย์ เทียบกับเงินลงทุนเริ่มต้น (CapEx) และเงินประหยัดค่าแรงงาน/ค่าน้ำมันหน้างาน</t>
        </is>
      </c>
      <c r="E7" s="26" t="inlineStr">
        <is>
          <t>ตรวจสอบภาระค่าใช้จ่ายแฝงระยะยาว (Recurring Cloud/Licensing Fees) และความเสี่ยงจากการถูกผูกขาดด้วยฮาร์ดแวร์หรือระบบคลาวด์ปิดของผู้ผลิตรายเดียว</t>
        </is>
      </c>
      <c r="F7" s="26" t="inlineStr">
        <is>
          <t>ตรวจสอบ The Scrap Budget Rule งานฮาร์ดแวร์มีความเสี่ยงต่อชิปไหม้ แผ่นวงจรช็อต หรือขายึดหัก หากไม่มีงบสำรองจัดซื้อชุดที่ 2 การพัฒนาจะหยุดชะงักทันที</t>
        </is>
      </c>
      <c r="G7" s="26" t="inlineStr">
        <is>
          <t>ตรวจสอบความเสี่ยงต่อการทำผิดกฎหมายสาธารณะ (พ.ร.บ. จราจรทางบก, พ.ร.บ. คุ้มครองข้อมูลส่วนบุคคล PDPA, กฎหมายสิ่งแวดล้อม และระเบียบทางหลวง)</t>
        </is>
      </c>
      <c r="H7" s="26" t="inlineStr">
        <is>
          <t>ตรวจสอบข้อจำกัดด้านสิทธิ์ซอฟต์แวร์และฮาร์ดแวร์ ป้องกันการติดไวรัสไลเซนส์ (Copyleft GPLv3) หรือการละเมิดสิทธิบัตรเชิงพาณิชย์ของบุคคลภายนอก</t>
        </is>
      </c>
      <c r="I7" s="26" t="inlineStr">
        <is>
          <t>ประเมินความยากลำบากของเจ้าหน้าที่หน้างาน (Field Setup Friction) หากอุปกรณ์ต้องใช้เวลาตั้งค่าหรือ Calibrate นานเกินไป เจ้าหน้าที่จะปฏิเสธการใช้งาน</t>
        </is>
      </c>
      <c r="J7" s="26" t="inlineStr">
        <is>
          <t>ตรวจสอบความปลอดภัยต่อชีวิตและทรัพย์สิน ป้องกันอันตรายจากไฟฟ้าแรงสูง สารเคมี ก๊าซพิษในที่อับอากาศ หรืออุบัติเหตุทางรถยนต์ขณะปฏิบัติงาน</t>
        </is>
      </c>
      <c r="K7" s="26" t="inlineStr">
        <is>
          <t>ประเมินแรงต้านจากเจ้าหน้าที่ผู้ใช้งาน (The Tech Trap) ระบบที่ดีต้องลดภาระ ไม่ใช่สร้างแบบฟอร์มเอกสารหรือบังคับเปลี่ยนกระบวนการทำงานหลัก</t>
        </is>
      </c>
      <c r="L7" s="26" t="inlineStr">
        <is>
          <t>ตรวจสอบ Critical Path การพัฒนา หากงานซอฟต์แวร์ต้องรอฮาร์ดแวร์จริงเสร็จก่อนเท่านั้น จะเกิดคอขวดสะสมจนส่งมอบงานไม่ทันกำหนด</t>
        </is>
      </c>
      <c r="M7" s="26" t="inlineStr">
        <is>
          <t>ประเมินอุปสรรคด้านการบริหารและเครื่องมือ (Institutional Gatekeeping) เช่น คิวรอเครื่องจักร การล็อกแล็บ หรือขั้นตอนเบิกจ่ายงบประมาณที่ล่าช้า</t>
        </is>
      </c>
      <c r="N7" s="26" t="inlineStr">
        <is>
          <t>ตรวจสอบความสอดคล้องระหว่างทักษะที่ทีมมีอยู่จริงกับเทคโนโลยีที่เลือกใช้ เพื่อป้องกัน Learning Curve ที่สูงเกินไปจนงานล้มเหลว</t>
        </is>
      </c>
      <c r="O7" s="26" t="inlineStr">
        <is>
          <t>ประเมินความพร้อมของพิมพ์เขียวการผลิต (Design Maturity Package) ก่อนเริ่มสั่งผลิตจริง เพื่อป้องกันการรื้อแก้แบบกลางคัน</t>
        </is>
      </c>
      <c r="P7" s="26" t="inlineStr">
        <is>
          <t>ตรวจสอบห่วงโซ่อุปทาน (Supply Chain Lead Time) ชิ้นส่วนที่ต้องรอส่งจากต่างประเทศเกิน 3 สัปดาห์ถือเป็นความเสี่ยงต่อวิกฤตสัปดาห์สอบและกำหนดส่งมอบ</t>
        </is>
      </c>
      <c r="Q7" s="27" t="inlineStr">
        <is>
          <t>สังเคราะห์จาก AI Agents Group 2</t>
        </is>
      </c>
    </row>
    <row r="8" ht="150" customHeight="1">
      <c r="A8" s="23" t="inlineStr">
        <is>
          <t>เกณฑ์การให้คะแนน (Scoring Rubric Definition: ระดับ 1, 2, 3, 4, 5 ครบทุกระดับ)</t>
        </is>
      </c>
      <c r="B8" s="26" t="inlineStr">
        <is>
          <t>1: Build from Scratch — 100% custom R&amp;D required (custom mechanism, custom PCB, raw algorithm derivation); no reference designs available.
2: Heavy Customization — Core components exist, but requires extensive custom adaptation, structural machining, and custom wrapper code.
3: Hybrid / COTS Integration — Standard COTS modules (e.g., standard dev board + breakout sensors) assembled with custom brackets and intermediate wiring.
4: Modular COTS Assembly — Pre-engineered building blocks with standard mounting and standard communication buses (e.g., Din-rail modules, I2C/CAN shields); minimal custom fabrication.
5: Commercial Off-the-Shelf (COTS) — Turnkey commercial solution; zero custom fabrication or circuitry required, immediate plug-and-play operation.</t>
        </is>
      </c>
      <c r="C8" s="26" t="inlineStr">
        <is>
          <t>1: Single Point of Failure (Bus Factor = 1) — Only 1 teammate understands the codebase/hardware; if they are absent or drop out, the project completely halts.
2: Fragile Redundancy (Bus Factor = 1.5) — 1 primary expert with minimal notes; a second member has rough familiarity but requires steep ramp-up to debug.
3: Moderate Redundancy (Bus Factor = 2) — 2 teammates can independently maintain, test, and troubleshoot the core subsystem.
4: High Team Redundancy (3+ Teammates) — 3+ teammates can actively design, assemble, and debug the subsystem with low ramp-up time.
5: Full Team Redundancy — All team members are fully proficient; tasks can be swapped across anyone with zero friction or velocity loss.</t>
        </is>
      </c>
      <c r="D8" s="26" t="inlineStr">
        <is>
          <t>1: Long Payback (≥ 10 Years) — High initial CapEx and low recurring savings; economically non-viable for rapid deployment.
2: Slow Return (6–9 Years) — Substantial capital investment with long break-even horizon; requires long-term institutional subsidization.
3: Moderate Return (3–5 Years) — Reasonable public infrastructure payback; offsets costs across multi-year operational cycles.
4: Fast Return (2–3 Years) — Strong operational cost reduction (fuel, labor, scrap); breaks even within normal equipment lifecycle.
5: Immediate Payback (≤ 1–2 Years) — Rapid break-even; eliminates major recurring losses within the first operating season.</t>
        </is>
      </c>
      <c r="E8" s="26" t="inlineStr">
        <is>
          <t>1: Total Vendor Lock-in — Proprietary cloud backend, encrypted telemetry, and proprietary connectors; completely dependent on vendor survival.
2: High Dependency — Hardware requires vendor-licensed diagnostic tools or annual subscription fees to maintain operation.
3: Semi-Independent — Core hardware relies on proprietary firmware, but allows open API export and standard electrical interfaces.
4: High Autonomy — Uses standard open communication protocols (e.g., Modbus, MQTT, CAN); parts can be serviced using generic tools.
5: Complete Independence — 100% open architecture; hardware is interchangeable with generic substitutes; self-serviceable by any engineer.</t>
        </is>
      </c>
      <c r="F8" s="26" t="inlineStr">
        <is>
          <t>1: Zero Buffer (0%) — Exactly 1x BOM purchased; any fried chip, cracked bracket, or wiring mistake kills the project.
2: Fragile Buffer (20–30%) — Spares only for passive components (resistors, connectors); no backup microcontrollers or expensive sensors.
3: Moderate Buffer (50%) — Spares for all critical passive parts and 1 spare for the primary controller board.
4: High Buffer (80%) — Spares for nearly every active component and sensor; can sustain multiple prototype burn-ins.
5: Full Redundancy (≥ 100%) — Complete 2x BOM budget on hand; can build two complete working units simultaneously.</t>
        </is>
      </c>
      <c r="G8" s="26" t="inlineStr">
        <is>
          <t>1: Severe Violation / No Privilege — Direct breach of statutory law (e.g., unconsented public surveillance/PDPA, hazardous road blockage, RF jammer).
2: High Legal Exposure — Ambiguous legal zone; high risk of civic complaints or traffic disruption; requires complex technical waivers.
3: Conditional / Requires Permit — Allowed under explicit written approval, official agency MoU, or municipal permit (e.g., BMA/Highway dept permit).
4: Low Legal Friction — Operates within standard public engineering exemptions; simple standard notification/safety compliance needed.
5: 100% Compliant / Free Domain — Completely exempt from statutory licensing; zero public safety risk, zero personal data (Zero PII), fully unrestricted.</t>
        </is>
      </c>
      <c r="H8" s="26" t="inlineStr">
        <is>
          <t>1: Closed / Commercial Barrier — Proprietary commercial license; cannot compile, flash, or operate without paying expensive commercial seat licenses.
2: Ambiguous / Gray IP — Unclear licensing terms or unlicensed GitHub repos; risk of copyright strike or IP dispute upon public demonstration.
3: Restrictive Open Source (Copyleft) — Permitted for educational use, but viral licenses (e.g., GPLv3) force your entire codebase to be made public if distributed.
4: Permissive Open Source — Open source with minimal conditions (e.g., LGPL, CC-BY); allows proprietary wrapping with simple attribution.
5: Completely Permissive / Public Domain — Permissive open source (MIT, Apache 2.0, BSD) or Public Domain; unrestricted freedom to commercialize, modify, and contribute.</t>
        </is>
      </c>
      <c r="I8" s="26" t="inlineStr">
        <is>
          <t>1: Laborious Recalibration — Requires multi-point manual physical zeroing, chemical calibration, or oscilloscope tuning before every run.
2: Complex Setup — Requires trained technician 20–30 minutes to adjust potentiometers, align brackets, or enter configuration commands.
3: Moderate Field Setup — Simple 5-minute calibration procedure (e.g., tare button or basic mobile app zeroing) performed by non-engineers.
4: Minimal Setup — Fast clamp-on mounting with automated self-calibration on power-up; ready in &lt; 1 minute.
5: True Plug and Go — Pure plug-and-play; zero calibration required, zero buttons; power on and immediately operational.</t>
        </is>
      </c>
      <c r="J8" s="26" t="inlineStr">
        <is>
          <t>1: Critical Hazard — Failure can directly cause electrocution, fire, traffic crashes, chemical exposure, or confined-space asphyxiation.
2: High Risk / Manual Oversight — High mechanical/electrical hazard requiring constant operator vigilance and full PPE.
3: Moderate Safety — Protected by passive mechanical guards, fuses, and warning labels; requires basic safety precautions.
4: High Safety &amp; Interlocks — Active software limits, hardware thermal shutoffs, and reverse polarity protection; minimal hazard on failure.
5: Inherently Safe &amp; Redundant — Failsafe by physics (cannot store lethal energy); isolated, dual-rated enclosures, redundant E-stops, zero injury risk.</t>
        </is>
      </c>
      <c r="K8" s="26" t="inlineStr">
        <is>
          <t>1: Disruptive Overhaul — Forces operators to abandon existing SOPs, adds 5+ extra tedious forms/steps, and faces fierce institutional union/worker resistance.
2: Significant Friction — Adds notable extra documentation or redundant verification steps; operators will actively look for ways to bypass it.
3: Moderate Adaptation — Modifies daily routine slightly; requires 1–2 training workshops, but delivers clear convenience trade-offs.
4: Low Friction — Integrates into existing tools (e.g., sends automated alerts to existing LINE/Telegram or ticketing dashboard); minimal change in habits.
5: Transparent / Seamless Integration — Zero workflow disruption; runs invisibly in background and automates existing manual paperwork without operator intervention.</t>
        </is>
      </c>
      <c r="L8" s="26" t="inlineStr">
        <is>
          <t>1: Strictly Sequential (Linear) — A depends on B depends on C; if the PCB fab is delayed, software and testing halt 100%.
2: Bottlenecked Pipelines — Major subsystems are tightly coupled; frequent integration stalls waiting for hardware bench access.
3: Semi-Decoupled — Hardware and software teams can work independently for 1–2 weeks using rough mockups before needing physical integration.
4: Modular Parallelism — Clear API/interface boundaries; software builds against mock data/simulators while hardware is routed; integration takes &lt; 2 days.
5: Fully Parallel Architecture — Microservices/modular nodes with standard contracts; mechanical, electrical, and firmware develop, simulate, and unit-test completely in parallel.</t>
        </is>
      </c>
      <c r="M8" s="26" t="inlineStr">
        <is>
          <t>1: Heavy Gatekeeping — Blocked by supervisor approvals, locked lab cabinets, NDA signatures, purchasing bureaucracy, and restricted git branches.
2: Moderate Bureaucracy — Requires departmental request forms, tool booking queues, and waiting 3–5 days for administrative sign-offs.
3: Standard Campus Access — Workable access during university open hours; minor approval delays for equipment or lab keys.
4: High Autonomy — Team has full repository write access, open 24/7 lab entry, and pre-approved discretionary debit cards/stipends for rapid purchases.
5: Frictionless Contribution — Complete autonomy; decentralized cloud CI/CD, local prototyping tools at home/bench, zero administrative blockers.</t>
        </is>
      </c>
      <c r="N8" s="26" t="inlineStr">
        <is>
          <t>1: Complete Mismatch ('Water and Oil') — Team has zero foundation in the stack (e.g., pure mechanical students forced to train deep neural nets in C++ from scratch).
2: Steep Learning Curve — High theoretical knowledge, but zero production hands-on experience; debugging basic syntax/wiring stalls progress.
3: Adjacent Competence — Strong mastery in related tools (e.g., proficient in Arduino/ESP32 migrating to STM32, or SolidWorks migrating to Fusion360); manageable 1-week curve.
4: Proven Experience — Team has built similar subsystems in past semester coursework or competition robots; rapid ramp-up.
5: Perfect Synergy ('Oil and Engine') — Complete domain mastery; team members have built this exact architecture multiple times with verified libraries and muscle memory.</t>
        </is>
      </c>
      <c r="O8" s="26" t="inlineStr">
        <is>
          <t>1: Concept Only (0% Design) — Napkin sketches and verbal concepts; 0% CAD models, 0% schematics, 0% code written.
2: Rough Drafts (25% Design) — Preliminary block diagrams, hand-drawn schematics, unverified parts list, incomplete 3D bounding boxes.
3: Intermediate Maturity (50% Design) — Complete CAD assembly (untested clearances), schematic capture complete, draft firmware architecture mapped out.
4: Pre-Production (80% Design) — Fully detailed 3D CAD ready for 3D print/CNC, routed PCB Gerber files validated with DRC, pinouts locked down.
5: Fully Engineered Design (100% Production Ready) — Complete drawing package: BOM with part numbers, verified manufacturing Gerbers, 2D tolerance drawings, assembly SOP, and flashing scripts ready.</t>
        </is>
      </c>
      <c r="P8" s="26" t="inlineStr">
        <is>
          <t>1: Extreme Lead Time (≥ 4 Weeks) — Custom overseas fabrication, customs clearance delays, or parts with long factory lead times (critical path hazard).
2: High Lead Time (3–4 Weeks) — Standard overseas shipping (e.g., standard AliExpress/international postal surface mail); vulnerable to logistics delays.
3: Moderate Lead Time (2 Weeks) — Express international courier (DHL, FedEx, JLCPCB express) or regional distributors (7–14 days).
4: Short Lead Time (1 Week) — Domestic couriers or express domestic stockists (3–5 business days).
5: Immediate / Next-Day (≤ 1–2 Days) — Shelf stock available locally at retail shops or next-day domestic express delivery.</t>
        </is>
      </c>
      <c r="Q8" s="27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8" t="inlineStr">
        <is>
          <t>คะแนนที่ได้รับ (ASSIGNED SCORE: 1, 2, 3, 4, 5 STRICT INTEGER)</t>
        </is>
      </c>
      <c r="B9" s="29" t="n">
        <v>2</v>
      </c>
      <c r="C9" s="29" t="n">
        <v>3</v>
      </c>
      <c r="D9" s="29" t="n">
        <v>3</v>
      </c>
      <c r="E9" s="29" t="n">
        <v>4</v>
      </c>
      <c r="F9" s="29" t="n">
        <v>3</v>
      </c>
      <c r="G9" s="29" t="n">
        <v>3</v>
      </c>
      <c r="H9" s="29" t="n">
        <v>5</v>
      </c>
      <c r="I9" s="29" t="n">
        <v>2</v>
      </c>
      <c r="J9" s="29" t="n">
        <v>2</v>
      </c>
      <c r="K9" s="29" t="n">
        <v>4</v>
      </c>
      <c r="L9" s="29" t="n">
        <v>3</v>
      </c>
      <c r="M9" s="29" t="n">
        <v>2</v>
      </c>
      <c r="N9" s="29" t="n">
        <v>3</v>
      </c>
      <c r="O9" s="29" t="n">
        <v>3</v>
      </c>
      <c r="P9" s="29" t="n">
        <v>3</v>
      </c>
      <c r="Q9" s="30">
        <f>IF(Q10&gt;0, (Q11/Q10)*20, 0)</f>
        <v/>
      </c>
    </row>
    <row r="10" ht="22" customHeight="1">
      <c r="A10" s="23" t="inlineStr">
        <is>
          <t>ค่าน้ำหนัก (Weight %)</t>
        </is>
      </c>
      <c r="B10" s="31" t="n">
        <v>0.1</v>
      </c>
      <c r="C10" s="31" t="n">
        <v>0.1</v>
      </c>
      <c r="D10" s="31" t="n">
        <v>0.0667</v>
      </c>
      <c r="E10" s="31" t="n">
        <v>0.0667</v>
      </c>
      <c r="F10" s="31" t="n">
        <v>0.06660000000000001</v>
      </c>
      <c r="G10" s="31" t="n">
        <v>0.1</v>
      </c>
      <c r="H10" s="31" t="n">
        <v>0.1</v>
      </c>
      <c r="I10" s="31" t="n">
        <v>0.0333</v>
      </c>
      <c r="J10" s="31" t="n">
        <v>0.0333</v>
      </c>
      <c r="K10" s="31" t="n">
        <v>0.0334</v>
      </c>
      <c r="L10" s="31" t="n">
        <v>0.0333</v>
      </c>
      <c r="M10" s="31" t="n">
        <v>0.0333</v>
      </c>
      <c r="N10" s="31" t="n">
        <v>0.0334</v>
      </c>
      <c r="O10" s="31" t="n">
        <v>0.1</v>
      </c>
      <c r="P10" s="31" t="n">
        <v>0.1</v>
      </c>
      <c r="Q10" s="31">
        <f>SUM(B10:P10)</f>
        <v/>
      </c>
    </row>
    <row r="11" ht="24" customHeight="1">
      <c r="A11" s="23" t="inlineStr">
        <is>
          <t>คะแนนถ่วงน้ำหนัก (=Score * Weight)</t>
        </is>
      </c>
      <c r="B11" s="32">
        <f>B9*B10</f>
        <v/>
      </c>
      <c r="C11" s="32">
        <f>C9*C10</f>
        <v/>
      </c>
      <c r="D11" s="32">
        <f>D9*D10</f>
        <v/>
      </c>
      <c r="E11" s="32">
        <f>E9*E10</f>
        <v/>
      </c>
      <c r="F11" s="32">
        <f>F9*F10</f>
        <v/>
      </c>
      <c r="G11" s="32">
        <f>G9*G10</f>
        <v/>
      </c>
      <c r="H11" s="32">
        <f>H9*H10</f>
        <v/>
      </c>
      <c r="I11" s="32">
        <f>I9*I10</f>
        <v/>
      </c>
      <c r="J11" s="32">
        <f>J9*J10</f>
        <v/>
      </c>
      <c r="K11" s="32">
        <f>K9*K10</f>
        <v/>
      </c>
      <c r="L11" s="32">
        <f>L9*L10</f>
        <v/>
      </c>
      <c r="M11" s="32">
        <f>M9*M10</f>
        <v/>
      </c>
      <c r="N11" s="32">
        <f>N9*N10</f>
        <v/>
      </c>
      <c r="O11" s="32">
        <f>O9*O10</f>
        <v/>
      </c>
      <c r="P11" s="32">
        <f>P9*P10</f>
        <v/>
      </c>
      <c r="Q11" s="32">
        <f>SUM(B11:P11)</f>
        <v/>
      </c>
    </row>
    <row r="12" ht="115" customHeight="1">
      <c r="A12" s="23" t="inlineStr">
        <is>
          <t>คำอธิบาย &amp; หลักฐานอ้างอิงจากไฟล์ Intake (Evidence Citation)</t>
        </is>
      </c>
      <c r="B12" s="26" t="inlineStr">
        <is>
          <t>อ้างอิง solution-details/solution-4_drainage_telemetry.md เซนเซอร์และกล่องอุปกรณ์ต้องทนทานต่อสภาพแวดล้อมก๊าซไข่เน่าและคราบไขมัน ต้องดัดแปลงและซีลป้องกันเป็นพิเศษ</t>
        </is>
      </c>
      <c r="C12" s="26" t="inlineStr">
        <is>
          <t>สมาชิก 2 คน (Due ด้านวงจรและ LoRaWAN, Kin ด้าน IoT Dashboard) เป็นผู้รับผิดชอบหลัก สมาชิกอื่นมีความเชี่ยวชาญเครื่องกลมากกว่า (Bus Factor = 2)</t>
        </is>
      </c>
      <c r="D12" s="26" t="inlineStr">
        <is>
          <t>ลดความเสียหายจากน้ำท่วมขังเรื้อรังและค่าซ่อมบำรุงท่อ คืนทุนในระยะปานกลาง 3-5 ปีสำหรับโครงสร้างพื้นฐานเมือง</t>
        </is>
      </c>
      <c r="E12" s="26" t="inlineStr">
        <is>
          <t>ใช้โปรโตคอลมาตรฐานเปิด MQTT และเครือข่าย LoRaWAN สามารถเปลี่ยนผู้ให้บริการหรือตั้ง Gateway รับสัญญาณเองได้</t>
        </is>
      </c>
      <c r="F12" s="26" t="inlineStr">
        <is>
          <t>เซนเซอร์วัดระดับน้ำทนสารเคมีและแผงวงจรมีราคาสูง สามารถสำรองอะไหล่ได้ประมาณ 50% ของรายการวัสดุ</t>
        </is>
      </c>
      <c r="G12" s="26" t="inlineStr">
        <is>
          <t>การติดตั้งอุปกรณ์ถาวรใต้ฝาท่อระบายน้ำสาธารณะต้องทำหนังสือขออนุญาตและขอความเห็นชอบจากสำนักการระบายน้ำ กทม.</t>
        </is>
      </c>
      <c r="H12" s="26" t="inlineStr">
        <is>
          <t>ใช้แพลตฟอร์ม ThingsBoard และซอฟต์แวร์โอเพนซอร์สมาตรฐานภายใต้ Apache 2.0 ปลอดปัญหาลิขสิทธิ์ทางการค้า</t>
        </is>
      </c>
      <c r="I12" s="26" t="inlineStr">
        <is>
          <t>การติดตั้งต้องเปิดฝาท่อ ขันยึดแคลมป์เข้ากับผนังคอนกรีต และเดินสายเสาอากาศภายนอก ใช้เวลาจุดละ 20-30 นาที</t>
        </is>
      </c>
      <c r="J12" s="26" t="inlineStr">
        <is>
          <t>การทำงานในบ่อพักท่อระบายน้ำถือเป็นพื้นที่อับอากาศ (Confined Space) มีอันตรายจากก๊าซพิษ ขาดอากาศหายใจ และน้ำท่วมฉับพลัน</t>
        </is>
      </c>
      <c r="K12" s="26" t="inlineStr">
        <is>
          <t>บูรณาการเข้ากับระบบจัดคิวรถขุดลอกเลนเดิมของเขต ช่วยจัดตารางงานให้เจ้าหน้าที่โดยไม่ต้องเปลี่ยนระบบเอกสารหลัก</t>
        </is>
      </c>
      <c r="L12" s="26" t="inlineStr">
        <is>
          <t>การพัฒนาระบบซอฟต์แวร์สามารถจำลองข้อมูลได้ แต่ต้องรอทดสอบสัญญาณวิทยุ LoRaWAN ในท่อคอนกรีตจริง</t>
        </is>
      </c>
      <c r="M12" s="26" t="inlineStr">
        <is>
          <t>การขออนุญาตลงพื้นที่ติดตั้งในท่อจริงของเมืองมีขั้นตอนทางราชการและต้องรอการอนุมัติ 3-5 วันทำการ</t>
        </is>
      </c>
      <c r="N12" s="26" t="inlineStr">
        <is>
          <t>สมาชิกมีพื้นฐานด้าน IoT และระบบเครือข่าย แต่ต้องเรียนรู้เพิ่มเติมเรื่องการป้องกันการกัดกร่อนของสารเคมีและก๊าซในท่อ</t>
        </is>
      </c>
      <c r="O12" s="26" t="inlineStr">
        <is>
          <t>แบบจำลองกล่อง Enclosure และการเดินสายไฟอยู่ในระดับ 50% CAD Assembly กำลังปรับระยะสำหรับแบตเตอรี่</t>
        </is>
      </c>
      <c r="P12" s="26" t="inlineStr">
        <is>
          <t>เซนเซอร์วัดระดับน้ำทนสารเคมีและโมดูลส่งสัญญาณระยะไกลต้องสั่งจากตัวแทนจำหน่าย ใช้ระยะเวลาจัดส่งประมาณ 2 สัปดาห์</t>
        </is>
      </c>
      <c r="Q12" s="33">
        <f>IF(MIN(B9:P9)=1, "VETOED / ตกเกณฑ์ข้อบังคับวิกฤต (คะแนนระดับ 1)", IF(Q9&gt;=80, "ผ่านเกณฑ์ระดับสูง (HIGHLY VIABLE)", IF(Q9&gt;=60, "ผ่านแบบมีเงื่อนไข (CONDITIONALLY VIABLE)", "ความเสี่ยงสูง (HIGH RISK)")))</f>
        <v/>
      </c>
    </row>
    <row r="13" ht="70" customHeight="1">
      <c r="A13" s="23" t="inlineStr">
        <is>
          <t>แผนลดขอบเขตงาน &amp; มาตรการลดความเสี่ยง (De-scoping Action)</t>
        </is>
      </c>
      <c r="B13" s="26" t="inlineStr">
        <is>
          <t>เลือกใช้กล่อง Polycarbonate มาตรฐาน IP68 พร้อมเคลือบน้ำยา Conformal Coating ป้องกันไอระเหยกรด</t>
        </is>
      </c>
      <c r="C13" s="26" t="inlineStr">
        <is>
          <t>บันทึกขั้นตอนการคอนฟิกโมเด็ม LoRaWAN เพื่อให้เพื่อนในทีมสามารถช่วยตั้งค่าได้</t>
        </is>
      </c>
      <c r="D13" s="26" t="inlineStr">
        <is>
          <t>เลือกพื้นที่นำร่อง 1 จุดวิกฤตเพื่อพิสูจน์ความคุ้มค่าก่อนขยายผล</t>
        </is>
      </c>
      <c r="E13" s="26" t="inlineStr">
        <is>
          <t>ติดตั้ง Local Gateway ของทีมเพื่อลดค่าบริการเครือข่ายรายเดือน</t>
        </is>
      </c>
      <c r="F13" s="26" t="inlineStr">
        <is>
          <t>สำรองชุดเซนเซอร์และแผงควบคุมไว้ 1 ชุดเพื่อรองรับความเสียหาย</t>
        </is>
      </c>
      <c r="G13" s="26" t="inlineStr">
        <is>
          <t>ประสานงานกับอาจารย์ที่ปรึกษาทำหนังสือขออนุญาตติดตั้งอย่างเป็นทางการ</t>
        </is>
      </c>
      <c r="H13" s="26" t="inlineStr">
        <is>
          <t>ใช้ไลบรารี MicroPython และโอเพนซอร์สคอมมูนิตี้</t>
        </is>
      </c>
      <c r="I13" s="26" t="inlineStr">
        <is>
          <t>ออกแบบขายึดแบบ Quick-clamp ไม่ต้องเจาะผนังท่อเพื่อลดเวลาติดตั้งหน้างาน</t>
        </is>
      </c>
      <c r="J13" s="26" t="inlineStr">
        <is>
          <t>กำหนดมาตรการความปลอดภัย ไม่อนุญาตให้มุดตัวลงท่อ ใช้เครื่องมือหย่อนติดตั้งจากปากท่อด้านบน</t>
        </is>
      </c>
      <c r="K13" s="26" t="inlineStr">
        <is>
          <t>ออกแบบแดชบอร์ดให้สรุปรายการจุดท่อที่ต้องล้างแบบเข้าใจง่ายในหน้าเดียว</t>
        </is>
      </c>
      <c r="L13" s="26" t="inlineStr">
        <is>
          <t>ทำแบบจำลองท่อคอนกรีตจำลองในสถาบันเพื่อทดสอบการทะลุผ่านของสัญญาณวิทยุ</t>
        </is>
      </c>
      <c r="M13" s="26" t="inlineStr">
        <is>
          <t>เตรียมเอกสารขออนุญาตล่วงหน้าตั้งแต่ต้นภาคการศึกษา</t>
        </is>
      </c>
      <c r="N13" s="26" t="inlineStr">
        <is>
          <t>ปรึกษาผู้เชี่ยวชาญด้านวัสดุศาสตร์ในการเลือกใช้ซิลิโคนและวัสดุกันซึม</t>
        </is>
      </c>
      <c r="O13" s="26" t="inlineStr">
        <is>
          <t>สรุปแบบกล่อง Enclosure และสั่งพิมพ์ 3D ล่วงหน้าก่อนสัปดาห์ที่ 7</t>
        </is>
      </c>
      <c r="P13" s="26" t="inlineStr">
        <is>
          <t>สั่งซื้อโมดูล LoRaWAN และเซนเซอร์ตั้งแต่เริ่มสัปดาห์ที่ 2</t>
        </is>
      </c>
      <c r="Q13" s="25" t="inlineStr">
        <is>
          <t>ปฏิบัติตามแผนลดขอบเขตงาน (De-scoping Advisory)</t>
        </is>
      </c>
    </row>
    <row r="14" ht="15" customHeight="1"/>
    <row r="15" ht="26" customHeight="1">
      <c r="A15" s="19" t="inlineStr">
        <is>
          <t>ตารางสรุปคะแนนแยกตามมิติ TELOS+S (Pillar Score Breakdown)</t>
        </is>
      </c>
    </row>
    <row r="16" ht="24" customHeight="1">
      <c r="A16" s="34" t="inlineStr">
        <is>
          <t>มิติการประเมิน (TELOS+S Pillar)</t>
        </is>
      </c>
      <c r="B16" s="34" t="inlineStr">
        <is>
          <t>สัดส่วนน้ำหนัก (Weight %)</t>
        </is>
      </c>
      <c r="C16" s="34" t="inlineStr">
        <is>
          <t>คะแนนเต็มมิติ (Max Points)</t>
        </is>
      </c>
      <c r="D16" s="34" t="inlineStr">
        <is>
          <t>คะแนนที่ได้รับจริง (Earned Points)</t>
        </is>
      </c>
      <c r="E16" s="34" t="inlineStr">
        <is>
          <t>คะแนนเฉลี่ย (Score 1-5)</t>
        </is>
      </c>
      <c r="F16" s="34" t="inlineStr">
        <is>
          <t>ระดับความพร้อม (Readiness Level)</t>
        </is>
      </c>
    </row>
    <row r="17" ht="22" customHeight="1">
      <c r="A17" s="35" t="inlineStr">
        <is>
          <t>T : ด้านเทคโนโลยีและวิศวกรรม (Technical)</t>
        </is>
      </c>
      <c r="B17" s="36" t="n">
        <v>0.2</v>
      </c>
      <c r="C17" s="37" t="n">
        <v>20</v>
      </c>
      <c r="D17" s="38">
        <f>SUM(B11:C11)*20</f>
        <v/>
      </c>
      <c r="E17" s="39">
        <f>IF(C17&gt;0, (D17/C17)*5, 0)</f>
        <v/>
      </c>
      <c r="F17" s="25">
        <f>IF(D17&gt;=16.0, "พร้อมระดับสูง (High)", IF(D17&gt;=12.0, "ปานกลาง (Medium)", "เสี่ยงวิกฤต (Critical)"))</f>
        <v/>
      </c>
    </row>
    <row r="18" ht="22" customHeight="1">
      <c r="A18" s="35" t="inlineStr">
        <is>
          <t>E : ด้านเศรษฐศาสตร์และความคุ้มค่า (Economic)</t>
        </is>
      </c>
      <c r="B18" s="36" t="n">
        <v>0.2</v>
      </c>
      <c r="C18" s="37" t="n">
        <v>20</v>
      </c>
      <c r="D18" s="38">
        <f>SUM(D11:F11)*20</f>
        <v/>
      </c>
      <c r="E18" s="39">
        <f>IF(C18&gt;0, (D18/C18)*5, 0)</f>
        <v/>
      </c>
      <c r="F18" s="25">
        <f>IF(D18&gt;=16.0, "พร้อมระดับสูง (High)", IF(D18&gt;=12.0, "ปานกลาง (Medium)", "เสี่ยงวิกฤต (Critical)"))</f>
        <v/>
      </c>
    </row>
    <row r="19" ht="22" customHeight="1">
      <c r="A19" s="35" t="inlineStr">
        <is>
          <t>L : ด้านกฎหมายและสถาบัน (Legal &amp; Institutional)</t>
        </is>
      </c>
      <c r="B19" s="36" t="n">
        <v>0.2</v>
      </c>
      <c r="C19" s="37" t="n">
        <v>20</v>
      </c>
      <c r="D19" s="38">
        <f>SUM(G11:H11)*20</f>
        <v/>
      </c>
      <c r="E19" s="39">
        <f>IF(C19&gt;0, (D19/C19)*5, 0)</f>
        <v/>
      </c>
      <c r="F19" s="25">
        <f>IF(D19&gt;=16.0, "พร้อมระดับสูง (High)", IF(D19&gt;=12.0, "ปานกลาง (Medium)", "เสี่ยงวิกฤต (Critical)"))</f>
        <v/>
      </c>
    </row>
    <row r="20" ht="22" customHeight="1">
      <c r="A20" s="35" t="inlineStr">
        <is>
          <t>O : ด้านการปฏิบัติการและหน้างาน (Operational)</t>
        </is>
      </c>
      <c r="B20" s="36" t="n">
        <v>0.2</v>
      </c>
      <c r="C20" s="37" t="n">
        <v>20</v>
      </c>
      <c r="D20" s="38">
        <f>SUM(I11:N11)*20</f>
        <v/>
      </c>
      <c r="E20" s="39">
        <f>IF(C20&gt;0, (D20/C20)*5, 0)</f>
        <v/>
      </c>
      <c r="F20" s="25">
        <f>IF(D20&gt;=16.0, "พร้อมระดับสูง (High)", IF(D20&gt;=12.0, "ปานกลาง (Medium)", "เสี่ยงวิกฤต (Critical)"))</f>
        <v/>
      </c>
    </row>
    <row r="21" ht="22" customHeight="1">
      <c r="A21" s="35" t="inlineStr">
        <is>
          <t>S : ด้านแผนงานและเวลาส่งมอบ (Schedule)</t>
        </is>
      </c>
      <c r="B21" s="36" t="n">
        <v>0.2</v>
      </c>
      <c r="C21" s="37" t="n">
        <v>20</v>
      </c>
      <c r="D21" s="38">
        <f>SUM(O11:P11)*20</f>
        <v/>
      </c>
      <c r="E21" s="39">
        <f>IF(C21&gt;0, (D21/C21)*5, 0)</f>
        <v/>
      </c>
      <c r="F21" s="25">
        <f>IF(D21&gt;=16.0, "พร้อมระดับสูง (High)", IF(D21&gt;=12.0, "ปานกลาง (Medium)", "เสี่ยงวิกฤต (Critical)"))</f>
        <v/>
      </c>
    </row>
    <row r="22" ht="26" customHeight="1">
      <c r="A22" s="40" t="inlineStr">
        <is>
          <t>คะแนนรวมทุกมิติ (Total Feasibility Score)</t>
        </is>
      </c>
      <c r="B22" s="31">
        <f>SUM(B17:B21)</f>
        <v/>
      </c>
      <c r="C22" s="41">
        <f>SUM(C17:C21)</f>
        <v/>
      </c>
      <c r="D22" s="42">
        <f>SUM(D17:D21)</f>
        <v/>
      </c>
      <c r="E22" s="32">
        <f>IF(C22&gt;0, (D22/C22)*5, 0)</f>
        <v/>
      </c>
      <c r="F22" s="43">
        <f>IF(D22&gt;=80, "ผ่านเกณฑ์ระดับสูง (HIGHLY VIABLE)", IF(D22&gt;=60, "ผ่านแบบมีเงื่อนไข (CONDITIONALLY VIABLE)", "ความเสี่ยงสูง (HIGH RISK)"))</f>
        <v/>
      </c>
    </row>
    <row r="23" ht="12" customHeight="1"/>
    <row r="24" ht="26" customHeight="1">
      <c r="A24" s="19" t="inlineStr">
        <is>
          <t>เมทริกซ์ประเมินความเข้ากันได้กับองค์ความรู้ด้านวิศวกรรมหุ่นยนต์ (Robotics Knowledge Compatibility)</t>
        </is>
      </c>
    </row>
    <row r="25" ht="22" customHeight="1">
      <c r="A25" s="20" t="inlineStr">
        <is>
          <t>* หมายเหตุ: การประเมินส่วนนี้วัดศักยภาพในการประยุกต์ใช้องค์ความรู้ด้านวิศวกรรมหุ่นยนต์ (Perception, Control, Actuation, Mechatronics) เต็ม 10 คะแนน | เป็นเอกเทศ ไม่นับรวมในคะแนน TELOS 100 คะแนน</t>
        </is>
      </c>
    </row>
    <row r="26" ht="24" customHeight="1">
      <c r="A26" s="44" t="inlineStr">
        <is>
          <t>มิติการประเมิน (Robotics Dimension)</t>
        </is>
      </c>
      <c r="B26" s="44" t="inlineStr">
        <is>
          <t>คะแนนศักยภาพ (/10)</t>
        </is>
      </c>
      <c r="C26" s="44" t="inlineStr">
        <is>
          <t>แกน Perception &amp; Sensing (การรับรู้)</t>
        </is>
      </c>
      <c r="D26" s="44" t="inlineStr">
        <is>
          <t>แกน Control &amp; Algorithms (การควบคุม)</t>
        </is>
      </c>
      <c r="E26" s="44" t="inlineStr">
        <is>
          <t>แกน Actuation &amp; Mechanisms (กลไก)</t>
        </is>
      </c>
      <c r="F26" s="44" t="inlineStr">
        <is>
          <t>บทวิเคราะห์เชิงวิศวกรรมหุ่นยนต์ (FIBO Alignment Rationale)</t>
        </is>
      </c>
    </row>
    <row r="27" ht="95" customHeight="1">
      <c r="A27" s="45" t="inlineStr">
        <is>
          <t>ศักยภาพการประยุกต์ใช้องค์ความรู้หุ่นยนต์และระบบอัตโนมัติ</t>
        </is>
      </c>
      <c r="B27" s="46" t="n">
        <v>6.5</v>
      </c>
      <c r="C27" s="26" t="inlineStr">
        <is>
          <t>โครงข่ายเซนเซอร์วัดระดับน้ำใต้ดิน ตะกอน และการไหลผ่านระบบ Telemetry ในสภาพแวดล้อมท่อปิด (Confined Space In-pipe Sensing)</t>
        </is>
      </c>
      <c r="D27" s="26" t="inlineStr">
        <is>
          <t>ระบบจัดลำดับความสำคัญ (Prioritized Decision Support System), การคำนวณเครือข่ายท่อ (Hydraulic Network Flow Analysis) และอัลกอริทึมจัดคิวรถขุดลอก</t>
        </is>
      </c>
      <c r="E27" s="26" t="inlineStr">
        <is>
          <t>ระดับต่ำ-ปานกลาง: โครงสร้าง Enclosure ทนการกัดกร่อนของก๊าซ H2S และกลไกยึดติดผนังท่อระบายน้ำ (In-pipe Clamping Rig)</t>
        </is>
      </c>
      <c r="F27" s="26" t="inlineStr">
        <is>
          <t>มีความเข้ากันได้ในแกน Sensor Network, Telemetry, Embedded IoT และการวิเคราะห์โครงข่ายท่อระบายน้ำ แต่คะแนนอยู่ที่ 6.5 เนื่องจากระบบเน้นหนักที่การติดตั้งเซนเซอร์ประจำที่ (Stationary Sensing Rig) มากกว่าหุ่นยนต์เคลื่อนที่อัตโนมัติ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7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</cols>
  <sheetData>
    <row r="1">
      <c r="A1" s="19" t="inlineStr">
        <is>
          <t>เมทริกซ์ประเมินความเป็นไปได้เชิงระบบ TELOS+S: UHI Latent Heat Precision Road Cooling (Micro-dosing 0.2-0.4 mm Evaporative Spraying)</t>
        </is>
      </c>
    </row>
    <row r="2">
      <c r="A2" s="20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21" t="inlineStr">
        <is>
          <t>รหัสคำถาม (Question Code)</t>
        </is>
      </c>
      <c r="B4" s="22" t="inlineStr">
        <is>
          <t>T-01</t>
        </is>
      </c>
      <c r="C4" s="22" t="inlineStr">
        <is>
          <t>T-02</t>
        </is>
      </c>
      <c r="D4" s="22" t="inlineStr">
        <is>
          <t>E-01</t>
        </is>
      </c>
      <c r="E4" s="22" t="inlineStr">
        <is>
          <t>E-02</t>
        </is>
      </c>
      <c r="F4" s="22" t="inlineStr">
        <is>
          <t>E-03</t>
        </is>
      </c>
      <c r="G4" s="22" t="inlineStr">
        <is>
          <t>L-01</t>
        </is>
      </c>
      <c r="H4" s="22" t="inlineStr">
        <is>
          <t>L-02</t>
        </is>
      </c>
      <c r="I4" s="22" t="inlineStr">
        <is>
          <t>O-01</t>
        </is>
      </c>
      <c r="J4" s="22" t="inlineStr">
        <is>
          <t>O-02</t>
        </is>
      </c>
      <c r="K4" s="22" t="inlineStr">
        <is>
          <t>O-03</t>
        </is>
      </c>
      <c r="L4" s="22" t="inlineStr">
        <is>
          <t>O-04</t>
        </is>
      </c>
      <c r="M4" s="22" t="inlineStr">
        <is>
          <t>O-05</t>
        </is>
      </c>
      <c r="N4" s="22" t="inlineStr">
        <is>
          <t>O-06</t>
        </is>
      </c>
      <c r="O4" s="22" t="inlineStr">
        <is>
          <t>S-01</t>
        </is>
      </c>
      <c r="P4" s="22" t="inlineStr">
        <is>
          <t>S-02</t>
        </is>
      </c>
      <c r="Q4" s="22" t="inlineStr">
        <is>
          <t>สรุปภาพรวม (SUMMARY)</t>
        </is>
      </c>
    </row>
    <row r="5" ht="24" customHeight="1">
      <c r="A5" s="23" t="inlineStr">
        <is>
          <t>มิติการประเมิน (TELOS+S Pillar)</t>
        </is>
      </c>
      <c r="B5" s="24" t="inlineStr">
        <is>
          <t>ด้านเทคนิค (Technical Feasibility)</t>
        </is>
      </c>
      <c r="C5" s="24" t="inlineStr">
        <is>
          <t>ด้านเทคนิค (Technical Feasibility)</t>
        </is>
      </c>
      <c r="D5" s="24" t="inlineStr">
        <is>
          <t>ด้านเศรษฐศาสตร์ (Economic Feasibility)</t>
        </is>
      </c>
      <c r="E5" s="24" t="inlineStr">
        <is>
          <t>ด้านเศรษฐศาสตร์ (Economic Feasibility)</t>
        </is>
      </c>
      <c r="F5" s="24" t="inlineStr">
        <is>
          <t>ด้านเศรษฐศาสตร์ (Economic Feasibility)</t>
        </is>
      </c>
      <c r="G5" s="24" t="inlineStr">
        <is>
          <t>ด้านกฎหมายและสถาบัน (Legal &amp; Institutional Feasibility)</t>
        </is>
      </c>
      <c r="H5" s="24" t="inlineStr">
        <is>
          <t>ด้านกฎหมายและสถาบัน (Legal &amp; Institutional Feasibility)</t>
        </is>
      </c>
      <c r="I5" s="24" t="inlineStr">
        <is>
          <t>ด้านการปฏิบัติการ (Operational Feasibility)</t>
        </is>
      </c>
      <c r="J5" s="24" t="inlineStr">
        <is>
          <t>ด้านการปฏิบัติการ (Operational Feasibility)</t>
        </is>
      </c>
      <c r="K5" s="24" t="inlineStr">
        <is>
          <t>ด้านการปฏิบัติการ (Operational Feasibility)</t>
        </is>
      </c>
      <c r="L5" s="24" t="inlineStr">
        <is>
          <t>ด้านการปฏิบัติการ (Operational Feasibility)</t>
        </is>
      </c>
      <c r="M5" s="24" t="inlineStr">
        <is>
          <t>ด้านการปฏิบัติการ (Operational Feasibility)</t>
        </is>
      </c>
      <c r="N5" s="24" t="inlineStr">
        <is>
          <t>ด้านการปฏิบัติการ (Operational Feasibility)</t>
        </is>
      </c>
      <c r="O5" s="24" t="inlineStr">
        <is>
          <t>ด้านแผนงานและเวลา (Schedule Feasibility)</t>
        </is>
      </c>
      <c r="P5" s="24" t="inlineStr">
        <is>
          <t>ด้านแผนงานและเวลา (Schedule Feasibility)</t>
        </is>
      </c>
      <c r="Q5" s="25" t="inlineStr">
        <is>
          <t>ผลรวมทุกมิติ (All Pillars)</t>
        </is>
      </c>
    </row>
    <row r="6" ht="80" customHeight="1">
      <c r="A6" s="23" t="inlineStr">
        <is>
          <t>คำถามทดสอบความเสี่ยงจริง (Stress-Test Question)</t>
        </is>
      </c>
      <c r="B6" s="26" t="inlineStr">
        <is>
          <t>Implementation (Build vs. Buy Burden): โครงการมีความจำเป็นต้องวิจัยและพัฒนาชิ้นส่วนขึ้นเอง (Build from Scratch) มากน้อยเพียงใด หรือสามารถจัดหาโมดูลสำเร็จรูปมาตรฐาน (COTS) มาประกอบและปรับแต่งได้โดยตรง?</t>
        </is>
      </c>
      <c r="C6" s="26" t="inlineStr">
        <is>
          <t>Team Redundancy (Bus Factor): มีจำนวนสมาชิกในทีมกี่คนที่เข้าใจสถาปัตยกรรมทั้งเชิงกล วงจรไฟฟ้า และโค้ด จนสามารถพัฒนา ประกอบ และแก้ไขข้อผิดพลาดของระบบย่อยนี้ได้อย่างอิสระ?</t>
        </is>
      </c>
      <c r="D6" s="26" t="inlineStr">
        <is>
          <t>ROI (Payback Period / Value Horizon): โครงการมีระยะเวลาคืนทุน (Payback Period) และความคุ้มค่าในการลดความสูญเสียหรือลดค่าใช้จ่ายในการดำเนินงาน (OpEx Reduction) รวดเร็วเพียงใด?</t>
        </is>
      </c>
      <c r="E6" s="26" t="inlineStr">
        <is>
          <t>Dependencies of Component (Vendor Lock-in &amp; Service Autonomy): ระบบมีความเป็นอิสระจากการผูกขาดของผู้ผลิต (Vendor Lock-in) มากน้อยเพียงใด และทีมงานหรือวิศวกรทั่วไปสามารถซ่อมบำรุงด้วยเครื่องมือเปิดได้เองหรือไม่?</t>
        </is>
      </c>
      <c r="F6" s="26" t="inlineStr">
        <is>
          <t>Scrap Margin (Safety Allowance for Blown ICs &amp; Iterations): โครงการมีการจัดสรรงบประมาณสำรองสำหรับชิ้นส่วนทดแทนกรณีเสียหาย (Scrap Margin) และการทดลองซ้ำ (Iterations) ในสัดส่วนเท่าใดของรายการวัสดุ (BOM)?</t>
        </is>
      </c>
      <c r="G6" s="26" t="inlineStr">
        <is>
          <t>Felony and Civil Law (Regulatory &amp; Public Safety Compliance): ระบบและการติดตั้งมีความสอดคล้องต่อข้อบังคับทางกฎหมายอาญา แพ่ง ระเบียบจราจร และการคุ้มครองข้อมูลส่วนบุคคล (PDPA / Public Safety) โดยไม่สร้างความรับผิดทางกฎหมายหรือไม่?</t>
        </is>
      </c>
      <c r="H6" s="26" t="inlineStr">
        <is>
          <t>IP and Licensing: ทรัพย์สินทางปัญญา ซอฟต์แวร์ไลบรารี และสิทธิบัตรที่นำมาใช้ มีความเปิดกว้างและปลอดภาระผูกพันทางการค้าหรือการละเมิดลิขสิทธิ์ (Licensing Freedom) มากน้อยเพียงใด?</t>
        </is>
      </c>
      <c r="I6" s="26" t="inlineStr">
        <is>
          <t>User — Implementation (Field Deployment / Setup Friction): ขั้นตอนการติดตั้ง ติดตั้งเครื่องมือ ปรับเทียบศูนย์ (Calibration) และเตรียมพร้อมใช้งานหน้างานจริงโดยผู้ปฏิบัติงาน มีความยุ่งยากหรือกินเวลาเพียงใด?</t>
        </is>
      </c>
      <c r="J6" s="26" t="inlineStr">
        <is>
          <t>User — Customer / Public Safety &amp; Failsafes: มาตรการรักษาความปลอดภัย การป้องกันอุบัติเหตุ (Failsafes, Interlocks, E-stops) และการควบคุมอันตรายต่อเจ้าหน้าที่และสาธารณชนมีความรัดกุมเพียงใด?</t>
        </is>
      </c>
      <c r="K6" s="26" t="inlineStr">
        <is>
          <t>User — Behavior &amp; Workflow Disruption: ระบบสร้างภาระงานเอกสาร ขั้นตอนปฏิบัติงาน หรือบังคับเปลี่ยนพฤติกรรมเจ้าหน้าที่หน้างาน (SOP Disruption) มากน้อยเพียงใด?</t>
        </is>
      </c>
      <c r="L6" s="26" t="inlineStr">
        <is>
          <t>Developer — Task Dependency (Critical Path Architecture): สถาปัตยกรรมการพัฒนาฮาร์ดแวร์ ไฟฟ้า และซอฟต์แวร์ มีการเชื่อมต่อแบบขนาน (Parallel Architecture / Modularity) หรือผูกติดกันเป็นเส้นตรงบนเส้นทางวิกฤต (Critical Path)?</t>
        </is>
      </c>
      <c r="M6" s="26" t="inlineStr">
        <is>
          <t>Developer — Contribution Dependency (Bureaucratic &amp; Lab Gatekeeping): การเข้าถึงเครื่องมือในห้องปฏิบัติการ การอนุมัติงบประมาณ และกระบวนการทางธุรการ (Lab Access &amp; Purchasing Bureaucracy) มีอุปสรรคขัดขวางความคล่องตัวเพียงใด?</t>
        </is>
      </c>
      <c r="N6" s="26" t="inlineStr">
        <is>
          <t>Developer — Task &amp; Skill Compatibility: ความเข้ากันได้ระหว่างทักษะเดิมของทีมกับเทคโนโลยีสแตกของระบบ (Task &amp; Skill Compatibility: 'Water and Oil' vs. 'Oil and Engine') อยู่ในระดับใด?</t>
        </is>
      </c>
      <c r="O6" s="26" t="inlineStr">
        <is>
          <t>Production Time (Engineering Design Maturity by Milestone): ความพร้อมของแบบวิศวกรรม (3D CAD, Schematics, PCB Gerbers, Firmware Architecture, BOM) อยู่ในระดับความสมบูรณ์ใดเทียบกับหมุดหมายการผลิตจริง?</t>
        </is>
      </c>
      <c r="P6" s="26" t="inlineStr">
        <is>
          <t>Shipping (Component Procurement Lead Time): ระยะเวลาในการจัดหาและขนส่งชิ้นส่วน อุปกรณ์ และเซนเซอร์ (Procurement Lead Time) อยู่ในกรอบเวลาที่ปลอดภัยต่อกำหนดส่งมอบงานหรือไม่?</t>
        </is>
      </c>
      <c r="Q6" s="27" t="inlineStr">
        <is>
          <t>ประเมินคำถามทั้งสิ้น 15 ข้อ</t>
        </is>
      </c>
    </row>
    <row r="7" ht="95" customHeight="1">
      <c r="A7" s="23" t="inlineStr">
        <is>
          <t>เหตุผลในการถาม &amp; โหมดความล้มเหลวที่เฝ้าระวัง (Rationale)</t>
        </is>
      </c>
      <c r="B7" s="26" t="inlineStr">
        <is>
          <t>มุ่งตรวจสอบ Build vs. Buy Burden และ Machine Access หากระบบต้อง R&amp;D กลไกหรือวงจรขึ้นเอง 100% โดยไม่มี Reference Design จะเกิดความเสี่ยงวิกฤตต่อกรอบเวลาของโครงงานวิศวกรรม</t>
        </is>
      </c>
      <c r="C7" s="26" t="inlineStr">
        <is>
          <t>ตรวจสอบความต่อเนื่องของทีม (Team Knowledge Distribution) ป้องกัน Single Point of Failure หากมีผู้เชี่ยวชาญเพียงคนเดียวเมื่อติดสอบหรือเจ็บป่วยโครงการจะล้มเหลวทันที</t>
        </is>
      </c>
      <c r="D7" s="26" t="inlineStr">
        <is>
          <t>ประเมินความคุ้มค่าในการลงทุนและระยะเวลาคืนทุนเชิงสาธารณูปโภคหรือเชิงพาณิชย์ เทียบกับเงินลงทุนเริ่มต้น (CapEx) และเงินประหยัดค่าแรงงาน/ค่าน้ำมันหน้างาน</t>
        </is>
      </c>
      <c r="E7" s="26" t="inlineStr">
        <is>
          <t>ตรวจสอบภาระค่าใช้จ่ายแฝงระยะยาว (Recurring Cloud/Licensing Fees) และความเสี่ยงจากการถูกผูกขาดด้วยฮาร์ดแวร์หรือระบบคลาวด์ปิดของผู้ผลิตรายเดียว</t>
        </is>
      </c>
      <c r="F7" s="26" t="inlineStr">
        <is>
          <t>ตรวจสอบ The Scrap Budget Rule งานฮาร์ดแวร์มีความเสี่ยงต่อชิปไหม้ แผ่นวงจรช็อต หรือขายึดหัก หากไม่มีงบสำรองจัดซื้อชุดที่ 2 การพัฒนาจะหยุดชะงักทันที</t>
        </is>
      </c>
      <c r="G7" s="26" t="inlineStr">
        <is>
          <t>ตรวจสอบความเสี่ยงต่อการทำผิดกฎหมายสาธารณะ (พ.ร.บ. จราจรทางบก, พ.ร.บ. คุ้มครองข้อมูลส่วนบุคคล PDPA, กฎหมายสิ่งแวดล้อม และระเบียบทางหลวง)</t>
        </is>
      </c>
      <c r="H7" s="26" t="inlineStr">
        <is>
          <t>ตรวจสอบข้อจำกัดด้านสิทธิ์ซอฟต์แวร์และฮาร์ดแวร์ ป้องกันการติดไวรัสไลเซนส์ (Copyleft GPLv3) หรือการละเมิดสิทธิบัตรเชิงพาณิชย์ของบุคคลภายนอก</t>
        </is>
      </c>
      <c r="I7" s="26" t="inlineStr">
        <is>
          <t>ประเมินความยากลำบากของเจ้าหน้าที่หน้างาน (Field Setup Friction) หากอุปกรณ์ต้องใช้เวลาตั้งค่าหรือ Calibrate นานเกินไป เจ้าหน้าที่จะปฏิเสธการใช้งาน</t>
        </is>
      </c>
      <c r="J7" s="26" t="inlineStr">
        <is>
          <t>ตรวจสอบความปลอดภัยต่อชีวิตและทรัพย์สิน ป้องกันอันตรายจากไฟฟ้าแรงสูง สารเคมี ก๊าซพิษในที่อับอากาศ หรืออุบัติเหตุทางรถยนต์ขณะปฏิบัติงาน</t>
        </is>
      </c>
      <c r="K7" s="26" t="inlineStr">
        <is>
          <t>ประเมินแรงต้านจากเจ้าหน้าที่ผู้ใช้งาน (The Tech Trap) ระบบที่ดีต้องลดภาระ ไม่ใช่สร้างแบบฟอร์มเอกสารหรือบังคับเปลี่ยนกระบวนการทำงานหลัก</t>
        </is>
      </c>
      <c r="L7" s="26" t="inlineStr">
        <is>
          <t>ตรวจสอบ Critical Path การพัฒนา หากงานซอฟต์แวร์ต้องรอฮาร์ดแวร์จริงเสร็จก่อนเท่านั้น จะเกิดคอขวดสะสมจนส่งมอบงานไม่ทันกำหนด</t>
        </is>
      </c>
      <c r="M7" s="26" t="inlineStr">
        <is>
          <t>ประเมินอุปสรรคด้านการบริหารและเครื่องมือ (Institutional Gatekeeping) เช่น คิวรอเครื่องจักร การล็อกแล็บ หรือขั้นตอนเบิกจ่ายงบประมาณที่ล่าช้า</t>
        </is>
      </c>
      <c r="N7" s="26" t="inlineStr">
        <is>
          <t>ตรวจสอบความสอดคล้องระหว่างทักษะที่ทีมมีอยู่จริงกับเทคโนโลยีที่เลือกใช้ เพื่อป้องกัน Learning Curve ที่สูงเกินไปจนงานล้มเหลว</t>
        </is>
      </c>
      <c r="O7" s="26" t="inlineStr">
        <is>
          <t>ประเมินความพร้อมของพิมพ์เขียวการผลิต (Design Maturity Package) ก่อนเริ่มสั่งผลิตจริง เพื่อป้องกันการรื้อแก้แบบกลางคัน</t>
        </is>
      </c>
      <c r="P7" s="26" t="inlineStr">
        <is>
          <t>ตรวจสอบห่วงโซ่อุปทาน (Supply Chain Lead Time) ชิ้นส่วนที่ต้องรอส่งจากต่างประเทศเกิน 3 สัปดาห์ถือเป็นความเสี่ยงต่อวิกฤตสัปดาห์สอบและกำหนดส่งมอบ</t>
        </is>
      </c>
      <c r="Q7" s="27" t="inlineStr">
        <is>
          <t>สังเคราะห์จาก AI Agents Group 2</t>
        </is>
      </c>
    </row>
    <row r="8" ht="150" customHeight="1">
      <c r="A8" s="23" t="inlineStr">
        <is>
          <t>เกณฑ์การให้คะแนน (Scoring Rubric Definition: ระดับ 1, 2, 3, 4, 5 ครบทุกระดับ)</t>
        </is>
      </c>
      <c r="B8" s="26" t="inlineStr">
        <is>
          <t>1: Build from Scratch — 100% custom R&amp;D required (custom mechanism, custom PCB, raw algorithm derivation); no reference designs available.
2: Heavy Customization — Core components exist, but requires extensive custom adaptation, structural machining, and custom wrapper code.
3: Hybrid / COTS Integration — Standard COTS modules (e.g., standard dev board + breakout sensors) assembled with custom brackets and intermediate wiring.
4: Modular COTS Assembly — Pre-engineered building blocks with standard mounting and standard communication buses (e.g., Din-rail modules, I2C/CAN shields); minimal custom fabrication.
5: Commercial Off-the-Shelf (COTS) — Turnkey commercial solution; zero custom fabrication or circuitry required, immediate plug-and-play operation.</t>
        </is>
      </c>
      <c r="C8" s="26" t="inlineStr">
        <is>
          <t>1: Single Point of Failure (Bus Factor = 1) — Only 1 teammate understands the codebase/hardware; if they are absent or drop out, the project completely halts.
2: Fragile Redundancy (Bus Factor = 1.5) — 1 primary expert with minimal notes; a second member has rough familiarity but requires steep ramp-up to debug.
3: Moderate Redundancy (Bus Factor = 2) — 2 teammates can independently maintain, test, and troubleshoot the core subsystem.
4: High Team Redundancy (3+ Teammates) — 3+ teammates can actively design, assemble, and debug the subsystem with low ramp-up time.
5: Full Team Redundancy — All team members are fully proficient; tasks can be swapped across anyone with zero friction or velocity loss.</t>
        </is>
      </c>
      <c r="D8" s="26" t="inlineStr">
        <is>
          <t>1: Long Payback (≥ 10 Years) — High initial CapEx and low recurring savings; economically non-viable for rapid deployment.
2: Slow Return (6–9 Years) — Substantial capital investment with long break-even horizon; requires long-term institutional subsidization.
3: Moderate Return (3–5 Years) — Reasonable public infrastructure payback; offsets costs across multi-year operational cycles.
4: Fast Return (2–3 Years) — Strong operational cost reduction (fuel, labor, scrap); breaks even within normal equipment lifecycle.
5: Immediate Payback (≤ 1–2 Years) — Rapid break-even; eliminates major recurring losses within the first operating season.</t>
        </is>
      </c>
      <c r="E8" s="26" t="inlineStr">
        <is>
          <t>1: Total Vendor Lock-in — Proprietary cloud backend, encrypted telemetry, and proprietary connectors; completely dependent on vendor survival.
2: High Dependency — Hardware requires vendor-licensed diagnostic tools or annual subscription fees to maintain operation.
3: Semi-Independent — Core hardware relies on proprietary firmware, but allows open API export and standard electrical interfaces.
4: High Autonomy — Uses standard open communication protocols (e.g., Modbus, MQTT, CAN); parts can be serviced using generic tools.
5: Complete Independence — 100% open architecture; hardware is interchangeable with generic substitutes; self-serviceable by any engineer.</t>
        </is>
      </c>
      <c r="F8" s="26" t="inlineStr">
        <is>
          <t>1: Zero Buffer (0%) — Exactly 1x BOM purchased; any fried chip, cracked bracket, or wiring mistake kills the project.
2: Fragile Buffer (20–30%) — Spares only for passive components (resistors, connectors); no backup microcontrollers or expensive sensors.
3: Moderate Buffer (50%) — Spares for all critical passive parts and 1 spare for the primary controller board.
4: High Buffer (80%) — Spares for nearly every active component and sensor; can sustain multiple prototype burn-ins.
5: Full Redundancy (≥ 100%) — Complete 2x BOM budget on hand; can build two complete working units simultaneously.</t>
        </is>
      </c>
      <c r="G8" s="26" t="inlineStr">
        <is>
          <t>1: Severe Violation / No Privilege — Direct breach of statutory law (e.g., unconsented public surveillance/PDPA, hazardous road blockage, RF jammer).
2: High Legal Exposure — Ambiguous legal zone; high risk of civic complaints or traffic disruption; requires complex technical waivers.
3: Conditional / Requires Permit — Allowed under explicit written approval, official agency MoU, or municipal permit (e.g., BMA/Highway dept permit).
4: Low Legal Friction — Operates within standard public engineering exemptions; simple standard notification/safety compliance needed.
5: 100% Compliant / Free Domain — Completely exempt from statutory licensing; zero public safety risk, zero personal data (Zero PII), fully unrestricted.</t>
        </is>
      </c>
      <c r="H8" s="26" t="inlineStr">
        <is>
          <t>1: Closed / Commercial Barrier — Proprietary commercial license; cannot compile, flash, or operate without paying expensive commercial seat licenses.
2: Ambiguous / Gray IP — Unclear licensing terms or unlicensed GitHub repos; risk of copyright strike or IP dispute upon public demonstration.
3: Restrictive Open Source (Copyleft) — Permitted for educational use, but viral licenses (e.g., GPLv3) force your entire codebase to be made public if distributed.
4: Permissive Open Source — Open source with minimal conditions (e.g., LGPL, CC-BY); allows proprietary wrapping with simple attribution.
5: Completely Permissive / Public Domain — Permissive open source (MIT, Apache 2.0, BSD) or Public Domain; unrestricted freedom to commercialize, modify, and contribute.</t>
        </is>
      </c>
      <c r="I8" s="26" t="inlineStr">
        <is>
          <t>1: Laborious Recalibration — Requires multi-point manual physical zeroing, chemical calibration, or oscilloscope tuning before every run.
2: Complex Setup — Requires trained technician 20–30 minutes to adjust potentiometers, align brackets, or enter configuration commands.
3: Moderate Field Setup — Simple 5-minute calibration procedure (e.g., tare button or basic mobile app zeroing) performed by non-engineers.
4: Minimal Setup — Fast clamp-on mounting with automated self-calibration on power-up; ready in &lt; 1 minute.
5: True Plug and Go — Pure plug-and-play; zero calibration required, zero buttons; power on and immediately operational.</t>
        </is>
      </c>
      <c r="J8" s="26" t="inlineStr">
        <is>
          <t>1: Critical Hazard — Failure can directly cause electrocution, fire, traffic crashes, chemical exposure, or confined-space asphyxiation.
2: High Risk / Manual Oversight — High mechanical/electrical hazard requiring constant operator vigilance and full PPE.
3: Moderate Safety — Protected by passive mechanical guards, fuses, and warning labels; requires basic safety precautions.
4: High Safety &amp; Interlocks — Active software limits, hardware thermal shutoffs, and reverse polarity protection; minimal hazard on failure.
5: Inherently Safe &amp; Redundant — Failsafe by physics (cannot store lethal energy); isolated, dual-rated enclosures, redundant E-stops, zero injury risk.</t>
        </is>
      </c>
      <c r="K8" s="26" t="inlineStr">
        <is>
          <t>1: Disruptive Overhaul — Forces operators to abandon existing SOPs, adds 5+ extra tedious forms/steps, and faces fierce institutional union/worker resistance.
2: Significant Friction — Adds notable extra documentation or redundant verification steps; operators will actively look for ways to bypass it.
3: Moderate Adaptation — Modifies daily routine slightly; requires 1–2 training workshops, but delivers clear convenience trade-offs.
4: Low Friction — Integrates into existing tools (e.g., sends automated alerts to existing LINE/Telegram or ticketing dashboard); minimal change in habits.
5: Transparent / Seamless Integration — Zero workflow disruption; runs invisibly in background and automates existing manual paperwork without operator intervention.</t>
        </is>
      </c>
      <c r="L8" s="26" t="inlineStr">
        <is>
          <t>1: Strictly Sequential (Linear) — A depends on B depends on C; if the PCB fab is delayed, software and testing halt 100%.
2: Bottlenecked Pipelines — Major subsystems are tightly coupled; frequent integration stalls waiting for hardware bench access.
3: Semi-Decoupled — Hardware and software teams can work independently for 1–2 weeks using rough mockups before needing physical integration.
4: Modular Parallelism — Clear API/interface boundaries; software builds against mock data/simulators while hardware is routed; integration takes &lt; 2 days.
5: Fully Parallel Architecture — Microservices/modular nodes with standard contracts; mechanical, electrical, and firmware develop, simulate, and unit-test completely in parallel.</t>
        </is>
      </c>
      <c r="M8" s="26" t="inlineStr">
        <is>
          <t>1: Heavy Gatekeeping — Blocked by supervisor approvals, locked lab cabinets, NDA signatures, purchasing bureaucracy, and restricted git branches.
2: Moderate Bureaucracy — Requires departmental request forms, tool booking queues, and waiting 3–5 days for administrative sign-offs.
3: Standard Campus Access — Workable access during university open hours; minor approval delays for equipment or lab keys.
4: High Autonomy — Team has full repository write access, open 24/7 lab entry, and pre-approved discretionary debit cards/stipends for rapid purchases.
5: Frictionless Contribution — Complete autonomy; decentralized cloud CI/CD, local prototyping tools at home/bench, zero administrative blockers.</t>
        </is>
      </c>
      <c r="N8" s="26" t="inlineStr">
        <is>
          <t>1: Complete Mismatch ('Water and Oil') — Team has zero foundation in the stack (e.g., pure mechanical students forced to train deep neural nets in C++ from scratch).
2: Steep Learning Curve — High theoretical knowledge, but zero production hands-on experience; debugging basic syntax/wiring stalls progress.
3: Adjacent Competence — Strong mastery in related tools (e.g., proficient in Arduino/ESP32 migrating to STM32, or SolidWorks migrating to Fusion360); manageable 1-week curve.
4: Proven Experience — Team has built similar subsystems in past semester coursework or competition robots; rapid ramp-up.
5: Perfect Synergy ('Oil and Engine') — Complete domain mastery; team members have built this exact architecture multiple times with verified libraries and muscle memory.</t>
        </is>
      </c>
      <c r="O8" s="26" t="inlineStr">
        <is>
          <t>1: Concept Only (0% Design) — Napkin sketches and verbal concepts; 0% CAD models, 0% schematics, 0% code written.
2: Rough Drafts (25% Design) — Preliminary block diagrams, hand-drawn schematics, unverified parts list, incomplete 3D bounding boxes.
3: Intermediate Maturity (50% Design) — Complete CAD assembly (untested clearances), schematic capture complete, draft firmware architecture mapped out.
4: Pre-Production (80% Design) — Fully detailed 3D CAD ready for 3D print/CNC, routed PCB Gerber files validated with DRC, pinouts locked down.
5: Fully Engineered Design (100% Production Ready) — Complete drawing package: BOM with part numbers, verified manufacturing Gerbers, 2D tolerance drawings, assembly SOP, and flashing scripts ready.</t>
        </is>
      </c>
      <c r="P8" s="26" t="inlineStr">
        <is>
          <t>1: Extreme Lead Time (≥ 4 Weeks) — Custom overseas fabrication, customs clearance delays, or parts with long factory lead times (critical path hazard).
2: High Lead Time (3–4 Weeks) — Standard overseas shipping (e.g., standard AliExpress/international postal surface mail); vulnerable to logistics delays.
3: Moderate Lead Time (2 Weeks) — Express international courier (DHL, FedEx, JLCPCB express) or regional distributors (7–14 days).
4: Short Lead Time (1 Week) — Domestic couriers or express domestic stockists (3–5 business days).
5: Immediate / Next-Day (≤ 1–2 Days) — Shelf stock available locally at retail shops or next-day domestic express delivery.</t>
        </is>
      </c>
      <c r="Q8" s="27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8" t="inlineStr">
        <is>
          <t>คะแนนที่ได้รับ (ASSIGNED SCORE: 1, 2, 3, 4, 5 STRICT INTEGER)</t>
        </is>
      </c>
      <c r="B9" s="29" t="n">
        <v>2</v>
      </c>
      <c r="C9" s="29" t="n">
        <v>3</v>
      </c>
      <c r="D9" s="29" t="n">
        <v>3</v>
      </c>
      <c r="E9" s="29" t="n">
        <v>4</v>
      </c>
      <c r="F9" s="29" t="n">
        <v>3</v>
      </c>
      <c r="G9" s="29" t="n">
        <v>2</v>
      </c>
      <c r="H9" s="29" t="n">
        <v>5</v>
      </c>
      <c r="I9" s="29" t="n">
        <v>2</v>
      </c>
      <c r="J9" s="29" t="n">
        <v>2</v>
      </c>
      <c r="K9" s="29" t="n">
        <v>4</v>
      </c>
      <c r="L9" s="29" t="n">
        <v>2</v>
      </c>
      <c r="M9" s="29" t="n">
        <v>2</v>
      </c>
      <c r="N9" s="29" t="n">
        <v>4</v>
      </c>
      <c r="O9" s="29" t="n">
        <v>3</v>
      </c>
      <c r="P9" s="29" t="n">
        <v>4</v>
      </c>
      <c r="Q9" s="30">
        <f>IF(Q10&gt;0, (Q11/Q10)*20, 0)</f>
        <v/>
      </c>
    </row>
    <row r="10" ht="22" customHeight="1">
      <c r="A10" s="23" t="inlineStr">
        <is>
          <t>ค่าน้ำหนัก (Weight %)</t>
        </is>
      </c>
      <c r="B10" s="31" t="n">
        <v>0.1</v>
      </c>
      <c r="C10" s="31" t="n">
        <v>0.1</v>
      </c>
      <c r="D10" s="31" t="n">
        <v>0.0667</v>
      </c>
      <c r="E10" s="31" t="n">
        <v>0.0667</v>
      </c>
      <c r="F10" s="31" t="n">
        <v>0.06660000000000001</v>
      </c>
      <c r="G10" s="31" t="n">
        <v>0.1</v>
      </c>
      <c r="H10" s="31" t="n">
        <v>0.1</v>
      </c>
      <c r="I10" s="31" t="n">
        <v>0.0333</v>
      </c>
      <c r="J10" s="31" t="n">
        <v>0.0333</v>
      </c>
      <c r="K10" s="31" t="n">
        <v>0.0334</v>
      </c>
      <c r="L10" s="31" t="n">
        <v>0.0333</v>
      </c>
      <c r="M10" s="31" t="n">
        <v>0.0333</v>
      </c>
      <c r="N10" s="31" t="n">
        <v>0.0334</v>
      </c>
      <c r="O10" s="31" t="n">
        <v>0.1</v>
      </c>
      <c r="P10" s="31" t="n">
        <v>0.1</v>
      </c>
      <c r="Q10" s="31">
        <f>SUM(B10:P10)</f>
        <v/>
      </c>
    </row>
    <row r="11" ht="24" customHeight="1">
      <c r="A11" s="23" t="inlineStr">
        <is>
          <t>คะแนนถ่วงน้ำหนัก (=Score * Weight)</t>
        </is>
      </c>
      <c r="B11" s="32">
        <f>B9*B10</f>
        <v/>
      </c>
      <c r="C11" s="32">
        <f>C9*C10</f>
        <v/>
      </c>
      <c r="D11" s="32">
        <f>D9*D10</f>
        <v/>
      </c>
      <c r="E11" s="32">
        <f>E9*E10</f>
        <v/>
      </c>
      <c r="F11" s="32">
        <f>F9*F10</f>
        <v/>
      </c>
      <c r="G11" s="32">
        <f>G9*G10</f>
        <v/>
      </c>
      <c r="H11" s="32">
        <f>H9*H10</f>
        <v/>
      </c>
      <c r="I11" s="32">
        <f>I9*I10</f>
        <v/>
      </c>
      <c r="J11" s="32">
        <f>J9*J10</f>
        <v/>
      </c>
      <c r="K11" s="32">
        <f>K9*K10</f>
        <v/>
      </c>
      <c r="L11" s="32">
        <f>L9*L10</f>
        <v/>
      </c>
      <c r="M11" s="32">
        <f>M9*M10</f>
        <v/>
      </c>
      <c r="N11" s="32">
        <f>N9*N10</f>
        <v/>
      </c>
      <c r="O11" s="32">
        <f>O9*O10</f>
        <v/>
      </c>
      <c r="P11" s="32">
        <f>P9*P10</f>
        <v/>
      </c>
      <c r="Q11" s="32">
        <f>SUM(B11:P11)</f>
        <v/>
      </c>
    </row>
    <row r="12" ht="115" customHeight="1">
      <c r="A12" s="23" t="inlineStr">
        <is>
          <t>คำอธิบาย &amp; หลักฐานอ้างอิงจากไฟล์ Intake (Evidence Citation)</t>
        </is>
      </c>
      <c r="B12" s="26" t="inlineStr">
        <is>
          <t>อ้างอิง solution-details/solution-5_uhi_latent_heat.md ต้องออกแบบโครงสร้างขายึดรับแรงสั่นสะเทือนบนรถ ติดตั้งระบบปั๊มแรงดันและท่อไฮดรอลิกส์สั่งทำพิเศษ</t>
        </is>
      </c>
      <c r="C12" s="26" t="inlineStr">
        <is>
          <t>สมาชิก 2 คน (Fifa ด้านกลไกไฮดรอลิกส์ และ Due ด้านระบบควบคุมไฟฟ้าปั๊ม) เป็นแกนหลักในการสร้างชุดพ่นหมอก (Bus Factor = 2)</t>
        </is>
      </c>
      <c r="D12" s="26" t="inlineStr">
        <is>
          <t>ลดอุณหภูมิผิวทางเท้าและลดความเครียดทางความร้อนของประชาชน จุดคุ้มทุน 3-5 ปีในมิติด้านสิ่งแวดล้อมและสุขภาพเมือง</t>
        </is>
      </c>
      <c r="E12" s="26" t="inlineStr">
        <is>
          <t>ปั๊มน้ำ วาล์วโซลินอยด์ และหัวพ่นหมอกเป็นอะไหล่มาตรฐานอุตสาหกรรม/การเกษตร หาซื้อเปลี่ยนทดแทนได้ง่าย</t>
        </is>
      </c>
      <c r="F12" s="26" t="inlineStr">
        <is>
          <t>อุปกรณ์ปั๊มแรงดันสูงและชุดหัวฉีดสแตนเลสมีราคาสูง สามารถสำรองอะไหล่ได้ประมาณ 50% ของงบประมาณ</t>
        </is>
      </c>
      <c r="G12" s="26" t="inlineStr">
        <is>
          <t>การพ่นละอองน้ำบนถนนหลวงมีข้อบังคับ พ.ร.บ. จราจรทางบกเรื่องความปลอดภัยผิวทางลื่น เสี่ยงต่อการเกิดอุบัติเหตุ ต้องขอข้อยกเว้นและมีมาตรการความปลอดภัยเข้มงวด</t>
        </is>
      </c>
      <c r="H12" s="26" t="inlineStr">
        <is>
          <t>ใช้หลักการทางอุณหพลศาสตร์และสมการความร้อนแฝง (Latent Heat of Vaporization) เปิดเผย ปลอดปัญหาทรัพย์สินทางปัญญา</t>
        </is>
      </c>
      <c r="I12" s="26" t="inlineStr">
        <is>
          <t>การเตรียมระบบก่อนออกวิ่งต้องติดตั้งโครงบูม เติมน้ำ ตรวจสอบแรงดันปั๊ม และล้างไส้กรอง ใช้เวลาประมาณ 15-20 นาที</t>
        </is>
      </c>
      <c r="J12" s="26" t="inlineStr">
        <is>
          <t>ปฏิบัติงานบนยานพาหนะเคลื่อนที่ร่วมกับการจราจรจริง เสี่ยงต่อการเฉี่ยวชนและละอองน้ำบดบังทัศนวิสัย ต้องมีป้ายไฟเตือนและระบบตัดน้ำฉุกเฉิน E-stop</t>
        </is>
      </c>
      <c r="K12" s="26" t="inlineStr">
        <is>
          <t>ปรับติดตั้งเข้ากับรถบริการเดิมของเทศบาลหรือรถรดน้ำต้นไม้ เจ้าหน้าที่ขับขี่รถตามเส้นทางปกติโดยมีระบบพ่นน้ำอัตโนมัติ</t>
        </is>
      </c>
      <c r="L12" s="26" t="inlineStr">
        <is>
          <t>การพัฒนาระบบควบคุมต้องพึ่งพารถต้นแบบจริงเพื่อทดสอบแรงสั่นสะเทือนและการกระจายตัวของละอองน้ำ ซอฟต์แวร์จึงผูกติดกับฮาร์ดแวร์สูง</t>
        </is>
      </c>
      <c r="M12" s="26" t="inlineStr">
        <is>
          <t>การขอใช้ยานพาหนะและสนามทดสอบของมหาวิทยาลัยต้องผ่านกระบวนการขออนุมัติและรอคิว 3-5 วันทำการ</t>
        </is>
      </c>
      <c r="N12" s="26" t="inlineStr">
        <is>
          <t>สมาชิกมีความเชี่ยวชาญด้านกลไก (Fifa), ระบบควบคุมไฟฟ้า (Due) และการวัดอุณหภูมิ (JK) สอดคล้องกับงานที่ถนัดเดิม ('Oil and Engine')</t>
        </is>
      </c>
      <c r="O12" s="26" t="inlineStr">
        <is>
          <t>แบบ 3D CAD ของโครงสร้างยึดรถและผังระบบท่อน้ำอยู่ในระดับ 50% Design กำลังคำนวณ Stress Analysis ของขายึด</t>
        </is>
      </c>
      <c r="P12" s="26" t="inlineStr">
        <is>
          <t>ปั๊มแรงดันสูง 12V/24V และหัวพ่นหมอกสแตนเลสมีจำหน่ายในประเทศ จัดส่งถึงภายใน 3-5 วันทำการ</t>
        </is>
      </c>
      <c r="Q12" s="33">
        <f>IF(MIN(B9:P9)=1, "VETOED / ตกเกณฑ์ข้อบังคับวิกฤต (คะแนนระดับ 1)", IF(Q9&gt;=80, "ผ่านเกณฑ์ระดับสูง (HIGHLY VIABLE)", IF(Q9&gt;=60, "ผ่านแบบมีเงื่อนไข (CONDITIONALLY VIABLE)", "ความเสี่ยงสูง (HIGH RISK)")))</f>
        <v/>
      </c>
    </row>
    <row r="13" ht="70" customHeight="1">
      <c r="A13" s="23" t="inlineStr">
        <is>
          <t>แผนลดขอบเขตงาน &amp; มาตรการลดความเสี่ยง (De-scoping Action)</t>
        </is>
      </c>
      <c r="B13" s="26" t="inlineStr">
        <is>
          <t>ใช้ท่อและข้อต่อสวมเร็วแบบ Quick-fitting แรงดันสูงสำเร็จรูปเพื่อลดการเชื่อมกลึง</t>
        </is>
      </c>
      <c r="C13" s="26" t="inlineStr">
        <is>
          <t>ทำแผนผังระบบท่อและวงจรควบคุมไฟฟ้าให้สมาชิกทุกคนเข้าใจตำแหน่งวาล์วฉุกเฉิน</t>
        </is>
      </c>
      <c r="D13" s="26" t="inlineStr">
        <is>
          <t>จำกัดขอบเขตการทดสอบเฉพาะถนนภายในวิทยาเขตเพื่อควบคุมค่าใช้จ่าย</t>
        </is>
      </c>
      <c r="E13" s="26" t="inlineStr">
        <is>
          <t>เลือกใช้หัวพ่นหมอกขนาดเกลียวมาตรฐาน 3/16 นิ้วที่หาซื้อได้ทั่วไป</t>
        </is>
      </c>
      <c r="F13" s="26" t="inlineStr">
        <is>
          <t>จัดซื้อหัวพ่นหมอกสำรอง 5 หัว และโอริงสำรอง 1 ชุด</t>
        </is>
      </c>
      <c r="G13" s="26" t="inlineStr">
        <is>
          <t>ทำหนังสือขออนุญาตใช้ถนนภายในมหาวิทยาลัยในการทดสอบวิ่ง โดยกำหนดความเร็วไม่เกิน 20 กม./ชม.</t>
        </is>
      </c>
      <c r="H13" s="26" t="inlineStr">
        <is>
          <t>เขียนอัลกอริทึมควบคุมรอบการพ่นด้วยไลบรารีโอเพนซอร์สบน Arduino/ESP32</t>
        </is>
      </c>
      <c r="I13" s="26" t="inlineStr">
        <is>
          <t>ติดตั้งข้อต่อสวมเร็วสำหรับเติมน้ำและมีเกจวัดแรงดันแบบเห็นได้ชัดเจน</t>
        </is>
      </c>
      <c r="J13" s="26" t="inlineStr">
        <is>
          <t>ติดตั้งไฟกะพริบเตือนสีเหลืองด้านหลังรถ และมีปุ่ม E-stop ตัดไฟปั๊มน้ำในห้องโดยสาร</t>
        </is>
      </c>
      <c r="K13" s="26" t="inlineStr">
        <is>
          <t>ติดตั้งสวิตช์เปิด-ปิดระบบในตำแหน่งที่คนขับเอื้อมถึงง่าย</t>
        </is>
      </c>
      <c r="L13" s="26" t="inlineStr">
        <is>
          <t>สร้างชุดแท่นทดสอบหัวพ่นหมอกขนาดเล็กบนโต๊ะแล็บเพื่อทดสอบวงจรควบคุมล่วงหน้า</t>
        </is>
      </c>
      <c r="M13" s="26" t="inlineStr">
        <is>
          <t>ทำหนังสือขออนุญาตใช้รถกระบะและพื้นที่ทดสอบกับภาควิชาล่วงหน้า</t>
        </is>
      </c>
      <c r="N13" s="26" t="inlineStr">
        <is>
          <t>จัดฝึกอบรมความปลอดภัยด้านระบบแรงดันสูงภายในทีม</t>
        </is>
      </c>
      <c r="O13" s="26" t="inlineStr">
        <is>
          <t>เร่งทดสอบการประกอบโครงบูมเข้ากับท้ายรถให้เสร็จก่อนสัปดาห์ที่ 8</t>
        </is>
      </c>
      <c r="P13" s="26" t="inlineStr">
        <is>
          <t>สั่งซื้อปั๊มแรงดันและอุปกรณ์ระบบน้ำจากร้านค้าในไทยทันทีที่อนุมัติแบบ</t>
        </is>
      </c>
      <c r="Q13" s="25" t="inlineStr">
        <is>
          <t>ปฏิบัติตามแผนลดขอบเขตงาน (De-scoping Advisory)</t>
        </is>
      </c>
    </row>
    <row r="14" ht="15" customHeight="1"/>
    <row r="15" ht="26" customHeight="1">
      <c r="A15" s="19" t="inlineStr">
        <is>
          <t>ตารางสรุปคะแนนแยกตามมิติ TELOS+S (Pillar Score Breakdown)</t>
        </is>
      </c>
    </row>
    <row r="16" ht="24" customHeight="1">
      <c r="A16" s="34" t="inlineStr">
        <is>
          <t>มิติการประเมิน (TELOS+S Pillar)</t>
        </is>
      </c>
      <c r="B16" s="34" t="inlineStr">
        <is>
          <t>สัดส่วนน้ำหนัก (Weight %)</t>
        </is>
      </c>
      <c r="C16" s="34" t="inlineStr">
        <is>
          <t>คะแนนเต็มมิติ (Max Points)</t>
        </is>
      </c>
      <c r="D16" s="34" t="inlineStr">
        <is>
          <t>คะแนนที่ได้รับจริง (Earned Points)</t>
        </is>
      </c>
      <c r="E16" s="34" t="inlineStr">
        <is>
          <t>คะแนนเฉลี่ย (Score 1-5)</t>
        </is>
      </c>
      <c r="F16" s="34" t="inlineStr">
        <is>
          <t>ระดับความพร้อม (Readiness Level)</t>
        </is>
      </c>
    </row>
    <row r="17" ht="22" customHeight="1">
      <c r="A17" s="35" t="inlineStr">
        <is>
          <t>T : ด้านเทคโนโลยีและวิศวกรรม (Technical)</t>
        </is>
      </c>
      <c r="B17" s="36" t="n">
        <v>0.2</v>
      </c>
      <c r="C17" s="37" t="n">
        <v>20</v>
      </c>
      <c r="D17" s="38">
        <f>SUM(B11:C11)*20</f>
        <v/>
      </c>
      <c r="E17" s="39">
        <f>IF(C17&gt;0, (D17/C17)*5, 0)</f>
        <v/>
      </c>
      <c r="F17" s="25">
        <f>IF(D17&gt;=16.0, "พร้อมระดับสูง (High)", IF(D17&gt;=12.0, "ปานกลาง (Medium)", "เสี่ยงวิกฤต (Critical)"))</f>
        <v/>
      </c>
    </row>
    <row r="18" ht="22" customHeight="1">
      <c r="A18" s="35" t="inlineStr">
        <is>
          <t>E : ด้านเศรษฐศาสตร์และความคุ้มค่า (Economic)</t>
        </is>
      </c>
      <c r="B18" s="36" t="n">
        <v>0.2</v>
      </c>
      <c r="C18" s="37" t="n">
        <v>20</v>
      </c>
      <c r="D18" s="38">
        <f>SUM(D11:F11)*20</f>
        <v/>
      </c>
      <c r="E18" s="39">
        <f>IF(C18&gt;0, (D18/C18)*5, 0)</f>
        <v/>
      </c>
      <c r="F18" s="25">
        <f>IF(D18&gt;=16.0, "พร้อมระดับสูง (High)", IF(D18&gt;=12.0, "ปานกลาง (Medium)", "เสี่ยงวิกฤต (Critical)"))</f>
        <v/>
      </c>
    </row>
    <row r="19" ht="22" customHeight="1">
      <c r="A19" s="35" t="inlineStr">
        <is>
          <t>L : ด้านกฎหมายและสถาบัน (Legal &amp; Institutional)</t>
        </is>
      </c>
      <c r="B19" s="36" t="n">
        <v>0.2</v>
      </c>
      <c r="C19" s="37" t="n">
        <v>20</v>
      </c>
      <c r="D19" s="38">
        <f>SUM(G11:H11)*20</f>
        <v/>
      </c>
      <c r="E19" s="39">
        <f>IF(C19&gt;0, (D19/C19)*5, 0)</f>
        <v/>
      </c>
      <c r="F19" s="25">
        <f>IF(D19&gt;=16.0, "พร้อมระดับสูง (High)", IF(D19&gt;=12.0, "ปานกลาง (Medium)", "เสี่ยงวิกฤต (Critical)"))</f>
        <v/>
      </c>
    </row>
    <row r="20" ht="22" customHeight="1">
      <c r="A20" s="35" t="inlineStr">
        <is>
          <t>O : ด้านการปฏิบัติการและหน้างาน (Operational)</t>
        </is>
      </c>
      <c r="B20" s="36" t="n">
        <v>0.2</v>
      </c>
      <c r="C20" s="37" t="n">
        <v>20</v>
      </c>
      <c r="D20" s="38">
        <f>SUM(I11:N11)*20</f>
        <v/>
      </c>
      <c r="E20" s="39">
        <f>IF(C20&gt;0, (D20/C20)*5, 0)</f>
        <v/>
      </c>
      <c r="F20" s="25">
        <f>IF(D20&gt;=16.0, "พร้อมระดับสูง (High)", IF(D20&gt;=12.0, "ปานกลาง (Medium)", "เสี่ยงวิกฤต (Critical)"))</f>
        <v/>
      </c>
    </row>
    <row r="21" ht="22" customHeight="1">
      <c r="A21" s="35" t="inlineStr">
        <is>
          <t>S : ด้านแผนงานและเวลาส่งมอบ (Schedule)</t>
        </is>
      </c>
      <c r="B21" s="36" t="n">
        <v>0.2</v>
      </c>
      <c r="C21" s="37" t="n">
        <v>20</v>
      </c>
      <c r="D21" s="38">
        <f>SUM(O11:P11)*20</f>
        <v/>
      </c>
      <c r="E21" s="39">
        <f>IF(C21&gt;0, (D21/C21)*5, 0)</f>
        <v/>
      </c>
      <c r="F21" s="25">
        <f>IF(D21&gt;=16.0, "พร้อมระดับสูง (High)", IF(D21&gt;=12.0, "ปานกลาง (Medium)", "เสี่ยงวิกฤต (Critical)"))</f>
        <v/>
      </c>
    </row>
    <row r="22" ht="26" customHeight="1">
      <c r="A22" s="40" t="inlineStr">
        <is>
          <t>คะแนนรวมทุกมิติ (Total Feasibility Score)</t>
        </is>
      </c>
      <c r="B22" s="31">
        <f>SUM(B17:B21)</f>
        <v/>
      </c>
      <c r="C22" s="41">
        <f>SUM(C17:C21)</f>
        <v/>
      </c>
      <c r="D22" s="42">
        <f>SUM(D17:D21)</f>
        <v/>
      </c>
      <c r="E22" s="32">
        <f>IF(C22&gt;0, (D22/C22)*5, 0)</f>
        <v/>
      </c>
      <c r="F22" s="43">
        <f>IF(D22&gt;=80, "ผ่านเกณฑ์ระดับสูง (HIGHLY VIABLE)", IF(D22&gt;=60, "ผ่านแบบมีเงื่อนไข (CONDITIONALLY VIABLE)", "ความเสี่ยงสูง (HIGH RISK)"))</f>
        <v/>
      </c>
    </row>
    <row r="23" ht="12" customHeight="1"/>
    <row r="24" ht="26" customHeight="1">
      <c r="A24" s="19" t="inlineStr">
        <is>
          <t>เมทริกซ์ประเมินความเข้ากันได้กับองค์ความรู้ด้านวิศวกรรมหุ่นยนต์ (Robotics Knowledge Compatibility)</t>
        </is>
      </c>
    </row>
    <row r="25" ht="22" customHeight="1">
      <c r="A25" s="20" t="inlineStr">
        <is>
          <t>* หมายเหตุ: การประเมินส่วนนี้วัดศักยภาพในการประยุกต์ใช้องค์ความรู้ด้านวิศวกรรมหุ่นยนต์ (Perception, Control, Actuation, Mechatronics) เต็ม 10 คะแนน | เป็นเอกเทศ ไม่นับรวมในคะแนน TELOS 100 คะแนน</t>
        </is>
      </c>
    </row>
    <row r="26" ht="24" customHeight="1">
      <c r="A26" s="44" t="inlineStr">
        <is>
          <t>มิติการประเมิน (Robotics Dimension)</t>
        </is>
      </c>
      <c r="B26" s="44" t="inlineStr">
        <is>
          <t>คะแนนศักยภาพ (/10)</t>
        </is>
      </c>
      <c r="C26" s="44" t="inlineStr">
        <is>
          <t>แกน Perception &amp; Sensing (การรับรู้)</t>
        </is>
      </c>
      <c r="D26" s="44" t="inlineStr">
        <is>
          <t>แกน Control &amp; Algorithms (การควบคุม)</t>
        </is>
      </c>
      <c r="E26" s="44" t="inlineStr">
        <is>
          <t>แกน Actuation &amp; Mechanisms (กลไก)</t>
        </is>
      </c>
      <c r="F26" s="44" t="inlineStr">
        <is>
          <t>บทวิเคราะห์เชิงวิศวกรรมหุ่นยนต์ (FIBO Alignment Rationale)</t>
        </is>
      </c>
    </row>
    <row r="27" ht="95" customHeight="1">
      <c r="A27" s="45" t="inlineStr">
        <is>
          <t>ศักยภาพการประยุกต์ใช้องค์ความรู้หุ่นยนต์และระบบอัตโนมัติ</t>
        </is>
      </c>
      <c r="B27" s="46" t="n">
        <v>9</v>
      </c>
      <c r="C27" s="26" t="inlineStr">
        <is>
          <t>ระบบวัดอุณหภูมิพื้นผิวถนนแบบไม่สัมผัส (Infrared Pyrometer / Thermal Camera), เซนเซอร์วัดอุณหภูมิอากาศ, ความชื้นสัมพัทธ์ และเซนเซอร์วัดความเร็วลม (Ultrasonic Anemometer)</t>
        </is>
      </c>
      <c r="D27" s="26" t="inlineStr">
        <is>
          <t>ระบบควบคุมอุณหพลศาสตร์วงปิด (Closed-loop Thermodynamic Control): คำนวณอัตราการระเหยตามสมการ Penman-Monteith, การควบคุมความดันและรอบการพ่นแบบ PWM, และการประเมินสภาวะถนนลื่น (Surface Slip Detection)</t>
        </is>
      </c>
      <c r="E27" s="26" t="inlineStr">
        <is>
          <t>ระบบกลไกและการฉีดพ่นขั้นสูง: โครงบูมปรับมุมองศาด้วยเซอร์โว/กระบอกสูบไฮดรอลิกส์, ปั๊มแรงดันสูง (High-Pressure Diaphragm Pump), วาล์วโซลินอยด์ควบคุมแรงดัน และหัวพ่นหมอกแบบป้องกันการหยด (Anti-drip Misting Nozzles)</t>
        </is>
      </c>
      <c r="F27" s="26" t="inlineStr">
        <is>
          <t>มีความเข้ากันได้อย่างสมบูรณ์แบบสูงสุดกับหลักสูตรวิศวกรรมหุ่นยนต์และระบบอัตโนมัติ (FIBO) ครบทั้ง 3 เสาหลัก: Perception (Thermal Imaging), Control (Thermodynamic Closed-loop Control) และ Actuation/Mechatronics (Vehicle-mounted High-pressure Hydraulics &amp; Mechanics) ได้คะแนน 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2026-09-23T14:29:16Z</dcterms:created>
  <dcterms:modified xsi:type="dcterms:W3CDTF">2026-09-23T14:29:16Z</dcterms:modified>
</cp:coreProperties>
</file>