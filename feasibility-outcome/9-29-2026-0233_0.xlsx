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_2_Acoustic_Reflect" sheetId="2" state="visible" r:id="rId2"/>
    <sheet name="Solution_1_CCTV_Crawler" sheetId="3" state="visible" r:id="rId3"/>
    <sheet name="Solution_4_LiDAR_SL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165" fontId="20" fillId="6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2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12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(/12)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Solution_2_Acoustic_Reflect</t>
        </is>
      </c>
      <c r="C5" s="7" t="inlineStr">
        <is>
          <t>Solution 2: Pipe Inspection Instrument using Acoustic Reflectometry (Airborne Acoustic Inversion + SL-RAT EPA USA Cleanliness Scale)</t>
        </is>
      </c>
      <c r="D5" s="8">
        <f>'Solution_2_Acoustic_Reflect'!S9</f>
        <v/>
      </c>
      <c r="E5" s="9">
        <f>'Solution_2_Acoustic_Reflect'!D17</f>
        <v/>
      </c>
      <c r="F5" s="9">
        <f>'Solution_2_Acoustic_Reflect'!D18</f>
        <v/>
      </c>
      <c r="G5" s="9">
        <f>'Solution_2_Acoustic_Reflect'!D19</f>
        <v/>
      </c>
      <c r="H5" s="9">
        <f>'Solution_2_Acoustic_Reflect'!D20</f>
        <v/>
      </c>
      <c r="I5" s="9">
        <f>'Solution_2_Acoustic_Reflect'!D21</f>
        <v/>
      </c>
      <c r="J5" s="9">
        <f>'Solution_2_Acoustic_Reflect'!D22</f>
        <v/>
      </c>
      <c r="K5" s="10">
        <f>'Solution_2_Acoustic_Reflect'!S12</f>
        <v/>
      </c>
      <c r="L5" s="11" t="inlineStr">
        <is>
          <t>ตรวจประเมินท่อจากผิวดินได้อย่างรวดเร็ว (3–5 นาทีต่อช่วงท่อ) โดยไม่ต้องปล่อยหุ่นยนต์ลงไปสัมผัสน้ำเสีย ใช้พลังงานต่ำ ต้นทุนอุปกรณ์ต่ำมาก ไม่มีความเสี่ยงเรื่องอุปกรณ์ติดค้างในท่อ และสอดรับกับข้อจำกัดน้ำในท่อไม่เกิน 20% ได้อย่างสมบูรณ์แบบ</t>
        </is>
      </c>
      <c r="M5" s="11" t="inlineStr">
        <is>
          <t>ไม่สามารถทำงานได้ในสภาวะที่น้ำท่วมเต็มท่อระบายน้ำ (Airspace ปิดกั้น) และไม่ได้ภาพ 3D เรขาคณิตของผิวท่อ</t>
        </is>
      </c>
      <c r="N5" s="11" t="inlineStr">
        <is>
          <t>พัฒนาท่อส่งคลื่นเสียงแบบ Telescoping Pole ที่สามารถปรับระดับความลึกตามปากท่อได้ พร้อมบันทึกพิกัด GPS อัตโนมัติเพื่อเชื่อมต่อแผนที่ระบบท่อของ กทม.</t>
        </is>
      </c>
      <c r="O5" s="12" t="n">
        <v>8.5</v>
      </c>
      <c r="P5" s="7" t="inlineStr">
        <is>
          <t>Solution 2 exercises FIBO signal processing, acoustical physics, digital filtering, and sensor interface engineering without unnecessary mechanical locomotion risks in underground sewage.</t>
        </is>
      </c>
    </row>
    <row r="6" ht="55" customHeight="1">
      <c r="A6" s="13" t="n">
        <v>2</v>
      </c>
      <c r="B6" s="14" t="inlineStr">
        <is>
          <t>Solution_1_CCTV_Crawler</t>
        </is>
      </c>
      <c r="C6" s="15" t="inlineStr">
        <is>
          <t>Solution 1: Pipe Inspection Robot using CCTV for profiling pipe (4K PTZ Camera + YOLOv8 Wheeled Crawler)</t>
        </is>
      </c>
      <c r="D6" s="8">
        <f>'Solution_1_CCTV_Crawler'!S9</f>
        <v/>
      </c>
      <c r="E6" s="16">
        <f>'Solution_1_CCTV_Crawler'!D17</f>
        <v/>
      </c>
      <c r="F6" s="16">
        <f>'Solution_1_CCTV_Crawler'!D18</f>
        <v/>
      </c>
      <c r="G6" s="16">
        <f>'Solution_1_CCTV_Crawler'!D19</f>
        <v/>
      </c>
      <c r="H6" s="16">
        <f>'Solution_1_CCTV_Crawler'!D20</f>
        <v/>
      </c>
      <c r="I6" s="16">
        <f>'Solution_1_CCTV_Crawler'!D21</f>
        <v/>
      </c>
      <c r="J6" s="16">
        <f>'Solution_1_CCTV_Crawler'!D22</f>
        <v/>
      </c>
      <c r="K6" s="17">
        <f>'Solution_1_CCTV_Crawler'!S12</f>
        <v/>
      </c>
      <c r="L6" s="18" t="inlineStr">
        <is>
          <t>ให้ภาพวิดีโอความละเอียดสูง (HD/4K) ภายในท่อจริง พร้อมโมเดล AI (YOLOv8) ตรวจจับรอยแตกร้าว รอยรั่ว และสิ่งอุดตันได้โดยอัตโนมัติ โดยสอดรับกับข้อจำกัดน้ำในท่อไม่เกิน 20% ทำให้กล้องมองเห็นผิวท่อส่วนบนได้ชัดเจน</t>
        </is>
      </c>
      <c r="M6" s="18" t="inlineStr">
        <is>
          <t>ต้องใช้หุ่นยนต์ลงไปสัมผัสน้ำเสียในท่อจริง แม้น้ำไม่เกิน 20% แต่ล้อและระบบซีลยังต้องทนทานต่อน้ำและคราบไขมัน (IP68), มีความเสี่ยงหุ่นยนต์ติดค้าง/สาย Tether พันกันในท่อ (O-01=3), และต้องใช้เวลาสร้างระบบกลไกกันน้ำสูงเกินกรอบเวลา 5 สัปดาห์ (S-01=2)</t>
        </is>
      </c>
      <c r="N6" s="18" t="inlineStr">
        <is>
          <t>ลดสโคปกลไกขับเคลื่อนที่ซับซ้อน หันมาใช้โครงสร้างล้อสำเร็จรูป (COTS Crawler Chassis) พร้อมติดตั้งชุดสาย Tether แบบ Slip-Ring คุณภาพสูง และทดสอบระบบกันน้ำในถังทดสอบก่อนลงพื้นที่จริง</t>
        </is>
      </c>
      <c r="O6" s="12" t="n">
        <v>10.5</v>
      </c>
      <c r="P6" s="15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  <row r="7" ht="55" customHeight="1">
      <c r="A7" s="5" t="n">
        <v>3</v>
      </c>
      <c r="B7" s="6" t="inlineStr">
        <is>
          <t>Solution_4_LiDAR_SLAM</t>
        </is>
      </c>
      <c r="C7" s="7" t="inlineStr">
        <is>
          <t>Solution 4: Pipe Inspection Instrument using LiDAR SLAM attaching with Robot (3D LiDAR + Laser SLAM Point Cloud Profiling)</t>
        </is>
      </c>
      <c r="D7" s="19">
        <f>'Solution_4_LiDAR_SLAM'!S9</f>
        <v/>
      </c>
      <c r="E7" s="9">
        <f>'Solution_4_LiDAR_SLAM'!D17</f>
        <v/>
      </c>
      <c r="F7" s="9">
        <f>'Solution_4_LiDAR_SLAM'!D18</f>
        <v/>
      </c>
      <c r="G7" s="9">
        <f>'Solution_4_LiDAR_SLAM'!D19</f>
        <v/>
      </c>
      <c r="H7" s="9">
        <f>'Solution_4_LiDAR_SLAM'!D20</f>
        <v/>
      </c>
      <c r="I7" s="9">
        <f>'Solution_4_LiDAR_SLAM'!D21</f>
        <v/>
      </c>
      <c r="J7" s="9">
        <f>'Solution_4_LiDAR_SLAM'!D22</f>
        <v/>
      </c>
      <c r="K7" s="20">
        <f>'Solution_4_LiDAR_SLAM'!S12</f>
        <v/>
      </c>
      <c r="L7" s="11" t="inlineStr">
        <is>
          <t>สร้างแผนที่ 3 มิติ (3D Point Cloud) ของท่อระบายน้ำได้อย่างแม่นยำระดับมิลลิเมตร สามารถตรวจวัดปริมาตรตะกอน (Buildup/Debris) และตรวจจับการเสียรูปเชิงเรขาคณิตของท่อได้อย่างชัดเจน</t>
        </is>
      </c>
      <c r="M7" s="11" t="inlineStr">
        <is>
          <t>เซนเซอร์ 3D LiDAR และบอร์ดประมวลผล GPU/SBC มีราคาสูงมากเกินงบประมาณ (E-03=1: ไม่มีงบสำรองกรณีเซนเซอร์ตกน้ำหรือพังเสียหาย เกิด Fatal Flaw ทันที), เลเซอร์ไม่สามารถทะลุน้ำเสียหรือหมอกควันได้ (T-03=2), และต้องใช้เวลาประมวลผล Point Cloud สูง</t>
        </is>
      </c>
      <c r="N7" s="11" t="inlineStr">
        <is>
          <t>ลดสโคปจากการใช้ 3D LiDAR ราคาแพง มาใช้ 2D LiDAR ติดตั้งบนแกนหมุน หรือใช้ Depth Camera / Structured Light ในท่อแห้งเพื่อควบคุมต้นทุนไม่ให้เกินงบประมาณและปลดล็อก Fatal Flaw</t>
        </is>
      </c>
      <c r="O7" s="12" t="n">
        <v>11.5</v>
      </c>
      <c r="P7" s="7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Solution 2: Pipe Inspection Instrument using Acoustic Reflectometry (Airborne Acoustic Inversion + SL-RAT EPA USA Cleanliness Scale)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 (Legal 2.4)</t>
        </is>
      </c>
      <c r="K5" s="26" t="inlineStr">
        <is>
          <t>ด้านกฎหมาย (Legal 2.4)</t>
        </is>
      </c>
      <c r="L5" s="26" t="inlineStr">
        <is>
          <t>ด้านปฏิบัติการ (Operational 2.5)</t>
        </is>
      </c>
      <c r="M5" s="26" t="inlineStr">
        <is>
          <t>ด้านปฏิบัติการ (Operational 2.5)</t>
        </is>
      </c>
      <c r="N5" s="26" t="inlineStr">
        <is>
          <t>ด้านปฏิบัติการ (Operational 2.5)</t>
        </is>
      </c>
      <c r="O5" s="26" t="inlineStr">
        <is>
          <t>ด้านปฏิบัติการ (Operational 2.5)</t>
        </is>
      </c>
      <c r="P5" s="26" t="inlineStr">
        <is>
          <t>ด้านแผนงาน (Schedule 2.6)</t>
        </is>
      </c>
      <c r="Q5" s="26" t="inlineStr">
        <is>
          <t>ความยั่งยืน (SDGs 2.7)</t>
        </is>
      </c>
      <c r="R5" s="26" t="inlineStr">
        <is>
          <t>ความยั่งยืน (SDGs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ความเข้ากันได้ของทีม (Manpower &amp; Skill Redundancy) ด้านวิศวกรรมเฉพาะทาง?</t>
        </is>
      </c>
      <c r="F6" s="28" t="inlineStr">
        <is>
          <t>ความชันของเส้นทางการเรียนรู้ (Learning Curve) ด้านวิศวกรรมระบบ?</t>
        </is>
      </c>
      <c r="G6" s="28" t="inlineStr">
        <is>
          <t>ระยะเวลาคืนทุนและความคุ้มค่าในการลงทุน (Payback Period / Value Horizon) ของระบบ?</t>
        </is>
      </c>
      <c r="H6" s="28" t="inlineStr">
        <is>
          <t>ระดับการพึ่งพาชิ้นส่วนและผู้จัดจำหน่ายภายนอก (Component Dependency &amp; Vendor Lock-in)?</t>
        </is>
      </c>
      <c r="I6" s="28" t="inlineStr">
        <is>
          <t>สัดส่วนงบประมาณสำรองความเสียหาย (Scrap Margin / Safety Allowance) ของชิ้นส่วน?</t>
        </is>
      </c>
      <c r="J6" s="28" t="inlineStr">
        <is>
          <t>ความสอดคล้องกับกฎหมายความปลอดภัยสาธารณะและการจราจร (Regulatory &amp; Public Safety Compliance)?</t>
        </is>
      </c>
      <c r="K6" s="28" t="inlineStr">
        <is>
          <t>ทรัพย์สินทางปัญญา ลิขสิทธิ์ซอฟต์แวร์ และสิทธิบัตร (IP &amp; Software Licensing)?</t>
        </is>
      </c>
      <c r="L6" s="28" t="inlineStr">
        <is>
          <t>ผลกระทบต่อระบบหากเกิดความล้มเหลวขณะปฏิบัติงาน (Operational Failure Impact)?</t>
        </is>
      </c>
      <c r="M6" s="28" t="inlineStr">
        <is>
          <t>ความสอดคล้องกับพฤติกรรมผู้ใช้และสภาพหน้างานจริง (User Behavior &amp; Problem-Solution Fit)?</t>
        </is>
      </c>
      <c r="N6" s="28" t="inlineStr">
        <is>
          <t>การพึ่งพาห้องปฏิบัติการและขั้นตอนเชิงบริหารของนักพัฒนา (Administrative &amp; Lab Dependency)?</t>
        </is>
      </c>
      <c r="O6" s="28" t="inlineStr">
        <is>
          <t>ความซับซ้อนของขั้นตอนการประมวลผลและการเตรียมระบบ (Step Count &amp; Pipeline Friction)?</t>
        </is>
      </c>
      <c r="P6" s="28" t="inlineStr">
        <is>
          <t>ความพร้อมของระบบและการส่งมอบต้นแบบภายในกรอบเวลา 5 สัปดาห์ทำงาน (Design Maturity &amp; Schedule Compliance)?</t>
        </is>
      </c>
      <c r="Q6" s="28" t="inlineStr">
        <is>
          <t>ผลกระทบต่อสิ่งแวดล้อม สังคม และเศรษฐกิจตามกรอบ SDG Wedding Cake (Biosphere, Society, Economy)?</t>
        </is>
      </c>
      <c r="R6" s="28" t="inlineStr">
        <is>
          <t>รอยเท้าสิ่งแวดล้อม ขยะอิเล็กทรอนิกส์ และระบบเก็บกู้ที่ปลอดภัย (Environmental Footprint &amp; E-Waste Safeguards)?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ประเมินความเสี่ยงกรณีขาดแคลนบุคลากรที่มีความเชี่ยวชาญเฉพาะด้าน (Bus Factor) ว่ามีคนทำงานทดแทนกันได้หรือไม่</t>
        </is>
      </c>
      <c r="F7" s="28" t="inlineStr">
        <is>
          <t>ประเมินเวลาและความยากในการเรียนรู้เทคโนโลยีใหม่ ว่าทีมงานสามารถเข้าใจและนำมาใช้ได้ทันเวลาหรือไม่</t>
        </is>
      </c>
      <c r="G7" s="28" t="inlineStr">
        <is>
          <t>ประเมินผลตอบแทนทางเศรษฐศาสตร์และการลดต้นทุนการขุดลอกท่อระบายน้ำของหน่วยงานรัฐ</t>
        </is>
      </c>
      <c r="H7" s="28" t="inlineStr">
        <is>
          <t>ประเมินความเสี่ยงด้านห่วงโซ่อุปทานและการผูกขาดชิ้นส่วน ป้องกันระบบล่มสลายจากผู้ผลิตรายเดียว</t>
        </is>
      </c>
      <c r="I7" s="28" t="inlineStr">
        <is>
          <t>ตรวจสอบความปลอดภัยทางการเงินกรณีทำอุปกรณ์เสียหายระหว่างการทดลองในน้ำเสีย</t>
        </is>
      </c>
      <c r="J7" s="28" t="inlineStr">
        <is>
          <t>ประเมินความเสี่ยงการละเมิดกฎหมายควบคุมอาคาร ระเบียบงานทาง และข้อบังคับการจราจรขณะปฏิบัติงาน</t>
        </is>
      </c>
      <c r="K7" s="28" t="inlineStr">
        <is>
          <t>ตรวจสอบความปลอดภัยด้านสิทธิบัตรเพื่อป้องกันการถูกฟ้องร้องละเมิดทรัพย์สินทางปัญญา</t>
        </is>
      </c>
      <c r="L7" s="28" t="inlineStr">
        <is>
          <t>ประเมินความรุนแรงของผลกระทบกรณีระบบขัดข้อง ว่าทำให้อุดตันท่อหรือระบบระบายน้ำเสียหายหรือไม่</t>
        </is>
      </c>
      <c r="M7" s="28" t="inlineStr">
        <is>
          <t>ประเมินความสะดวกของเจ้าหน้าที่หน้างาน ว่าระบบใช้งานง่ายและตอบสนองขั้นตอนการทำงานจริงหรือไม่</t>
        </is>
      </c>
      <c r="N7" s="28" t="inlineStr">
        <is>
          <t>ประเมินความคล่องตัวในการพัฒนา ว่าต้องรอการอนุมัติหรือติดขัดการใช้ห้องแล็บเฉพาะทางหรือไม่</t>
        </is>
      </c>
      <c r="O7" s="28" t="inlineStr">
        <is>
          <t>วัดจำนวนขั้นตอนและความยุ่งยากในการเตรียมระบบก่อนเริ่มใช้งานจริง</t>
        </is>
      </c>
      <c r="P7" s="28" t="inlineStr">
        <is>
          <t>ประเมินความเป็นไปได้ในการสร้าง ทดสอบ และส่งมอบต้นแบบวิศวกรรมให้เสร็จทันกำหนด 5 สัปดาห์</t>
        </is>
      </c>
      <c r="Q7" s="28" t="inlineStr">
        <is>
          <t>ประเมินคุณค่าที่แท้จริงต่อเป้าหมายการพัฒนาที่ยั่งยืน 3 ชั้น ป้องกันการสร้างภาพลักษณ์สีเขียว (Greenwashing)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ขาดแคลนทักษะเฉพาะด้านโดยสิ้นเชิง (ไม่มีใครในทีมมีความรู้ในเทคโนโลยีหลักนี้เลย)
2: พึ่งพาผู้เชี่ยวชาญเพียงคนเดียว (Bus Factor = 1) หากคนนี้ไม่อยู่ โครงการจะหยุดชะงักทันที
3: มีผู้รับผิดชอบหลัก 1 คน และมีผู้ช่วยที่พอเข้าใจระบบ แต่ยังแก้ไขปัญหาเชิงลึกแทนไม่ได้
4: มีทักษะทดแทนกันได้ (Primary &amp; Secondary) อย่างน้อย 2 คนสามารถสลับงานกันได้อย่างราบรื่น
5: สมาชิกทุกคนในทีมมีทักษะระดับสูง ทำงานแทนกันได้ทันที และมีเอกสารคู่มือการทำงานครบถ้วน</t>
        </is>
      </c>
      <c r="F8" s="28" t="inlineStr">
        <is>
          <t>1: เทคโนโลยีใหม่ทั้งหมด ต้องใช้เวลาเรียนรู้เกิน 8 สัปดาห์ และต้องการทักษะคณิตศาสตร์ชั้นสูง
2: มีแนวคิดซับซ้อน ต้องศึกษาทฤษฎีใหม่ที่ไม่เคยเรียนมาก่อน ใช้เวลาทำความเข้าใจ 4–6 สัปดาห์
3: ต่อยอดจากพื้นฐานเดิมที่เคยเรียน แต่ต้องเรียนรู้เครื่องมือหรือสถาปัตยกรรมใหม่ ใช้เวลา 2–3 สัปดาห์
4: เป็นเทคโนโลยีที่คุ้นเคย มีตัวอย่างโค้ดและวงจรอ้างอิงชัดเจน ใช้เวลาปรับตัวเพียง 1 สัปดาห์
5: ทำงานบนพื้นฐานทักษะประจำวันของทีม ทำได้ทันทีโดยไม่ต้องศึกษาทฤษฎีหรือเครื่องมือเพิ่มเติม</t>
        </is>
      </c>
      <c r="G8" s="28" t="inlineStr">
        <is>
          <t>1: ระยะเวลาคืนทุนเกิน 7 ปี หรือต้นทุนการดำเนินงานสูงกว่ามูลค่าความเสียหายที่ป้องกันได้
2: ระยะเวลาคืนทุน 5–7 ปี ให้ผลตอบแทนทางอ้อมเป็นหลัก และมีความไม่แน่นอนทางการเงินสูง
3: ระยะเวลาคืนทุน 3–5 ปี มีความคุ้มค่าระดับปานกลาง จำเป็นต้องได้รับการอุดหนุนงบประมาณจากรัฐ
4: ระยะเวลาคืนทุน 1–3 ปี ประหยัดค่าใช้จ่ายการซ่อมบำรุงเชิงแก้ไขได้อย่างชัดเจน คุ้มค่าสูง
5: คืนทุนได้ภายใน 1 ปีแรก ลดต้นทุนการบำรุงรักษาได้ทันที และสร้างมูลค่าเพิ่มทางตรงอย่างมหาศาล</t>
        </is>
      </c>
      <c r="H8" s="28" t="inlineStr">
        <is>
          <t>1: ผูกขาดโดยผู้ผลิตรายเดียว (Sole Source) ชิ้นส่วนสั่งทำพิเศษ ขาดตลาดง่าย นำเข้ายาก
2: มีผู้จัดจำหน่าย 2 ราย แต่ชิ้นส่วนมีราคาสูง ใช้เวลาจัดส่งนานเกิน 4 สัปดาห์ และไม่มีอะไหล่ทดแทน
3: ชิ้นส่วนมาตรฐานแต่มีบางโมดูลต้องสั่งนำเข้า มีระยะเวลารอคอย 2–3 สัปดาห์
4: ใช้ชิ้นส่วนมาตรฐานอุตสาหกรรม (COTS) มีผู้ขายในประเทศหลายราย จัดหาทดแทนได้ใน 3–5 วัน
5: อะไหล่หาง่ายทั่วไปตามร้านค้าอุปกรณ์อิเล็กทรอนิกส์ในประเทศ ซื้อทดแทนได้ทันทีภายใน 24 ชม.</t>
        </is>
      </c>
      <c r="I8" s="28" t="inlineStr">
        <is>
          <t>1: ไม่มีงบสำรองเลย หากชิ้นส่วนพังโครงการจะหยุดชะงักทันที (ราคาชิ้นส่วนเท่ากับงบประมาณทั้งหมด)
2: งบสำรองรองรับการเสียหายได้ไม่เกิน 1 ครั้ง ชิ้นส่วนสำคัญไม่มีอะไหล่สำรอง
3: มีงบสำรอง 20–30% ซื้อชิ้นส่วนราคาปานกลางสำรองได้ แต่ไม่มีอะไหล่สำหรับโมดูลหลักราคาแพง
4: มีงบสำรอง 50% มีชิ้นส่วนหลักและไอซีสำคัญสำรองอย่างน้อย 2–3 ชุด ทดลองได้อย่างมั่นใจ
5: งบประมาณเหลือเฟือ ชิ้นส่วนราคาถูกมาก สามารถซื้อชุดสำรองแบบสมบูรณ์ได้เกิน 3 ชุดขึ้นไป</t>
        </is>
      </c>
      <c r="J8" s="28" t="inlineStr">
        <is>
          <t>1: เสี่ยงต่อการกระทำผิดกฎหมายอาญา ละเมิด พ.ร.บ. ทางหลวงอย่างร้ายแรง และไม่มีทางขออนุญาตได้
2: ต้องขออนุญาตปิดการจราจรช่องทางหลัก เสี่ยงต่ออุบัติเหตุร้ายแรง และมีขั้นตอนอนุมัติยาวนาน
3: ต้องขออนุญาตทำงานในเขตทางสาธารณะ แต่เป็นงานขนาดเล็ก ใช้กรวยจราจรและป้ายเตือนชั่วคราว
4: ปฏิบัติงานบนทางเท้าหรือขอบทางได้โดยไม่กีดขวางการจราจร สอดคล้องตามระเบียบงานสาธารณูปโภค
5: ไม่กระทบต่อการจราจรและพื้นที่สาธารณะเลย ปฏิบัติการเสร็จสิ้นในเวลารวดเร็วโดยไม่ต้องขออนุญาตพิเศษ</t>
        </is>
      </c>
      <c r="K8" s="28" t="inlineStr">
        <is>
          <t>1: ละเมิดสิทธิบัตรที่ยังมีผลคุ้มครองอย่างชัดเจน หรือใช้ซอฟต์แวร์ผิดสัญญาอนุญาตทางการค้า
2: มีความคลุมเครือด้านสิทธิบัตร มีความเสี่ยงที่จะถูกฟ้องร้องจากเจ้าของเทคโนโลยีเดิม
3: ใช้ไลบรารีที่มีสัญญาอนุญาตแบบ Copyleft เข้มงวด (เช่น AGPL) ซึ่งบังคับให้ต้องเปิดเผยซอร์สโค้ดทั้งหมด
4: ซอฟต์แวร์และฮาร์ดแวร์อยู่ภายใต้สัญญาอนุญาตแบบเสรี (Permissive License เช่น MIT, BSD, Apache 2.0)
5: เทคโนโลยีเป็นสาธารณสมบัติ (Public Domain) สิทธิบัตรหมดอายุแล้ว หรือสร้างสรรค์ขึ้นใหม่ทั้งหมด</t>
        </is>
      </c>
      <c r="L8" s="28" t="inlineStr">
        <is>
          <t>1: อุปกรณ์ติดค้างในท่อกลายเป็นสิ่งกีดขวางทางน้ำอย่างถาวร ต้องทุบถนนขุดลอกท่อเพื่อเก็บกู้
2: การขัดข้องทำให้ระบบประเมินค่าผิดพลาดจนส่งผลให้เกิดน้ำท่วมขัง และการเก็บกู้ต้องใช้เครื่องมือหนัก
3: อุปกรณ์หยุดทำงานแต่สามารถดึงสายสลิงเก็บกู้ได้ง่าย โดยไม่ส่งผลกระทบต่อการไหลของน้ำ
4: ระบบขัดข้องเฉพาะบางเซนเซอร์ ยังสามารถประเมินผลเบื้องต้นได้ และเก็บกู้ได้ทันทีโดยสลักนิรภัย
5: ทำงานจากผิวดินแบบ Fail-Safe 100% หากระบบหยุดทำงานก็ไม่มีชิ้นส่วนใดค้างอยู่ในท่อระบายน้ำ</t>
        </is>
      </c>
      <c r="M8" s="28" t="inlineStr">
        <is>
          <t>1: ขัดแย้งกับขั้นตอนการทำงานเดิมโดยสิ้นเชิง เจ้าหน้าที่ปฏิเสธการใช้งานเพราะยุ่งยากและอันตราย
2: ต้องใช้เวลาฝึกอบรมเจ้าหน้าที่นานเกิน 4 สัปดาห์ และต้องปรับเปลี่ยนขั้นตอนการทำงานเกือบทั้งหมด
3: เจ้าหน้าที่ยอมรับได้แต่ต้องมีขั้นตอนพิเศษเพิ่มเติม เช่น การต่อสายไฟและตั้งค่าหน้างานหลายขั้นตอน
4: ใช้งานง่าย สอดคล้องกับขั้นตอนการตรวจท่อปกติ เจ้าหน้าที่เรียนรู้การทำงานได้ภายใน 1 วัน
5: ใช้งานได้ทันทีโดยไม่ต้องเปลี่ยนพฤติกรรมเดิม (Zero-learning curve) ออกแบบตามสรีรศาสตร์หน้างาน</t>
        </is>
      </c>
      <c r="N8" s="28" t="inlineStr">
        <is>
          <t>1: ต้องใช้ห้องปฏิบัติการพิเศษที่มีการควบคุมความปลอดภัยสูง ต้องทำเรื่องขออนุมัติล่วงหน้าหลายสัปดาห์
2: พึ่งพาเครื่องจักรหนักในช็อปวิศวกรรม มีคิวรอใช้งานยาวนาน และเข้าใช้งานได้เฉพาะเวลาทำการ
3: ต้องการพื้นที่ทดสอบจำลองขนาดใหญ่ในแล็บ แต่สามารถจัดสรรเวลาทำงานร่วมกับทีมอื่นได้
4: ใช้อุปกรณ์ในแล็บทั่วไป มีความพร้อมใช้งานสูง และสามารถนำกลับไปทดสอบต่อที่หอพักได้
5: พัฒนาและทดสอบได้ทุกที่อย่างอิสระ ไม่ต้องพึ่งพาห้องแล็บหรือการอนุมัติเชิงบริหารใดๆ ทั้งสิ้น</t>
        </is>
      </c>
      <c r="O8" s="28" t="inlineStr">
        <is>
          <t>1: มีขั้นตอนซับซ้อนเกิน 10 ขั้นตอน ต้องปรับเทียบเซนเซอร์และต่อสายสัญญาณยุ่งยากหน้างาน
2: มีขั้นตอน 7–10 ขั้นตอน ต้องใช้คอมพิวเตอร์ตั้งโต๊ะและอุปกรณ์เสริมหลายชิ้นในการเริ่มระบบ
3: มีขั้นตอน 4–6 ขั้นตอน ต้องเชื่อมต่อสายสัญญาณและเปิดโปรแกรมตามลำดับที่กำหนด
4: มีขั้นตอน 2–3 ขั้นตอน เพียงเปิดสวิตช์และกดปุ่มเริ่มทำงาน ระบบจะปรับเทียบตัวเองโดยอัตโนมัติ
5: ทำงานแบบสัมผัสเดียว (One-Touch Operation) เสียบปลั๊ก/เปิดเครื่องแล้วเริ่มประมวลผลได้ทันที</t>
        </is>
      </c>
      <c r="P8" s="28" t="inlineStr">
        <is>
          <t>1: ไม่สามารถทำเสร็จได้ทันใน 5 สัปดาห์แน่นอน ต้องใช้เวลาพัฒนาอย่างน้อย 10–12 สัปดาห์ขึ้นไป
2: มีความเสี่ยงสูงมากที่จะล่าช้า งานวิจัยและพัฒนาชิ้นส่วนกลไกอาจกินเวลาเกินกว่า 6 สัปดาห์
3: มีความเป็นไปได้แต่ตึงเครียดมาก ต้องทำงานล่วงเวลาและตัดทอนฟังก์ชันย่อยบางส่วนออก
4: มีความเป็นไปได้สูง แผนงานสอดคล้องกับศักยภาพทีม มีเวลาทดสอบระบบรวมอย่างน้อย 1 สัปดาห์
5: มั่นใจว่าเสร็จสมบูรณ์ก่อนกำหนด มีต้นแบบที่ทำงานได้ในสัปดาห์ที่ 3 และมีเวลาปรับแต่งอย่างเต็มที่</t>
        </is>
      </c>
      <c r="Q8" s="28" t="inlineStr">
        <is>
          <t>1: สร้างภาพลักษณ์สีเขียวโดยไม่มีผลกระทบเชิงประจักษ์ (Greenwashing) หรือไม่ตอบโจทย์ SDG ชั้นใดเลย
2: ตอบโจทย์เฉพาะชั้นเศรษฐกิจหรือสังคมอย่างผิวเผิน แต่ไม่มีผลกระทบต่อการอนุรักษ์ชีวมณฑล (Biosphere)
3: มีผลกระทบเชิงบวกที่ชัดเจนใน 1 มิติ (เช่น ป้องกันน้ำท่วมในมิติสังคม หรือลดขยะในมิติชีวมณฑล)
4: บูรณาการอย่างเข้มแข็งข้าม 2 มิติ (เช่น ชีวมณฑลด้านการจัดการน้ำ ร่วมกับสังคมเมืองที่ปลอดภัย)
5: บูรณาการครบทั้ง 3 ชั้นของ SDG Wedding Cake: ชีวมณฑล (น้ำสะอาด) + สังคม (เมืองยั่งยืน) + เศรษฐกิจ (คุ้มค่า)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5</v>
      </c>
      <c r="D9" s="31" t="n">
        <v>3</v>
      </c>
      <c r="E9" s="31" t="n">
        <v>4</v>
      </c>
      <c r="F9" s="31" t="n">
        <v>4</v>
      </c>
      <c r="G9" s="31" t="n">
        <v>4</v>
      </c>
      <c r="H9" s="31" t="n">
        <v>5</v>
      </c>
      <c r="I9" s="31" t="n">
        <v>4</v>
      </c>
      <c r="J9" s="31" t="n">
        <v>3</v>
      </c>
      <c r="K9" s="31" t="n">
        <v>5</v>
      </c>
      <c r="L9" s="31" t="n">
        <v>5</v>
      </c>
      <c r="M9" s="31" t="n">
        <v>3</v>
      </c>
      <c r="N9" s="31" t="n">
        <v>5</v>
      </c>
      <c r="O9" s="31" t="n">
        <v>4</v>
      </c>
      <c r="P9" s="31" t="n">
        <v>4</v>
      </c>
      <c r="Q9" s="31" t="n">
        <v>5</v>
      </c>
      <c r="R9" s="31" t="n">
        <v>5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solution-details/solution-2.md lines 33-36; combines standard COTS compression driver horn, precision condenser mic, MAX98357 I2S audio amp, and ESP32 with 3D printed manhole acoustic baffles.</t>
        </is>
      </c>
      <c r="C12" s="28" t="inlineStr">
        <is>
          <t>solution-details/solution-2.md lines 27-36; open-source audio DSP algorithms, public EPA SL-RAT mathematical standards, standard Python/SciPy signal processing libraries, and full root developer control on ESP32/STM32.</t>
        </is>
      </c>
      <c r="D12" s="28" t="inlineStr">
        <is>
          <t>solution-details/solution-2.md lines 15, 31, 38-42; Airborne acoustic reflectometry is an EPA-verified commercial standard (TRL 7-8). Under the newly confirmed constraint of &lt;=20% water depth, 80%+ pipe airspace is open, ensuring robust acoustic propagation; custom student prototype operates at TRL 5-6 requiring water-level compensation baseline calibration.</t>
        </is>
      </c>
      <c r="E12" s="28" t="inlineStr">
        <is>
          <t>team-skills/due.md, jk.md, kin.md; Due has verified hardware experience building MAX98357 audio amp &amp; ESP32 circuits; JK handles DSP math &amp; Fourier analysis; Kin handles data ingestion &amp; scoring backend.</t>
        </is>
      </c>
      <c r="F12" s="28" t="inlineStr">
        <is>
          <t>team-skills/due.md, jk.md; team has built audio amplifiers and implemented DSP bandpass filtering in previous projects; ramp-up only requires configuring I2S audio sampling and attenuation lookup tables.</t>
        </is>
      </c>
      <c r="G12" s="28" t="inlineStr">
        <is>
          <t>solution-details/solution-2.md lines 6-7, 15, 38; 2-person crew inspects 2–3 km/day in under 3 minutes per segment. Under confirmed &lt;=20% water depth, covers ~80-90% of gravity lateral drainage networks without dewatering pumps, achieving rapid payback in 1-2 years.</t>
        </is>
      </c>
      <c r="H12" s="28" t="inlineStr">
        <is>
          <t>solution-details/solution-2.md lines 33-36; 100% generic electronic and acoustic components (compression driver speaker, condenser mic, ESP32); self-serviceable by any engineer with zero proprietary vendor lock-in.</t>
        </is>
      </c>
      <c r="I12" s="28" t="inlineStr">
        <is>
          <t>team-skills/due.md; total hardware BOM for audio driver, mic capsule, amplifier, and ESP32 is very low (&lt; 3,000 THB total), allowing the team to purchase 3x full sets of backup components comfortably.</t>
        </is>
      </c>
      <c r="J12" s="28" t="inlineStr">
        <is>
          <t>solution-details/solution-2.md lines 27-29; requires opening manhole covers for 3 minutes from sidewalk/road edge; rapid turnaround substantially lowers traffic impact compared to rovers, but requires standard municipal maintenance protocol.</t>
        </is>
      </c>
      <c r="K12" s="28" t="inlineStr">
        <is>
          <t>solution-details/solution-2.md lines 31, 34-36; EPA SL-RAT acoustic inspection methodology and mathematical attenuation formulations are in the public domain and widely published in academic literature; open-source SciPy algorithms.</t>
        </is>
      </c>
      <c r="L12" s="28" t="inlineStr">
        <is>
          <t>solution-details/solution-2.md lines 27-29, 39; system operates strictly from the surface above the wastewater line; if battery dies or audio fails, the operator simply pulls up the pole; zero risk of blocking pipe.</t>
        </is>
      </c>
      <c r="M12" s="28" t="inlineStr">
        <is>
          <t>solution-details/solution-2.md lines 15, 27-31, 41-42; Lightweight handheld poles take &lt; 3 minutes per manhole pair. Since water depth is constrained &lt;=20%, field crews can operate with clear air space without crawler retrieval hassles, requiring only simple manhole opening protocol.</t>
        </is>
      </c>
      <c r="N12" s="28" t="inlineStr">
        <is>
          <t>team-skills/due.md, jk.md; audio circuitry and DSP code development can be tested entirely on dorm/lab bench using PVC pipe sections with zero machine shop gatekeeping.</t>
        </is>
      </c>
      <c r="O12" s="28" t="inlineStr">
        <is>
          <t>solution-details/solution-2.md lines 27-36; straightforward transmitter-receiver setup with standard ESP32 Arduino/PlatformIO toolchain and automated signal analysis script.</t>
        </is>
      </c>
      <c r="P12" s="28" t="inlineStr">
        <is>
          <t>schedule-details/schedule.md lines 8-15; electronic schematics and acoustic software can be finalized in 2 weeks; breadboard PoC achievable before midterm with production testing in Weeks 11-13.</t>
        </is>
      </c>
      <c r="Q12" s="28" t="inlineStr">
        <is>
          <t>solution-details/solution-2.md lines 6-10, 15; completely unites Biosphere (SDG 6.3 preventing sewer blockages and dirty overflow), Society (SDG 11.5 urban flood mitigation), and Economy (SDG 8.2 &amp; 12.2 optimizing municipal maintenance resources).</t>
        </is>
      </c>
      <c r="R12" s="28" t="inlineStr">
        <is>
          <t>solution-details/solution-2.md lines 38-40; 100% fail-safe surface retrieval; zero electronic components or toxic batteries enter wastewater; ultra-low power consumption with rechargeable lithium cells.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modular 3D-printed acoustic impedance horns and commercial I2S microphone/DAC breakout boards to eliminate custom analog PCB revisions.</t>
        </is>
      </c>
      <c r="C13" s="28" t="inlineStr">
        <is>
          <t>Implement standard Python/NumPy FFT processing pipeline without proprietary vendor licenses.</t>
        </is>
      </c>
      <c r="D13" s="28" t="inlineStr">
        <is>
          <t>Establish a baseline acoustic lookup table on dry and 10-20% flooded PVC pipe mockups before field deployment.</t>
        </is>
      </c>
      <c r="E13" s="28" t="inlineStr">
        <is>
          <t>Maintain shared PlatformIO project repo and DSP simulation Jupyter notebook so Due, JK, and Kin can cross-debug.</t>
        </is>
      </c>
      <c r="F13" s="28" t="inlineStr">
        <is>
          <t>Utilize existing SciPy signal processing functions rather than deriving custom C++ Fourier transforms from scratch.</t>
        </is>
      </c>
      <c r="G13" s="28" t="inlineStr">
        <is>
          <t>Focus initial pilot deployment on high-clogging commercial gravity pipes to demonstrate immediate budget savings.</t>
        </is>
      </c>
      <c r="H13" s="28" t="inlineStr">
        <is>
          <t>Select components readily stocked by local electronics distributors (Ban Mo / Shopee TH / INEX).</t>
        </is>
      </c>
      <c r="I13" s="28" t="inlineStr">
        <is>
          <t>Pre-purchase 3 complete sets of ESP32 boards, MAX98357 amplifiers, and microphone capsules upfront.</t>
        </is>
      </c>
      <c r="J13" s="28" t="inlineStr">
        <is>
          <t>Coordinate testing on KMUTT campus drainage manholes to avoid public street traffic jurisdiction.</t>
        </is>
      </c>
      <c r="K13" s="28" t="inlineStr">
        <is>
          <t>Rely exclusively on open academic acoustic reflectometry papers and MIT/Apache-licensed DSP libraries.</t>
        </is>
      </c>
      <c r="L13" s="28" t="inlineStr">
        <is>
          <t>Attach safety wrist straps to acoustic wand poles to prevent accidental drops into the manhole.</t>
        </is>
      </c>
      <c r="M13" s="28" t="inlineStr">
        <is>
          <t>Provide a simple color-coded LED traffic light display (Green/Yellow/Red) on the pole to indicate blockage score without requiring laptop viewing.</t>
        </is>
      </c>
      <c r="N13" s="28" t="inlineStr">
        <is>
          <t>Build a tabletop PVC drainage test pipe in the dorm to conduct all acoustic wave tuning.</t>
        </is>
      </c>
      <c r="O13" s="28" t="inlineStr">
        <is>
          <t>Automate chirp triggering via a single physical pushbutton on the transmitter horn unit.</t>
        </is>
      </c>
      <c r="P13" s="28" t="inlineStr">
        <is>
          <t>Freeze hardware architecture at Week 9 and focus remaining sprint entirely on software calibration.</t>
        </is>
      </c>
      <c r="Q13" s="28" t="inlineStr">
        <is>
          <t>Frame capstone report explicitly using the Stockholm Resilience Centre SDG Wedding Cake model.</t>
        </is>
      </c>
      <c r="R13" s="28" t="inlineStr">
        <is>
          <t>Package surface pole electronics in reusable IP65 ABS plastic instrument enclosures.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8.5</v>
      </c>
      <c r="C28" s="28" t="inlineStr">
        <is>
          <t>Score 3.5/4.0: Active airborne acoustic reflectometry transducer, swept-sine/chirp acoustic wave excitation, and precision condenser microphone array capturing acoustic impulse response.</t>
        </is>
      </c>
      <c r="D28" s="28" t="inlineStr">
        <is>
          <t>Score 3.5/4.0: Digital signal processing (DSP), acoustic energy attenuation deconvolution, spectral bandpass filtering, and automated 0-10 EPA SL-RAT cleanliness score generation.</t>
        </is>
      </c>
      <c r="E28" s="28" t="inlineStr">
        <is>
          <t>Score 1.5/4.0: High-output acoustic compression driver transducer with telescoping manhole deployment rig; non-mobile surface-operated payload.</t>
        </is>
      </c>
      <c r="F28" s="28" t="inlineStr">
        <is>
          <t>Solution 2 exercises FIBO signal processing, acoustical physics, digital filtering, and sensor interface engineering without unnecessary mechanical locomotion risks in underground sewage.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Solution 1: Pipe Inspection Robot using CCTV for profiling pipe (4K PTZ Camera + YOLOv8 Wheeled 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 (Legal 2.4)</t>
        </is>
      </c>
      <c r="K5" s="26" t="inlineStr">
        <is>
          <t>ด้านกฎหมาย (Legal 2.4)</t>
        </is>
      </c>
      <c r="L5" s="26" t="inlineStr">
        <is>
          <t>ด้านปฏิบัติการ (Operational 2.5)</t>
        </is>
      </c>
      <c r="M5" s="26" t="inlineStr">
        <is>
          <t>ด้านปฏิบัติการ (Operational 2.5)</t>
        </is>
      </c>
      <c r="N5" s="26" t="inlineStr">
        <is>
          <t>ด้านปฏิบัติการ (Operational 2.5)</t>
        </is>
      </c>
      <c r="O5" s="26" t="inlineStr">
        <is>
          <t>ด้านปฏิบัติการ (Operational 2.5)</t>
        </is>
      </c>
      <c r="P5" s="26" t="inlineStr">
        <is>
          <t>ด้านแผนงาน (Schedule 2.6)</t>
        </is>
      </c>
      <c r="Q5" s="26" t="inlineStr">
        <is>
          <t>ความยั่งยืน (SDGs 2.7)</t>
        </is>
      </c>
      <c r="R5" s="26" t="inlineStr">
        <is>
          <t>ความยั่งยืน (SDGs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ความเข้ากันได้ของทีม (Manpower &amp; Skill Redundancy) ด้านวิศวกรรมเฉพาะทาง?</t>
        </is>
      </c>
      <c r="F6" s="28" t="inlineStr">
        <is>
          <t>ความชันของเส้นทางการเรียนรู้ (Learning Curve) ด้านวิศวกรรมระบบ?</t>
        </is>
      </c>
      <c r="G6" s="28" t="inlineStr">
        <is>
          <t>ระยะเวลาคืนทุนและความคุ้มค่าในการลงทุน (Payback Period / Value Horizon) ของระบบ?</t>
        </is>
      </c>
      <c r="H6" s="28" t="inlineStr">
        <is>
          <t>ระดับการพึ่งพาชิ้นส่วนและผู้จัดจำหน่ายภายนอก (Component Dependency &amp; Vendor Lock-in)?</t>
        </is>
      </c>
      <c r="I6" s="28" t="inlineStr">
        <is>
          <t>สัดส่วนงบประมาณสำรองความเสียหาย (Scrap Margin / Safety Allowance) ของชิ้นส่วน?</t>
        </is>
      </c>
      <c r="J6" s="28" t="inlineStr">
        <is>
          <t>ความสอดคล้องกับกฎหมายความปลอดภัยสาธารณะและการจราจร (Regulatory &amp; Public Safety Compliance)?</t>
        </is>
      </c>
      <c r="K6" s="28" t="inlineStr">
        <is>
          <t>ทรัพย์สินทางปัญญา ลิขสิทธิ์ซอฟต์แวร์ และสิทธิบัตร (IP &amp; Software Licensing)?</t>
        </is>
      </c>
      <c r="L6" s="28" t="inlineStr">
        <is>
          <t>ผลกระทบต่อระบบหากเกิดความล้มเหลวขณะปฏิบัติงาน (Operational Failure Impact)?</t>
        </is>
      </c>
      <c r="M6" s="28" t="inlineStr">
        <is>
          <t>ความสอดคล้องกับพฤติกรรมผู้ใช้และสภาพหน้างานจริง (User Behavior &amp; Problem-Solution Fit)?</t>
        </is>
      </c>
      <c r="N6" s="28" t="inlineStr">
        <is>
          <t>การพึ่งพาห้องปฏิบัติการและขั้นตอนเชิงบริหารของนักพัฒนา (Administrative &amp; Lab Dependency)?</t>
        </is>
      </c>
      <c r="O6" s="28" t="inlineStr">
        <is>
          <t>ความซับซ้อนของขั้นตอนการประมวลผลและการเตรียมระบบ (Step Count &amp; Pipeline Friction)?</t>
        </is>
      </c>
      <c r="P6" s="28" t="inlineStr">
        <is>
          <t>ความพร้อมของระบบและการส่งมอบต้นแบบภายในกรอบเวลา 5 สัปดาห์ทำงาน (Design Maturity &amp; Schedule Compliance)?</t>
        </is>
      </c>
      <c r="Q6" s="28" t="inlineStr">
        <is>
          <t>ผลกระทบต่อสิ่งแวดล้อม สังคม และเศรษฐกิจตามกรอบ SDG Wedding Cake (Biosphere, Society, Economy)?</t>
        </is>
      </c>
      <c r="R6" s="28" t="inlineStr">
        <is>
          <t>รอยเท้าสิ่งแวดล้อม ขยะอิเล็กทรอนิกส์ และระบบเก็บกู้ที่ปลอดภัย (Environmental Footprint &amp; E-Waste Safeguards)?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ประเมินความเสี่ยงกรณีขาดแคลนบุคลากรที่มีความเชี่ยวชาญเฉพาะด้าน (Bus Factor) ว่ามีคนทำงานทดแทนกันได้หรือไม่</t>
        </is>
      </c>
      <c r="F7" s="28" t="inlineStr">
        <is>
          <t>ประเมินเวลาและความยากในการเรียนรู้เทคโนโลยีใหม่ ว่าทีมงานสามารถเข้าใจและนำมาใช้ได้ทันเวลาหรือไม่</t>
        </is>
      </c>
      <c r="G7" s="28" t="inlineStr">
        <is>
          <t>ประเมินผลตอบแทนทางเศรษฐศาสตร์และการลดต้นทุนการขุดลอกท่อระบายน้ำของหน่วยงานรัฐ</t>
        </is>
      </c>
      <c r="H7" s="28" t="inlineStr">
        <is>
          <t>ประเมินความเสี่ยงด้านห่วงโซ่อุปทานและการผูกขาดชิ้นส่วน ป้องกันระบบล่มสลายจากผู้ผลิตรายเดียว</t>
        </is>
      </c>
      <c r="I7" s="28" t="inlineStr">
        <is>
          <t>ตรวจสอบความปลอดภัยทางการเงินกรณีทำอุปกรณ์เสียหายระหว่างการทดลองในน้ำเสีย</t>
        </is>
      </c>
      <c r="J7" s="28" t="inlineStr">
        <is>
          <t>ประเมินความเสี่ยงการละเมิดกฎหมายควบคุมอาคาร ระเบียบงานทาง และข้อบังคับการจราจรขณะปฏิบัติงาน</t>
        </is>
      </c>
      <c r="K7" s="28" t="inlineStr">
        <is>
          <t>ตรวจสอบความปลอดภัยด้านสิทธิบัตรเพื่อป้องกันการถูกฟ้องร้องละเมิดทรัพย์สินทางปัญญา</t>
        </is>
      </c>
      <c r="L7" s="28" t="inlineStr">
        <is>
          <t>ประเมินความรุนแรงของผลกระทบกรณีระบบขัดข้อง ว่าทำให้อุดตันท่อหรือระบบระบายน้ำเสียหายหรือไม่</t>
        </is>
      </c>
      <c r="M7" s="28" t="inlineStr">
        <is>
          <t>ประเมินความสะดวกของเจ้าหน้าที่หน้างาน ว่าระบบใช้งานง่ายและตอบสนองขั้นตอนการทำงานจริงหรือไม่</t>
        </is>
      </c>
      <c r="N7" s="28" t="inlineStr">
        <is>
          <t>ประเมินความคล่องตัวในการพัฒนา ว่าต้องรอการอนุมัติหรือติดขัดการใช้ห้องแล็บเฉพาะทางหรือไม่</t>
        </is>
      </c>
      <c r="O7" s="28" t="inlineStr">
        <is>
          <t>วัดจำนวนขั้นตอนและความยุ่งยากในการเตรียมระบบก่อนเริ่มใช้งานจริง</t>
        </is>
      </c>
      <c r="P7" s="28" t="inlineStr">
        <is>
          <t>ประเมินความเป็นไปได้ในการสร้าง ทดสอบ และส่งมอบต้นแบบวิศวกรรมให้เสร็จทันกำหนด 5 สัปดาห์</t>
        </is>
      </c>
      <c r="Q7" s="28" t="inlineStr">
        <is>
          <t>ประเมินคุณค่าที่แท้จริงต่อเป้าหมายการพัฒนาที่ยั่งยืน 3 ชั้น ป้องกันการสร้างภาพลักษณ์สีเขียว (Greenwashing)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ขาดแคลนทักษะเฉพาะด้านโดยสิ้นเชิง (ไม่มีใครในทีมมีความรู้ในเทคโนโลยีหลักนี้เลย)
2: พึ่งพาผู้เชี่ยวชาญเพียงคนเดียว (Bus Factor = 1) หากคนนี้ไม่อยู่ โครงการจะหยุดชะงักทันที
3: มีผู้รับผิดชอบหลัก 1 คน และมีผู้ช่วยที่พอเข้าใจระบบ แต่ยังแก้ไขปัญหาเชิงลึกแทนไม่ได้
4: มีทักษะทดแทนกันได้ (Primary &amp; Secondary) อย่างน้อย 2 คนสามารถสลับงานกันได้อย่างราบรื่น
5: สมาชิกทุกคนในทีมมีทักษะระดับสูง ทำงานแทนกันได้ทันที และมีเอกสารคู่มือการทำงานครบถ้วน</t>
        </is>
      </c>
      <c r="F8" s="28" t="inlineStr">
        <is>
          <t>1: เทคโนโลยีใหม่ทั้งหมด ต้องใช้เวลาเรียนรู้เกิน 8 สัปดาห์ และต้องการทักษะคณิตศาสตร์ชั้นสูง
2: มีแนวคิดซับซ้อน ต้องศึกษาทฤษฎีใหม่ที่ไม่เคยเรียนมาก่อน ใช้เวลาทำความเข้าใจ 4–6 สัปดาห์
3: ต่อยอดจากพื้นฐานเดิมที่เคยเรียน แต่ต้องเรียนรู้เครื่องมือหรือสถาปัตยกรรมใหม่ ใช้เวลา 2–3 สัปดาห์
4: เป็นเทคโนโลยีที่คุ้นเคย มีตัวอย่างโค้ดและวงจรอ้างอิงชัดเจน ใช้เวลาปรับตัวเพียง 1 สัปดาห์
5: ทำงานบนพื้นฐานทักษะประจำวันของทีม ทำได้ทันทีโดยไม่ต้องศึกษาทฤษฎีหรือเครื่องมือเพิ่มเติม</t>
        </is>
      </c>
      <c r="G8" s="28" t="inlineStr">
        <is>
          <t>1: ระยะเวลาคืนทุนเกิน 7 ปี หรือต้นทุนการดำเนินงานสูงกว่ามูลค่าความเสียหายที่ป้องกันได้
2: ระยะเวลาคืนทุน 5–7 ปี ให้ผลตอบแทนทางอ้อมเป็นหลัก และมีความไม่แน่นอนทางการเงินสูง
3: ระยะเวลาคืนทุน 3–5 ปี มีความคุ้มค่าระดับปานกลาง จำเป็นต้องได้รับการอุดหนุนงบประมาณจากรัฐ
4: ระยะเวลาคืนทุน 1–3 ปี ประหยัดค่าใช้จ่ายการซ่อมบำรุงเชิงแก้ไขได้อย่างชัดเจน คุ้มค่าสูง
5: คืนทุนได้ภายใน 1 ปีแรก ลดต้นทุนการบำรุงรักษาได้ทันที และสร้างมูลค่าเพิ่มทางตรงอย่างมหาศาล</t>
        </is>
      </c>
      <c r="H8" s="28" t="inlineStr">
        <is>
          <t>1: ผูกขาดโดยผู้ผลิตรายเดียว (Sole Source) ชิ้นส่วนสั่งทำพิเศษ ขาดตลาดง่าย นำเข้ายาก
2: มีผู้จัดจำหน่าย 2 ราย แต่ชิ้นส่วนมีราคาสูง ใช้เวลาจัดส่งนานเกิน 4 สัปดาห์ และไม่มีอะไหล่ทดแทน
3: ชิ้นส่วนมาตรฐานแต่มีบางโมดูลต้องสั่งนำเข้า มีระยะเวลารอคอย 2–3 สัปดาห์
4: ใช้ชิ้นส่วนมาตรฐานอุตสาหกรรม (COTS) มีผู้ขายในประเทศหลายราย จัดหาทดแทนได้ใน 3–5 วัน
5: อะไหล่หาง่ายทั่วไปตามร้านค้าอุปกรณ์อิเล็กทรอนิกส์ในประเทศ ซื้อทดแทนได้ทันทีภายใน 24 ชม.</t>
        </is>
      </c>
      <c r="I8" s="28" t="inlineStr">
        <is>
          <t>1: ไม่มีงบสำรองเลย หากชิ้นส่วนพังโครงการจะหยุดชะงักทันที (ราคาชิ้นส่วนเท่ากับงบประมาณทั้งหมด)
2: งบสำรองรองรับการเสียหายได้ไม่เกิน 1 ครั้ง ชิ้นส่วนสำคัญไม่มีอะไหล่สำรอง
3: มีงบสำรอง 20–30% ซื้อชิ้นส่วนราคาปานกลางสำรองได้ แต่ไม่มีอะไหล่สำหรับโมดูลหลักราคาแพง
4: มีงบสำรอง 50% มีชิ้นส่วนหลักและไอซีสำคัญสำรองอย่างน้อย 2–3 ชุด ทดลองได้อย่างมั่นใจ
5: งบประมาณเหลือเฟือ ชิ้นส่วนราคาถูกมาก สามารถซื้อชุดสำรองแบบสมบูรณ์ได้เกิน 3 ชุดขึ้นไป</t>
        </is>
      </c>
      <c r="J8" s="28" t="inlineStr">
        <is>
          <t>1: เสี่ยงต่อการกระทำผิดกฎหมายอาญา ละเมิด พ.ร.บ. ทางหลวงอย่างร้ายแรง และไม่มีทางขออนุญาตได้
2: ต้องขออนุญาตปิดการจราจรช่องทางหลัก เสี่ยงต่ออุบัติเหตุร้ายแรง และมีขั้นตอนอนุมัติยาวนาน
3: ต้องขออนุญาตทำงานในเขตทางสาธารณะ แต่เป็นงานขนาดเล็ก ใช้กรวยจราจรและป้ายเตือนชั่วคราว
4: ปฏิบัติงานบนทางเท้าหรือขอบทางได้โดยไม่กีดขวางการจราจร สอดคล้องตามระเบียบงานสาธารณูปโภค
5: ไม่กระทบต่อการจราจรและพื้นที่สาธารณะเลย ปฏิบัติการเสร็จสิ้นในเวลารวดเร็วโดยไม่ต้องขออนุญาตพิเศษ</t>
        </is>
      </c>
      <c r="K8" s="28" t="inlineStr">
        <is>
          <t>1: ละเมิดสิทธิบัตรที่ยังมีผลคุ้มครองอย่างชัดเจน หรือใช้ซอฟต์แวร์ผิดสัญญาอนุญาตทางการค้า
2: มีความคลุมเครือด้านสิทธิบัตร มีความเสี่ยงที่จะถูกฟ้องร้องจากเจ้าของเทคโนโลยีเดิม
3: ใช้ไลบรารีที่มีสัญญาอนุญาตแบบ Copyleft เข้มงวด (เช่น AGPL) ซึ่งบังคับให้ต้องเปิดเผยซอร์สโค้ดทั้งหมด
4: ซอฟต์แวร์และฮาร์ดแวร์อยู่ภายใต้สัญญาอนุญาตแบบเสรี (Permissive License เช่น MIT, BSD, Apache 2.0)
5: เทคโนโลยีเป็นสาธารณสมบัติ (Public Domain) สิทธิบัตรหมดอายุแล้ว หรือสร้างสรรค์ขึ้นใหม่ทั้งหมด</t>
        </is>
      </c>
      <c r="L8" s="28" t="inlineStr">
        <is>
          <t>1: อุปกรณ์ติดค้างในท่อกลายเป็นสิ่งกีดขวางทางน้ำอย่างถาวร ต้องทุบถนนขุดลอกท่อเพื่อเก็บกู้
2: การขัดข้องทำให้ระบบประเมินค่าผิดพลาดจนส่งผลให้เกิดน้ำท่วมขัง และการเก็บกู้ต้องใช้เครื่องมือหนัก
3: อุปกรณ์หยุดทำงานแต่สามารถดึงสายสลิงเก็บกู้ได้ง่าย โดยไม่ส่งผลกระทบต่อการไหลของน้ำ
4: ระบบขัดข้องเฉพาะบางเซนเซอร์ ยังสามารถประเมินผลเบื้องต้นได้ และเก็บกู้ได้ทันทีโดยสลักนิรภัย
5: ทำงานจากผิวดินแบบ Fail-Safe 100% หากระบบหยุดทำงานก็ไม่มีชิ้นส่วนใดค้างอยู่ในท่อระบายน้ำ</t>
        </is>
      </c>
      <c r="M8" s="28" t="inlineStr">
        <is>
          <t>1: ขัดแย้งกับขั้นตอนการทำงานเดิมโดยสิ้นเชิง เจ้าหน้าที่ปฏิเสธการใช้งานเพราะยุ่งยากและอันตราย
2: ต้องใช้เวลาฝึกอบรมเจ้าหน้าที่นานเกิน 4 สัปดาห์ และต้องปรับเปลี่ยนขั้นตอนการทำงานเกือบทั้งหมด
3: เจ้าหน้าที่ยอมรับได้แต่ต้องมีขั้นตอนพิเศษเพิ่มเติม เช่น การต่อสายไฟและตั้งค่าหน้างานหลายขั้นตอน
4: ใช้งานง่าย สอดคล้องกับขั้นตอนการตรวจท่อปกติ เจ้าหน้าที่เรียนรู้การทำงานได้ภายใน 1 วัน
5: ใช้งานได้ทันทีโดยไม่ต้องเปลี่ยนพฤติกรรมเดิม (Zero-learning curve) ออกแบบตามสรีรศาสตร์หน้างาน</t>
        </is>
      </c>
      <c r="N8" s="28" t="inlineStr">
        <is>
          <t>1: ต้องใช้ห้องปฏิบัติการพิเศษที่มีการควบคุมความปลอดภัยสูง ต้องทำเรื่องขออนุมัติล่วงหน้าหลายสัปดาห์
2: พึ่งพาเครื่องจักรหนักในช็อปวิศวกรรม มีคิวรอใช้งานยาวนาน และเข้าใช้งานได้เฉพาะเวลาทำการ
3: ต้องการพื้นที่ทดสอบจำลองขนาดใหญ่ในแล็บ แต่สามารถจัดสรรเวลาทำงานร่วมกับทีมอื่นได้
4: ใช้อุปกรณ์ในแล็บทั่วไป มีความพร้อมใช้งานสูง และสามารถนำกลับไปทดสอบต่อที่หอพักได้
5: พัฒนาและทดสอบได้ทุกที่อย่างอิสระ ไม่ต้องพึ่งพาห้องแล็บหรือการอนุมัติเชิงบริหารใดๆ ทั้งสิ้น</t>
        </is>
      </c>
      <c r="O8" s="28" t="inlineStr">
        <is>
          <t>1: มีขั้นตอนซับซ้อนเกิน 10 ขั้นตอน ต้องปรับเทียบเซนเซอร์และต่อสายสัญญาณยุ่งยากหน้างาน
2: มีขั้นตอน 7–10 ขั้นตอน ต้องใช้คอมพิวเตอร์ตั้งโต๊ะและอุปกรณ์เสริมหลายชิ้นในการเริ่มระบบ
3: มีขั้นตอน 4–6 ขั้นตอน ต้องเชื่อมต่อสายสัญญาณและเปิดโปรแกรมตามลำดับที่กำหนด
4: มีขั้นตอน 2–3 ขั้นตอน เพียงเปิดสวิตช์และกดปุ่มเริ่มทำงาน ระบบจะปรับเทียบตัวเองโดยอัตโนมัติ
5: ทำงานแบบสัมผัสเดียว (One-Touch Operation) เสียบปลั๊ก/เปิดเครื่องแล้วเริ่มประมวลผลได้ทันที</t>
        </is>
      </c>
      <c r="P8" s="28" t="inlineStr">
        <is>
          <t>1: ไม่สามารถทำเสร็จได้ทันใน 5 สัปดาห์แน่นอน ต้องใช้เวลาพัฒนาอย่างน้อย 10–12 สัปดาห์ขึ้นไป
2: มีความเสี่ยงสูงมากที่จะล่าช้า งานวิจัยและพัฒนาชิ้นส่วนกลไกอาจกินเวลาเกินกว่า 6 สัปดาห์
3: มีความเป็นไปได้แต่ตึงเครียดมาก ต้องทำงานล่วงเวลาและตัดทอนฟังก์ชันย่อยบางส่วนออก
4: มีความเป็นไปได้สูง แผนงานสอดคล้องกับศักยภาพทีม มีเวลาทดสอบระบบรวมอย่างน้อย 1 สัปดาห์
5: มั่นใจว่าเสร็จสมบูรณ์ก่อนกำหนด มีต้นแบบที่ทำงานได้ในสัปดาห์ที่ 3 และมีเวลาปรับแต่งอย่างเต็มที่</t>
        </is>
      </c>
      <c r="Q8" s="28" t="inlineStr">
        <is>
          <t>1: สร้างภาพลักษณ์สีเขียวโดยไม่มีผลกระทบเชิงประจักษ์ (Greenwashing) หรือไม่ตอบโจทย์ SDG ชั้นใดเลย
2: ตอบโจทย์เฉพาะชั้นเศรษฐกิจหรือสังคมอย่างผิวเผิน แต่ไม่มีผลกระทบต่อการอนุรักษ์ชีวมณฑล (Biosphere)
3: มีผลกระทบเชิงบวกที่ชัดเจนใน 1 มิติ (เช่น ป้องกันน้ำท่วมในมิติสังคม หรือลดขยะในมิติชีวมณฑล)
4: บูรณาการอย่างเข้มแข็งข้าม 2 มิติ (เช่น ชีวมณฑลด้านการจัดการน้ำ ร่วมกับสังคมเมืองที่ปลอดภัย)
5: บูรณาการครบทั้ง 3 ชั้นของ SDG Wedding Cake: ชีวมณฑล (น้ำสะอาด) + สังคม (เมืองยั่งยืน) + เศรษฐกิจ (คุ้มค่า)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2</v>
      </c>
      <c r="C9" s="31" t="n">
        <v>5</v>
      </c>
      <c r="D9" s="31" t="n">
        <v>3</v>
      </c>
      <c r="E9" s="31" t="n">
        <v>3</v>
      </c>
      <c r="F9" s="31" t="n">
        <v>3</v>
      </c>
      <c r="G9" s="31" t="n">
        <v>3</v>
      </c>
      <c r="H9" s="31" t="n">
        <v>4</v>
      </c>
      <c r="I9" s="31" t="n">
        <v>2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solution-details/solution-1.md lines 32-38; requires custom waterproof IP68 motor pods, sealed differential drivetrain, custom chassis fabrication for wastewater resistance, and tether reel slip-ring integration.</t>
        </is>
      </c>
      <c r="C12" s="28" t="inlineStr">
        <is>
          <t>solution-details/solution-1.md lines 33-36; utilizes open-source YOLOv8 architecture, standard RTSP video streaming, open Python/OpenCV stacks, and ESP32/STM32 motor control with full root/developer access.</t>
        </is>
      </c>
      <c r="D12" s="28" t="inlineStr">
        <is>
          <t>solution-details/solution-1.md lines 15, 40-49; CCTV pipe crawling is established commercially (TRL 8-9). With water depth confirmed &lt;=20%, the PTZ camera sits in clear air space, avoiding murkiness, but student crawler wheels must negotiate sludge and grease, operating at TRL 5-6.</t>
        </is>
      </c>
      <c r="E12" s="28" t="inlineStr">
        <is>
          <t>team-skills/due.md, fifa.md, jk.md, kin.md; Fifa and Due form a primary/secondary mechanical engineering pair; JK and Kin handle computer vision and AI model training.</t>
        </is>
      </c>
      <c r="F12" s="28" t="inlineStr">
        <is>
          <t>team-skills/fifa.md, jk.md; team has proven experience in ROS2, OpenCV, and 3D CAD, but waterproofing rotary shafts, tether slip rings, and lighting calibration in reflective wet pipes require a 2-3 week ramp-up.</t>
        </is>
      </c>
      <c r="G12" s="28" t="inlineStr">
        <is>
          <t>solution-details/solution-1.md lines 6-7, 15, 43; condition-based visual inspection prevents unnecessary cleanings and provides actionable visual proof; moderate payback period of 3–4 years due to mechanical crawler deployment overhead.</t>
        </is>
      </c>
      <c r="H12" s="28" t="inlineStr">
        <is>
          <t>solution-details/solution-1.md lines 32-38; uses standard COTS DC gearmotors, standard USB/RTSP cameras, and open microcontrollers available from multiple domestic vendors.</t>
        </is>
      </c>
      <c r="I12" s="28" t="inlineStr">
        <is>
          <t>team-skills/due.md, fifa.md; waterproof crawler chassis, 4K PTZ camera, and high-spec tether cable consume over 60-70% of available team budget, leaving minimal spare funds if the primary camera or drive unit is flooded.</t>
        </is>
      </c>
      <c r="J12" s="28" t="inlineStr">
        <is>
          <t>solution-details/solution-1.md lines 18, 27; deploying wheeled crawler requires opening street manholes, stationing cable reels and operators on roadway shoulder for 30–60 minutes per section, requiring formal municipal work permits.</t>
        </is>
      </c>
      <c r="K12" s="28" t="inlineStr">
        <is>
          <t>solution-details/solution-1.md lines 35-36; YOLOv8 educational license, OpenCV (Apache 2.0), and open ROS2 packages provide full legal and intellectual property clearance.</t>
        </is>
      </c>
      <c r="L12" s="28" t="inlineStr">
        <is>
          <t>solution-details/solution-1.md lines 15, 46-49; operating in &lt;=20% water depth avoids total submergence, but if crawler flips over or gets entangled in debris/grease, manual recovery via tether reel is required (O-01=3).</t>
        </is>
      </c>
      <c r="M12" s="28" t="inlineStr">
        <is>
          <t>solution-details/solution-1.md lines 6-7, 27-30; operators must carry crawler and heavy cable spool, wash down the muddy vehicle after each run, and coordinate crawler speed via manual joystick control.</t>
        </is>
      </c>
      <c r="N12" s="28" t="inlineStr">
        <is>
          <t>team-skills/due.md, fifa.md; mechanical chassis fabrication requires FIBO workshop 3D printers, laser cutters, and a water immersion pressure tank to verify IP68 sealing.</t>
        </is>
      </c>
      <c r="O12" s="28" t="inlineStr">
        <is>
          <t>solution-details/solution-1.md lines 27-38; multi-stage pipeline involves sealed mechanical deployment, tether spool uncoiling, video transmission handshake, and post-processing AI inference pipeline.</t>
        </is>
      </c>
      <c r="P12" s="28" t="inlineStr">
        <is>
          <t>schedule-details/schedule.md lines 8-15; designing, machining, waterproofing, and debugging a functional motorized pipe crawler while maintaining midterm/final exam study schedules creates severe delivery risks within 5 business weeks.</t>
        </is>
      </c>
      <c r="Q12" s="28" t="inlineStr">
        <is>
          <t>solution-details/solution-1.md lines 6-10; strongly addresses Biosphere (SDG 6.3 preventing untreated sewer overflow) and Society (SDG 11.5 resilient urban drainage), but provides moderate economic efficiency due to mobilization costs.</t>
        </is>
      </c>
      <c r="R12" s="28" t="inlineStr">
        <is>
          <t>solution-details/solution-1.md lines 47; physical tether prevents total hardware loss, but sewage moisture, grease, and H2S gas cause rapid wear and electronic corrosion over repeated deployments.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Purchase a pre-sealed commercial off-the-shelf (COTS) IP68 RC crawler chassis and mount camera modules externally to avoid custom rotary shaft seal fabrication.</t>
        </is>
      </c>
      <c r="C13" s="28" t="inlineStr">
        <is>
          <t>Maintain fully open-source pipeline using Ultralytics YOLOv8 and standard ROS2 camera drivers.</t>
        </is>
      </c>
      <c r="D13" s="28" t="inlineStr">
        <is>
          <t>Bench-test optical detection under simulated low-light wet pipe conditions using pre-recorded sewer footage before building crawler chassis.</t>
        </is>
      </c>
      <c r="E13" s="28" t="inlineStr">
        <is>
          <t>Document motor wiring pinouts and ROS2 camera topics clearly in repo README to avoid single-developer dependency.</t>
        </is>
      </c>
      <c r="F13" s="28" t="inlineStr">
        <is>
          <t>Use pre-trained YOLOv8 defect models and off-the-shelf IP68 waterproof cable glands.</t>
        </is>
      </c>
      <c r="G13" s="28" t="inlineStr">
        <is>
          <t>Package visual reporting into an automated PDF generation tool for municipal engineers to prove immediate inspection ROI.</t>
        </is>
      </c>
      <c r="H13" s="28" t="inlineStr">
        <is>
          <t>Select widely distributed geared motors (e.g. planetary 12V DC) available from Thai hobby and robotics suppliers.</t>
        </is>
      </c>
      <c r="I13" s="28" t="inlineStr">
        <is>
          <t>Substitute expensive industrial PTZ camera with a modular waterproof action camera (or sealed webcam with dual servos) to keep unit cost under 1,500 THB.</t>
        </is>
      </c>
      <c r="J13" s="28" t="inlineStr">
        <is>
          <t>Restrict field trials to pedestrian sidewalk manholes or off-road residential drainage channels.</t>
        </is>
      </c>
      <c r="K13" s="28" t="inlineStr">
        <is>
          <t>Use AGPL-compliant open-source release or standard permissive MIT wrappers.</t>
        </is>
      </c>
      <c r="L13" s="28" t="inlineStr">
        <is>
          <t>Incorporate a high-tensile steel recovery cable tether rated for 150 kg pull force.</t>
        </is>
      </c>
      <c r="M13" s="28" t="inlineStr">
        <is>
          <t>Design an ergonomic quick-release battery pod and motorized tether winder.</t>
        </is>
      </c>
      <c r="N13" s="28" t="inlineStr">
        <is>
          <t>Use commercial waterproof pelican-style cases to avoid custom CNC machining queues.</t>
        </is>
      </c>
      <c r="O13" s="28" t="inlineStr">
        <is>
          <t>Automate video recording and YOLOv8 inferencing with an onboard one-button trigger script.</t>
        </is>
      </c>
      <c r="P13" s="28" t="inlineStr">
        <is>
          <t>Adapt a pre-built tracked RC vehicle rather than fabricating custom gearboxes and aluminum wheel hubs.</t>
        </is>
      </c>
      <c r="Q13" s="28" t="inlineStr">
        <is>
          <t>Quantify municipal carbon footprint reduction achieved by eliminating redundant vacuum truck trips.</t>
        </is>
      </c>
      <c r="R13" s="28" t="inlineStr">
        <is>
          <t>Conformal coat all internal electronics with silicone/polyurethane moisture barrier to extend hardware lifespan.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3.5/4.0: 4K PTZ Optical Camera with High-Power LED array and wheel distance encoders; captures visual defect features under active illumination.</t>
        </is>
      </c>
      <c r="D28" s="28" t="inlineStr">
        <is>
          <t>Score 3.5/4.0: Edge AI YOLOv8 deep learning object detection for real-time crack/blockage classification and spatial defect map indexing.</t>
        </is>
      </c>
      <c r="E28" s="28" t="inlineStr">
        <is>
          <t>Score 3.5/4.0: Multi-wheel motorized crawler platform traversing hazardous underground pipe geometry with differential steering and tether management.</t>
        </is>
      </c>
      <c r="F28" s="28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Solution 4: Pipe Inspection Instrument using LiDAR SLAM attaching with Robot (3D LiDAR + Laser SLAM Point Cloud Profiling)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 (Legal 2.4)</t>
        </is>
      </c>
      <c r="K5" s="26" t="inlineStr">
        <is>
          <t>ด้านกฎหมาย (Legal 2.4)</t>
        </is>
      </c>
      <c r="L5" s="26" t="inlineStr">
        <is>
          <t>ด้านปฏิบัติการ (Operational 2.5)</t>
        </is>
      </c>
      <c r="M5" s="26" t="inlineStr">
        <is>
          <t>ด้านปฏิบัติการ (Operational 2.5)</t>
        </is>
      </c>
      <c r="N5" s="26" t="inlineStr">
        <is>
          <t>ด้านปฏิบัติการ (Operational 2.5)</t>
        </is>
      </c>
      <c r="O5" s="26" t="inlineStr">
        <is>
          <t>ด้านปฏิบัติการ (Operational 2.5)</t>
        </is>
      </c>
      <c r="P5" s="26" t="inlineStr">
        <is>
          <t>ด้านแผนงาน (Schedule 2.6)</t>
        </is>
      </c>
      <c r="Q5" s="26" t="inlineStr">
        <is>
          <t>ความยั่งยืน (SDGs 2.7)</t>
        </is>
      </c>
      <c r="R5" s="26" t="inlineStr">
        <is>
          <t>ความยั่งยืน (SDGs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ความเข้ากันได้ของทีม (Manpower &amp; Skill Redundancy) ด้านวิศวกรรมเฉพาะทาง?</t>
        </is>
      </c>
      <c r="F6" s="28" t="inlineStr">
        <is>
          <t>ความชันของเส้นทางการเรียนรู้ (Learning Curve) ด้านวิศวกรรมระบบ?</t>
        </is>
      </c>
      <c r="G6" s="28" t="inlineStr">
        <is>
          <t>ระยะเวลาคืนทุนและความคุ้มค่าในการลงทุน (Payback Period / Value Horizon) ของระบบ?</t>
        </is>
      </c>
      <c r="H6" s="28" t="inlineStr">
        <is>
          <t>ระดับการพึ่งพาชิ้นส่วนและผู้จัดจำหน่ายภายนอก (Component Dependency &amp; Vendor Lock-in)?</t>
        </is>
      </c>
      <c r="I6" s="28" t="inlineStr">
        <is>
          <t>สัดส่วนงบประมาณสำรองความเสียหาย (Scrap Margin / Safety Allowance) ของชิ้นส่วน?</t>
        </is>
      </c>
      <c r="J6" s="28" t="inlineStr">
        <is>
          <t>ความสอดคล้องกับกฎหมายความปลอดภัยสาธารณะและการจราจร (Regulatory &amp; Public Safety Compliance)?</t>
        </is>
      </c>
      <c r="K6" s="28" t="inlineStr">
        <is>
          <t>ทรัพย์สินทางปัญญา ลิขสิทธิ์ซอฟต์แวร์ และสิทธิบัตร (IP &amp; Software Licensing)?</t>
        </is>
      </c>
      <c r="L6" s="28" t="inlineStr">
        <is>
          <t>ผลกระทบต่อระบบหากเกิดความล้มเหลวขณะปฏิบัติงาน (Operational Failure Impact)?</t>
        </is>
      </c>
      <c r="M6" s="28" t="inlineStr">
        <is>
          <t>ความสอดคล้องกับพฤติกรรมผู้ใช้และสภาพหน้างานจริง (User Behavior &amp; Problem-Solution Fit)?</t>
        </is>
      </c>
      <c r="N6" s="28" t="inlineStr">
        <is>
          <t>การพึ่งพาห้องปฏิบัติการและขั้นตอนเชิงบริหารของนักพัฒนา (Administrative &amp; Lab Dependency)?</t>
        </is>
      </c>
      <c r="O6" s="28" t="inlineStr">
        <is>
          <t>ความซับซ้อนของขั้นตอนการประมวลผลและการเตรียมระบบ (Step Count &amp; Pipeline Friction)?</t>
        </is>
      </c>
      <c r="P6" s="28" t="inlineStr">
        <is>
          <t>ความพร้อมของระบบและการส่งมอบต้นแบบภายในกรอบเวลา 5 สัปดาห์ทำงาน (Design Maturity &amp; Schedule Compliance)?</t>
        </is>
      </c>
      <c r="Q6" s="28" t="inlineStr">
        <is>
          <t>ผลกระทบต่อสิ่งแวดล้อม สังคม และเศรษฐกิจตามกรอบ SDG Wedding Cake (Biosphere, Society, Economy)?</t>
        </is>
      </c>
      <c r="R6" s="28" t="inlineStr">
        <is>
          <t>รอยเท้าสิ่งแวดล้อม ขยะอิเล็กทรอนิกส์ และระบบเก็บกู้ที่ปลอดภัย (Environmental Footprint &amp; E-Waste Safeguards)?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ประเมินความเสี่ยงกรณีขาดแคลนบุคลากรที่มีความเชี่ยวชาญเฉพาะด้าน (Bus Factor) ว่ามีคนทำงานทดแทนกันได้หรือไม่</t>
        </is>
      </c>
      <c r="F7" s="28" t="inlineStr">
        <is>
          <t>ประเมินเวลาและความยากในการเรียนรู้เทคโนโลยีใหม่ ว่าทีมงานสามารถเข้าใจและนำมาใช้ได้ทันเวลาหรือไม่</t>
        </is>
      </c>
      <c r="G7" s="28" t="inlineStr">
        <is>
          <t>ประเมินผลตอบแทนทางเศรษฐศาสตร์และการลดต้นทุนการขุดลอกท่อระบายน้ำของหน่วยงานรัฐ</t>
        </is>
      </c>
      <c r="H7" s="28" t="inlineStr">
        <is>
          <t>ประเมินความเสี่ยงด้านห่วงโซ่อุปทานและการผูกขาดชิ้นส่วน ป้องกันระบบล่มสลายจากผู้ผลิตรายเดียว</t>
        </is>
      </c>
      <c r="I7" s="28" t="inlineStr">
        <is>
          <t>ตรวจสอบความปลอดภัยทางการเงินกรณีทำอุปกรณ์เสียหายระหว่างการทดลองในน้ำเสีย</t>
        </is>
      </c>
      <c r="J7" s="28" t="inlineStr">
        <is>
          <t>ประเมินความเสี่ยงการละเมิดกฎหมายควบคุมอาคาร ระเบียบงานทาง และข้อบังคับการจราจรขณะปฏิบัติงาน</t>
        </is>
      </c>
      <c r="K7" s="28" t="inlineStr">
        <is>
          <t>ตรวจสอบความปลอดภัยด้านสิทธิบัตรเพื่อป้องกันการถูกฟ้องร้องละเมิดทรัพย์สินทางปัญญา</t>
        </is>
      </c>
      <c r="L7" s="28" t="inlineStr">
        <is>
          <t>ประเมินความรุนแรงของผลกระทบกรณีระบบขัดข้อง ว่าทำให้อุดตันท่อหรือระบบระบายน้ำเสียหายหรือไม่</t>
        </is>
      </c>
      <c r="M7" s="28" t="inlineStr">
        <is>
          <t>ประเมินความสะดวกของเจ้าหน้าที่หน้างาน ว่าระบบใช้งานง่ายและตอบสนองขั้นตอนการทำงานจริงหรือไม่</t>
        </is>
      </c>
      <c r="N7" s="28" t="inlineStr">
        <is>
          <t>ประเมินความคล่องตัวในการพัฒนา ว่าต้องรอการอนุมัติหรือติดขัดการใช้ห้องแล็บเฉพาะทางหรือไม่</t>
        </is>
      </c>
      <c r="O7" s="28" t="inlineStr">
        <is>
          <t>วัดจำนวนขั้นตอนและความยุ่งยากในการเตรียมระบบก่อนเริ่มใช้งานจริง</t>
        </is>
      </c>
      <c r="P7" s="28" t="inlineStr">
        <is>
          <t>ประเมินความเป็นไปได้ในการสร้าง ทดสอบ และส่งมอบต้นแบบวิศวกรรมให้เสร็จทันกำหนด 5 สัปดาห์</t>
        </is>
      </c>
      <c r="Q7" s="28" t="inlineStr">
        <is>
          <t>ประเมินคุณค่าที่แท้จริงต่อเป้าหมายการพัฒนาที่ยั่งยืน 3 ชั้น ป้องกันการสร้างภาพลักษณ์สีเขียว (Greenwashing)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ขาดแคลนทักษะเฉพาะด้านโดยสิ้นเชิง (ไม่มีใครในทีมมีความรู้ในเทคโนโลยีหลักนี้เลย)
2: พึ่งพาผู้เชี่ยวชาญเพียงคนเดียว (Bus Factor = 1) หากคนนี้ไม่อยู่ โครงการจะหยุดชะงักทันที
3: มีผู้รับผิดชอบหลัก 1 คน และมีผู้ช่วยที่พอเข้าใจระบบ แต่ยังแก้ไขปัญหาเชิงลึกแทนไม่ได้
4: มีทักษะทดแทนกันได้ (Primary &amp; Secondary) อย่างน้อย 2 คนสามารถสลับงานกันได้อย่างราบรื่น
5: สมาชิกทุกคนในทีมมีทักษะระดับสูง ทำงานแทนกันได้ทันที และมีเอกสารคู่มือการทำงานครบถ้วน</t>
        </is>
      </c>
      <c r="F8" s="28" t="inlineStr">
        <is>
          <t>1: เทคโนโลยีใหม่ทั้งหมด ต้องใช้เวลาเรียนรู้เกิน 8 สัปดาห์ และต้องการทักษะคณิตศาสตร์ชั้นสูง
2: มีแนวคิดซับซ้อน ต้องศึกษาทฤษฎีใหม่ที่ไม่เคยเรียนมาก่อน ใช้เวลาทำความเข้าใจ 4–6 สัปดาห์
3: ต่อยอดจากพื้นฐานเดิมที่เคยเรียน แต่ต้องเรียนรู้เครื่องมือหรือสถาปัตยกรรมใหม่ ใช้เวลา 2–3 สัปดาห์
4: เป็นเทคโนโลยีที่คุ้นเคย มีตัวอย่างโค้ดและวงจรอ้างอิงชัดเจน ใช้เวลาปรับตัวเพียง 1 สัปดาห์
5: ทำงานบนพื้นฐานทักษะประจำวันของทีม ทำได้ทันทีโดยไม่ต้องศึกษาทฤษฎีหรือเครื่องมือเพิ่มเติม</t>
        </is>
      </c>
      <c r="G8" s="28" t="inlineStr">
        <is>
          <t>1: ระยะเวลาคืนทุนเกิน 7 ปี หรือต้นทุนการดำเนินงานสูงกว่ามูลค่าความเสียหายที่ป้องกันได้
2: ระยะเวลาคืนทุน 5–7 ปี ให้ผลตอบแทนทางอ้อมเป็นหลัก และมีความไม่แน่นอนทางการเงินสูง
3: ระยะเวลาคืนทุน 3–5 ปี มีความคุ้มค่าระดับปานกลาง จำเป็นต้องได้รับการอุดหนุนงบประมาณจากรัฐ
4: ระยะเวลาคืนทุน 1–3 ปี ประหยัดค่าใช้จ่ายการซ่อมบำรุงเชิงแก้ไขได้อย่างชัดเจน คุ้มค่าสูง
5: คืนทุนได้ภายใน 1 ปีแรก ลดต้นทุนการบำรุงรักษาได้ทันที และสร้างมูลค่าเพิ่มทางตรงอย่างมหาศาล</t>
        </is>
      </c>
      <c r="H8" s="28" t="inlineStr">
        <is>
          <t>1: ผูกขาดโดยผู้ผลิตรายเดียว (Sole Source) ชิ้นส่วนสั่งทำพิเศษ ขาดตลาดง่าย นำเข้ายาก
2: มีผู้จัดจำหน่าย 2 ราย แต่ชิ้นส่วนมีราคาสูง ใช้เวลาจัดส่งนานเกิน 4 สัปดาห์ และไม่มีอะไหล่ทดแทน
3: ชิ้นส่วนมาตรฐานแต่มีบางโมดูลต้องสั่งนำเข้า มีระยะเวลารอคอย 2–3 สัปดาห์
4: ใช้ชิ้นส่วนมาตรฐานอุตสาหกรรม (COTS) มีผู้ขายในประเทศหลายราย จัดหาทดแทนได้ใน 3–5 วัน
5: อะไหล่หาง่ายทั่วไปตามร้านค้าอุปกรณ์อิเล็กทรอนิกส์ในประเทศ ซื้อทดแทนได้ทันทีภายใน 24 ชม.</t>
        </is>
      </c>
      <c r="I8" s="28" t="inlineStr">
        <is>
          <t>1: ไม่มีงบสำรองเลย หากชิ้นส่วนพังโครงการจะหยุดชะงักทันที (ราคาชิ้นส่วนเท่ากับงบประมาณทั้งหมด)
2: งบสำรองรองรับการเสียหายได้ไม่เกิน 1 ครั้ง ชิ้นส่วนสำคัญไม่มีอะไหล่สำรอง
3: มีงบสำรอง 20–30% ซื้อชิ้นส่วนราคาปานกลางสำรองได้ แต่ไม่มีอะไหล่สำหรับโมดูลหลักราคาแพง
4: มีงบสำรอง 50% มีชิ้นส่วนหลักและไอซีสำคัญสำรองอย่างน้อย 2–3 ชุด ทดลองได้อย่างมั่นใจ
5: งบประมาณเหลือเฟือ ชิ้นส่วนราคาถูกมาก สามารถซื้อชุดสำรองแบบสมบูรณ์ได้เกิน 3 ชุดขึ้นไป</t>
        </is>
      </c>
      <c r="J8" s="28" t="inlineStr">
        <is>
          <t>1: เสี่ยงต่อการกระทำผิดกฎหมายอาญา ละเมิด พ.ร.บ. ทางหลวงอย่างร้ายแรง และไม่มีทางขออนุญาตได้
2: ต้องขออนุญาตปิดการจราจรช่องทางหลัก เสี่ยงต่ออุบัติเหตุร้ายแรง และมีขั้นตอนอนุมัติยาวนาน
3: ต้องขออนุญาตทำงานในเขตทางสาธารณะ แต่เป็นงานขนาดเล็ก ใช้กรวยจราจรและป้ายเตือนชั่วคราว
4: ปฏิบัติงานบนทางเท้าหรือขอบทางได้โดยไม่กีดขวางการจราจร สอดคล้องตามระเบียบงานสาธารณูปโภค
5: ไม่กระทบต่อการจราจรและพื้นที่สาธารณะเลย ปฏิบัติการเสร็จสิ้นในเวลารวดเร็วโดยไม่ต้องขออนุญาตพิเศษ</t>
        </is>
      </c>
      <c r="K8" s="28" t="inlineStr">
        <is>
          <t>1: ละเมิดสิทธิบัตรที่ยังมีผลคุ้มครองอย่างชัดเจน หรือใช้ซอฟต์แวร์ผิดสัญญาอนุญาตทางการค้า
2: มีความคลุมเครือด้านสิทธิบัตร มีความเสี่ยงที่จะถูกฟ้องร้องจากเจ้าของเทคโนโลยีเดิม
3: ใช้ไลบรารีที่มีสัญญาอนุญาตแบบ Copyleft เข้มงวด (เช่น AGPL) ซึ่งบังคับให้ต้องเปิดเผยซอร์สโค้ดทั้งหมด
4: ซอฟต์แวร์และฮาร์ดแวร์อยู่ภายใต้สัญญาอนุญาตแบบเสรี (Permissive License เช่น MIT, BSD, Apache 2.0)
5: เทคโนโลยีเป็นสาธารณสมบัติ (Public Domain) สิทธิบัตรหมดอายุแล้ว หรือสร้างสรรค์ขึ้นใหม่ทั้งหมด</t>
        </is>
      </c>
      <c r="L8" s="28" t="inlineStr">
        <is>
          <t>1: อุปกรณ์ติดค้างในท่อกลายเป็นสิ่งกีดขวางทางน้ำอย่างถาวร ต้องทุบถนนขุดลอกท่อเพื่อเก็บกู้
2: การขัดข้องทำให้ระบบประเมินค่าผิดพลาดจนส่งผลให้เกิดน้ำท่วมขัง และการเก็บกู้ต้องใช้เครื่องมือหนัก
3: อุปกรณ์หยุดทำงานแต่สามารถดึงสายสลิงเก็บกู้ได้ง่าย โดยไม่ส่งผลกระทบต่อการไหลของน้ำ
4: ระบบขัดข้องเฉพาะบางเซนเซอร์ ยังสามารถประเมินผลเบื้องต้นได้ และเก็บกู้ได้ทันทีโดยสลักนิรภัย
5: ทำงานจากผิวดินแบบ Fail-Safe 100% หากระบบหยุดทำงานก็ไม่มีชิ้นส่วนใดค้างอยู่ในท่อระบายน้ำ</t>
        </is>
      </c>
      <c r="M8" s="28" t="inlineStr">
        <is>
          <t>1: ขัดแย้งกับขั้นตอนการทำงานเดิมโดยสิ้นเชิง เจ้าหน้าที่ปฏิเสธการใช้งานเพราะยุ่งยากและอันตราย
2: ต้องใช้เวลาฝึกอบรมเจ้าหน้าที่นานเกิน 4 สัปดาห์ และต้องปรับเปลี่ยนขั้นตอนการทำงานเกือบทั้งหมด
3: เจ้าหน้าที่ยอมรับได้แต่ต้องมีขั้นตอนพิเศษเพิ่มเติม เช่น การต่อสายไฟและตั้งค่าหน้างานหลายขั้นตอน
4: ใช้งานง่าย สอดคล้องกับขั้นตอนการตรวจท่อปกติ เจ้าหน้าที่เรียนรู้การทำงานได้ภายใน 1 วัน
5: ใช้งานได้ทันทีโดยไม่ต้องเปลี่ยนพฤติกรรมเดิม (Zero-learning curve) ออกแบบตามสรีรศาสตร์หน้างาน</t>
        </is>
      </c>
      <c r="N8" s="28" t="inlineStr">
        <is>
          <t>1: ต้องใช้ห้องปฏิบัติการพิเศษที่มีการควบคุมความปลอดภัยสูง ต้องทำเรื่องขออนุมัติล่วงหน้าหลายสัปดาห์
2: พึ่งพาเครื่องจักรหนักในช็อปวิศวกรรม มีคิวรอใช้งานยาวนาน และเข้าใช้งานได้เฉพาะเวลาทำการ
3: ต้องการพื้นที่ทดสอบจำลองขนาดใหญ่ในแล็บ แต่สามารถจัดสรรเวลาทำงานร่วมกับทีมอื่นได้
4: ใช้อุปกรณ์ในแล็บทั่วไป มีความพร้อมใช้งานสูง และสามารถนำกลับไปทดสอบต่อที่หอพักได้
5: พัฒนาและทดสอบได้ทุกที่อย่างอิสระ ไม่ต้องพึ่งพาห้องแล็บหรือการอนุมัติเชิงบริหารใดๆ ทั้งสิ้น</t>
        </is>
      </c>
      <c r="O8" s="28" t="inlineStr">
        <is>
          <t>1: มีขั้นตอนซับซ้อนเกิน 10 ขั้นตอน ต้องปรับเทียบเซนเซอร์และต่อสายสัญญาณยุ่งยากหน้างาน
2: มีขั้นตอน 7–10 ขั้นตอน ต้องใช้คอมพิวเตอร์ตั้งโต๊ะและอุปกรณ์เสริมหลายชิ้นในการเริ่มระบบ
3: มีขั้นตอน 4–6 ขั้นตอน ต้องเชื่อมต่อสายสัญญาณและเปิดโปรแกรมตามลำดับที่กำหนด
4: มีขั้นตอน 2–3 ขั้นตอน เพียงเปิดสวิตช์และกดปุ่มเริ่มทำงาน ระบบจะปรับเทียบตัวเองโดยอัตโนมัติ
5: ทำงานแบบสัมผัสเดียว (One-Touch Operation) เสียบปลั๊ก/เปิดเครื่องแล้วเริ่มประมวลผลได้ทันที</t>
        </is>
      </c>
      <c r="P8" s="28" t="inlineStr">
        <is>
          <t>1: ไม่สามารถทำเสร็จได้ทันใน 5 สัปดาห์แน่นอน ต้องใช้เวลาพัฒนาอย่างน้อย 10–12 สัปดาห์ขึ้นไป
2: มีความเสี่ยงสูงมากที่จะล่าช้า งานวิจัยและพัฒนาชิ้นส่วนกลไกอาจกินเวลาเกินกว่า 6 สัปดาห์
3: มีความเป็นไปได้แต่ตึงเครียดมาก ต้องทำงานล่วงเวลาและตัดทอนฟังก์ชันย่อยบางส่วนออก
4: มีความเป็นไปได้สูง แผนงานสอดคล้องกับศักยภาพทีม มีเวลาทดสอบระบบรวมอย่างน้อย 1 สัปดาห์
5: มั่นใจว่าเสร็จสมบูรณ์ก่อนกำหนด มีต้นแบบที่ทำงานได้ในสัปดาห์ที่ 3 และมีเวลาปรับแต่งอย่างเต็มที่</t>
        </is>
      </c>
      <c r="Q8" s="28" t="inlineStr">
        <is>
          <t>1: สร้างภาพลักษณ์สีเขียวโดยไม่มีผลกระทบเชิงประจักษ์ (Greenwashing) หรือไม่ตอบโจทย์ SDG ชั้นใดเลย
2: ตอบโจทย์เฉพาะชั้นเศรษฐกิจหรือสังคมอย่างผิวเผิน แต่ไม่มีผลกระทบต่อการอนุรักษ์ชีวมณฑล (Biosphere)
3: มีผลกระทบเชิงบวกที่ชัดเจนใน 1 มิติ (เช่น ป้องกันน้ำท่วมในมิติสังคม หรือลดขยะในมิติชีวมณฑล)
4: บูรณาการอย่างเข้มแข็งข้าม 2 มิติ (เช่น ชีวมณฑลด้านการจัดการน้ำ ร่วมกับสังคมเมืองที่ปลอดภัย)
5: บูรณาการครบทั้ง 3 ชั้นของ SDG Wedding Cake: ชีวมณฑล (น้ำสะอาด) + สังคม (เมืองยั่งยืน) + เศรษฐกิจ (คุ้มค่า)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4</v>
      </c>
      <c r="D9" s="31" t="n">
        <v>2</v>
      </c>
      <c r="E9" s="31" t="n">
        <v>3</v>
      </c>
      <c r="F9" s="31" t="n">
        <v>2</v>
      </c>
      <c r="G9" s="31" t="n">
        <v>3</v>
      </c>
      <c r="H9" s="31" t="n">
        <v>3</v>
      </c>
      <c r="I9" s="31" t="n">
        <v>1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solution-details/solution-4.md lines 27-36; mounts COTS 3D LiDAR module and embedded SBC (Jetson/Pi) on a custom crawler chassis, running standard ROS2 SLAM packages.</t>
        </is>
      </c>
      <c r="C12" s="28" t="inlineStr">
        <is>
          <t>solution-details/solution-4.md lines 33-36; open-source ROS2 LiDAR drivers, Point Cloud Library (PCL), and open SLAM repositories (FAST-LIO, Cartographer) provide rich open developer access.</t>
        </is>
      </c>
      <c r="D12" s="28" t="inlineStr">
        <is>
          <t>solution-details/solution-4.md lines 15, 43-45; With water depth &lt;=20%, laser scans upper 80% pipe headspace clearly. However, 905nm infrared laser beams suffer total specular absorption/reflection on dark wastewater puddle surfaces, leaving a blind floor segment requiring mathematical interpolation (TRL 4).</t>
        </is>
      </c>
      <c r="E12" s="28" t="inlineStr">
        <is>
          <t>team-skills/jk.md, fifa.md, due.md; JK is highly competent in ROS2, Linux, C++, and linear algebra for SLAM; Fifa and Due provide mechanical crawler support.</t>
        </is>
      </c>
      <c r="F12" s="28" t="inlineStr">
        <is>
          <t>team-skills/jk.md; while JK knows ROS2 and differential equations, tuning 3D LiDAR SLAM in feature-degenerate cylindrical pipe tunnels requires extensive point cloud filtering and IMU tightly-coupled odometry.</t>
        </is>
      </c>
      <c r="G12" s="28" t="inlineStr">
        <is>
          <t>solution-details/solution-4.md lines 6-10, 38-40; produces millimeter-accurate 3D CAD models of pipe deformation and sediment volume, delivering moderate 3-5 year payback for specialized structural asset management.</t>
        </is>
      </c>
      <c r="H12" s="28" t="inlineStr">
        <is>
          <t>solution-details/solution-4.md lines 33-36; dependent on specialized solid-state 3D LiDAR hardware (Livox/Velodyne) and high-performance embedded GPU SBCs.</t>
        </is>
      </c>
      <c r="I12" s="28" t="inlineStr">
        <is>
          <t>team-skills/due.md, fifa.md; 3D LiDAR sensor (25,000–35,000 THB) + Jetson SBC exhausts 100% of student team funding; zero budget exists for replacement if the sensor is damaged or dropped into sewage, triggering a fatal scrap margin flaw.</t>
        </is>
      </c>
      <c r="J12" s="28" t="inlineStr">
        <is>
          <t>solution-details/solution-4.md lines 18, 27-28; requires opening public road manhole covers and deploying crawler tether stations, necessitating formal municipal permits and safety lane closures.</t>
        </is>
      </c>
      <c r="K12" s="28" t="inlineStr">
        <is>
          <t>solution-details/solution-4.md lines 33-36; ROS2 (Apache 2.0), Point Cloud Library (BSD), and FAST-LIO2 (GPL/BSD) are completely open source for academic research and prototyping.</t>
        </is>
      </c>
      <c r="L12" s="28" t="inlineStr">
        <is>
          <t>solution-details/solution-4.md lines 43-45; crawler stuck in sewage requires manual recovery; laser optical glass easily smudged by splashing wastewater slurry, requiring aborting scan run.</t>
        </is>
      </c>
      <c r="M12" s="28" t="inlineStr">
        <is>
          <t>solution-details/solution-4.md lines 44-45; generates massive 3D point cloud files (.pcd/.ply) requiring GIS/CAD engineering expertise to interpret, creating operational workflow friction for field maintenance crews.</t>
        </is>
      </c>
      <c r="N12" s="28" t="inlineStr">
        <is>
          <t>team-skills/due.md, jk.md; requires access to FIBO robotics lab GPU workstations for point cloud processing and mechanical workshop for crawler chassis mounting.</t>
        </is>
      </c>
      <c r="O12" s="28" t="inlineStr">
        <is>
          <t>solution-details/solution-4.md lines 27-36, 44-45; multi-stage setup: ROS2 network configuration, high-bandwidth sensor tethering, IMU extrinsic calibration, and point cloud registration pipeline.</t>
        </is>
      </c>
      <c r="P12" s="28" t="inlineStr">
        <is>
          <t>schedule-details/schedule.md lines 8-15; integrating crawler chassis + LiDAR drivers + SLAM calibration inside symmetrical cylindrical pipe tunnels within 5 business weeks during exam blackout is highly compressed.</t>
        </is>
      </c>
      <c r="Q12" s="28" t="inlineStr">
        <is>
          <t>solution-details/solution-4.md lines 6-10; strongly integrates Biosphere (SDG 6.3 preventing drainage blockage) and Society (SDG 11.5 urban infrastructure protection and flood resilience).</t>
        </is>
      </c>
      <c r="R12" s="28" t="inlineStr">
        <is>
          <t>solution-details/solution-4.md lines 43; tethered crawler prevents hardware loss, but expensive LiDAR and embedded SBC risk electronic scrap loss if compromised by corrosive sewer humidity.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open-source robot base (e.g. Turtlebot3 chassis) with standard ROS2 LiDAR mounting brackets.</t>
        </is>
      </c>
      <c r="C13" s="28" t="inlineStr">
        <is>
          <t>Rely strictly on standard ROS2 Humble packages on Ubuntu 22.04 LTS.</t>
        </is>
      </c>
      <c r="D13" s="28" t="inlineStr">
        <is>
          <t>Test LiDAR in dry PVC drainage pipes first to establish geometric ground truth before introducing water.</t>
        </is>
      </c>
      <c r="E13" s="28" t="inlineStr">
        <is>
          <t>Pair JK with Kin on ROS2 point cloud subscriber scripts to build redundancy.</t>
        </is>
      </c>
      <c r="F13" s="28" t="inlineStr">
        <is>
          <t>Use a 2D LiDAR with wheel odometry in Cartographer rather than full 3D non-linear ICP optimization.</t>
        </is>
      </c>
      <c r="G13" s="28" t="inlineStr">
        <is>
          <t>Highlight 3D deformation inspection value for structural rehabilitation contractors.</t>
        </is>
      </c>
      <c r="H13" s="28" t="inlineStr">
        <is>
          <t>Ensure chosen LiDAR brand has an active Thai distributor or readily available university lab loan units.</t>
        </is>
      </c>
      <c r="I13" s="28" t="inlineStr">
        <is>
          <t>CRITICAL DE-SCOPING REQUIRED: Downscale from 3D LiDAR to a low-cost rotating 2D LiDAR (3,000–5,000 THB, e.g. RPLiDAR) or borrow lab sensor to avoid fatal budget exhaustion.</t>
        </is>
      </c>
      <c r="J13" s="28" t="inlineStr">
        <is>
          <t>Conduct all field tests inside university closed drainage networks.</t>
        </is>
      </c>
      <c r="K13" s="28" t="inlineStr">
        <is>
          <t>Comply with standard open-source academic citation guidelines.</t>
        </is>
      </c>
      <c r="L13" s="28" t="inlineStr">
        <is>
          <t>Install an emergency mechanical pull-cord and sacrificial protective film over the LiDAR optical window.</t>
        </is>
      </c>
      <c r="M13" s="28" t="inlineStr">
        <is>
          <t>Build an automated python script that converts dense point clouds into a single 2D blockage percentage profile.</t>
        </is>
      </c>
      <c r="N13" s="28" t="inlineStr">
        <is>
          <t>Use cloud GPU or personal gaming laptops with CUDA support for point cloud compilation.</t>
        </is>
      </c>
      <c r="O13" s="28" t="inlineStr">
        <is>
          <t>Pre-configure systemd service on SBC to launch ROS2 LiDAR launchfile automatically on boot.</t>
        </is>
      </c>
      <c r="P13" s="28" t="inlineStr">
        <is>
          <t>Eliminate online SLAM mapping; log raw point clouds to bagfile and run offline reconstruction.</t>
        </is>
      </c>
      <c r="Q13" s="28" t="inlineStr">
        <is>
          <t>Quantify municipal infrastructure life extension from precision 3D deformation modeling.</t>
        </is>
      </c>
      <c r="R13" s="28" t="inlineStr">
        <is>
          <t>Install moisture detection sensors inside the sealed crawler electronics pod to abort mission before water damage.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11.5</v>
      </c>
      <c r="C28" s="28" t="inlineStr">
        <is>
          <t>Score 4.0/4.0: 3D LiDAR spatial laser time-of-flight scanning with IMU fusion, acquiring dense point clouds with millimeter-level geometric accuracy.</t>
        </is>
      </c>
      <c r="D28" s="28" t="inlineStr">
        <is>
          <t>Score 4.0/4.0: 3D LiDAR SLAM state estimation (FAST-LIO / LIO-SAM), point cloud registration/ICP, non-linear optimization, and volumetric debris extraction.</t>
        </is>
      </c>
      <c r="E28" s="28" t="inlineStr">
        <is>
          <t>Score 3.5/4.0: Motorized pipe crawler mobile platform with encoder feedback, speed/heading regulation, and data tether management.</t>
        </is>
      </c>
      <c r="F28" s="28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2026-09-28T19:33:26Z</dcterms:created>
  <dcterms:modified xsi:type="dcterms:W3CDTF">2026-09-28T19:33:26Z</dcterms:modified>
</cp:coreProperties>
</file>