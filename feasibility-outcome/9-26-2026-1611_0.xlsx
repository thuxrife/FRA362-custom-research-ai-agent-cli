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2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2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CCTV on the road (Visual water flow) + ultrasonic to measure the flow rate of the canal + alarm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11" t="inlineStr">
        <is>
          <t>ใช้ประโยชน์จากเซนเซอร์อัลตราโซนิกคลองเดิมและกล้อง CCTV จราจรที่มีอยู่แล้ว ช่วยวิเคราะห์แยกว่าน้ำท่วมเกิดจากฝนตกหนักหรือท่อตันได้โดยตรง</t>
        </is>
      </c>
      <c r="M5" s="11" t="inlineStr">
        <is>
          <t>อัลกอริทึม Optical Flow/PTV บนกล้อง CCTV มีข้อจำกัดสูงเรื่องแสงกลางแจ้ง แสงสะท้อนผิวน้ำ และใช้ไม่ได้ในเวลากลางคืนหรือจุดที่กล้องส่องไม่ถึง</t>
        </is>
      </c>
      <c r="N5" s="11" t="inlineStr">
        <is>
          <t>ติดตั้งไฟส่องสว่างอินฟราเรดเฉพาะจุด หรือผสานข้อมูลเรดาร์ฝนเพื่อชดเชยช่วงเวลาที่ CCTV ไม่สามารถประเมิน Optical Flow ได้</t>
        </is>
      </c>
      <c r="O5" s="12" t="n">
        <v>0</v>
      </c>
      <c r="P5" s="7" t="inlineStr">
        <is>
          <t>-</t>
        </is>
      </c>
    </row>
    <row r="6" ht="55" customHeight="1">
      <c r="A6" s="13" t="n">
        <v>2</v>
      </c>
      <c r="B6" s="14" t="inlineStr">
        <is>
          <t>Solution-2</t>
        </is>
      </c>
      <c r="C6" s="15" t="inlineStr">
        <is>
          <t>Sewer Inspection by transmitter and receiver. Mapping Sewer profile</t>
        </is>
      </c>
      <c r="D6" s="8">
        <f>'Solution-2'!T9</f>
        <v/>
      </c>
      <c r="E6" s="16">
        <f>'Solution-2'!D17</f>
        <v/>
      </c>
      <c r="F6" s="16">
        <f>'Solution-2'!D18</f>
        <v/>
      </c>
      <c r="G6" s="16">
        <f>'Solution-2'!D19</f>
        <v/>
      </c>
      <c r="H6" s="16">
        <f>'Solution-2'!D20</f>
        <v/>
      </c>
      <c r="I6" s="16">
        <f>'Solution-2'!D21</f>
        <v/>
      </c>
      <c r="J6" s="16">
        <f>'Solution-2'!D22</f>
        <v/>
      </c>
      <c r="K6" s="17">
        <f>'Solution-2'!T12</f>
        <v/>
      </c>
      <c r="L6" s="18" t="inlineStr">
        <is>
          <t>ตรวจคัดกรองความสะอาดท่อระบายน้ำด้วยคลื่นเสียงสะท้อน (Acoustic Reflectometry) ได้รวดเร็ว สร้างภาพตัดขวาง 2D ช่วยจัดคิวลอกท่อได้ตรงจุด</t>
        </is>
      </c>
      <c r="M6" s="18" t="inlineStr">
        <is>
          <t>จุดอ่อนวิกฤตระบุชัดเจนว่า 'Can’t use in water in pipe situation' ซึ่งท่อระบายน้ำ กทม. มีน้ำขังเกือบตลอดเวลา และการสะท้อนของเสียงมีความซับซ้อนสูง</t>
        </is>
      </c>
      <c r="N6" s="18" t="inlineStr">
        <is>
          <t>จำกัดการใช้งานเฉพาะช่วงฤดูแล้งที่น้ำในท่อลดระดับลงต่ำสุด และใช้ร่วมกับก้านวัดระดับตะกอนแบบกายภาพเพื่อยืนยันผล</t>
        </is>
      </c>
      <c r="O6" s="12" t="n">
        <v>0</v>
      </c>
      <c r="P6" s="15" t="inlineStr">
        <is>
          <t>-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ระบบปล่อยน้ำแบบ Adaptive เพื่อระบายความร้อนบนทางเดินเท้าและตรอกซอยอย่างมีประสิทธิภาพสูงสุด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11" t="inlineStr">
        <is>
          <t>ใช้เซนเซอร์ IR ตรวจวัดอุณหภูมิผิวทางเดินเท้าแบบเรียลไทม์ และเปิดพ่นละอองน้ำเฉพาะเมื่อเกิน 45 °C ในช่วง 11:00–14:00 น. ไม่สูญเสียน้ำไปกับ Runoff</t>
        </is>
      </c>
      <c r="M7" s="11" t="inlineStr">
        <is>
          <t>จุดอ่อนระบุชัดว่า 'ในซอยไม่มีแหล่งน้ำสะอาด ต้องต่อท่อน้ำจากอาคาร' เสี่ยงต่อข้อพิพาทสิทธิ์การใช้น้ำ และต้องใช้พื้นที่มากแต่ให้ผลลดความร้อนเฉพาะจุด</t>
        </is>
      </c>
      <c r="N7" s="11" t="inlineStr">
        <is>
          <t>เปลี่ยนกลุ่มเป้าหมายจากการติดตั้งตามตรอกซอยส่วนบุคคล มาเป็นการติดตั้งในสวนสาธารณะ ทางเดินลอยฟ้า (Skywalk) หรือลานกิจกรรมของรัฐ</t>
        </is>
      </c>
      <c r="O7" s="12" t="n">
        <v>0</v>
      </c>
      <c r="P7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CCTV on the road (Visual water flow) + ultrasonic to measure the flow rate of the canal + alarm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3</v>
      </c>
      <c r="D9" s="29" t="n">
        <v>2</v>
      </c>
      <c r="E9" s="29" t="n">
        <v>4</v>
      </c>
      <c r="F9" s="29" t="n">
        <v>2</v>
      </c>
      <c r="G9" s="29" t="n">
        <v>4</v>
      </c>
      <c r="H9" s="29" t="n">
        <v>3</v>
      </c>
      <c r="I9" s="29" t="n">
        <v>5</v>
      </c>
      <c r="J9" s="29" t="n">
        <v>3</v>
      </c>
      <c r="K9" s="29" t="n">
        <v>5</v>
      </c>
      <c r="L9" s="29" t="n">
        <v>4</v>
      </c>
      <c r="M9" s="29" t="n">
        <v>4</v>
      </c>
      <c r="N9" s="29" t="n">
        <v>3</v>
      </c>
      <c r="O9" s="29" t="n">
        <v>3</v>
      </c>
      <c r="P9" s="29" t="n">
        <v>3</v>
      </c>
      <c r="Q9" s="29" t="n">
        <v>4</v>
      </c>
      <c r="R9" s="29" t="n">
        <v>5</v>
      </c>
      <c r="S9" s="29" t="n">
        <v>4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solution-1.md หน้าที่ 1-2 ระบุการใช้กล้อง CCTV เดิมและดึงข้อมูล ultrasonic เซนเซอร์คลองเดิม เป็นสถาปัตยกรรม Modular COTS ซอฟต์แวร์</t>
        </is>
      </c>
      <c r="C12" s="26" t="inlineStr">
        <is>
          <t>solution-1.md ระบุการดึงข้อมูลจาก CCTV จราจรและเซนเซอร์คลองของ กทม. ซึ่งต้องทำเรื่องขอสิทธิ์เข้าถึงสตรีมวิดีโอ (Request-Based Access)</t>
        </is>
      </c>
      <c r="D12" s="26" t="inlineStr">
        <is>
          <t>solution-1.md Weak point ระบุว่า 'ดู flow ได้เฉพาะช่วงที่มีแสง' และ PIV/PTV บนผิวน้ำกลางแจ้งมีความแปรปรวนสูง อยู่ในระดับ Functional Breadboard (TRL 4)</t>
        </is>
      </c>
      <c r="E12" s="26" t="inlineStr">
        <is>
          <t>jk.md (OpenCV, Python), kin.md (Telemetry Ingestion, Data Analysis), due.md (API, Web) มีทักษะสอดคล้องมากกว่า 3 คน</t>
        </is>
      </c>
      <c r="F12" s="26" t="inlineStr">
        <is>
          <t>solution-1.md Tech stack ใช้ Particle Tracking Velocimetry (PTV) และ PIV ซึ่งเป็นอัลกอริทึมชลศาสตร์ขั้นสูงที่ทีมยังไม่มีประสบการณ์ตรง (Steep Curve)</t>
        </is>
      </c>
      <c r="G12" s="26" t="inlineStr">
        <is>
          <t>solution-1.md ส่วน Function ช่วยวิเคราะห์จัดคิวลอกท่อและแจ้งเตือน QRT ตรงจุด โดยไม่ต้องติดตั้งฮาร์ดแวร์แพง คืนทุนรวดเร็วใน 2-3 ปี</t>
        </is>
      </c>
      <c r="H12" s="26" t="inlineStr">
        <is>
          <t>solution-1.md พึ่งพาข้อมูลสตรีมวิดีโอจากกล้อง CCTV ของหน่วยงานรัฐ หากกล้องเสียหรือมุมกล้องเปลี่ยนระบบจะคำนวณไม่ได้</t>
        </is>
      </c>
      <c r="I12" s="26" t="inlineStr">
        <is>
          <t>solution-1.md เป็นระบบประมวลผลซอฟต์แวร์จากเซนเซอร์ที่มีอยู่แล้ว งบประมาณการทดสอบฮาร์ดแวร์มีสำรองเกิน 100%</t>
        </is>
      </c>
      <c r="J12" s="26" t="inlineStr">
        <is>
          <t>solution-1.md การดึงภาพวิดีโอจาก CCTV บนถนนสาธารณะติดภาพบุคคลและยานพาหนะ ต้องขออนุญาตและมีระบบเบลอภาพตาม พ.ร.บ. PDPA</t>
        </is>
      </c>
      <c r="K12" s="26" t="inlineStr">
        <is>
          <t>solution-1.md ใช้งาน OpenCV และอัลกอริทึม Optical Flow โอเพนซอร์ส ปราศจากสิทธิบัตรปิดกั้น</t>
        </is>
      </c>
      <c r="L12" s="26" t="inlineStr">
        <is>
          <t>solution-1.md หากระบบ Optical Flow วิเคราะห์ผิดพลาด เป็นเพียงการแจ้งเตือนล่าช้า เจ้าหน้าที่สามารถสลับไปดูภาพสดได้ ไม่เกิดอันตรายร้ายแรง</t>
        </is>
      </c>
      <c r="M12" s="26" t="inlineStr">
        <is>
          <t>solution-1.md แจ้ง alert เข้าหน่วยงานที่เกี่ยวข้องและจัดคิวลอกท่อ สอดคล้องกับกระบวนการทำงานของหน่วย QRT และฝ่ายซ่อมบำรุง</t>
        </is>
      </c>
      <c r="N12" s="26" t="inlineStr">
        <is>
          <t>solution-1.md ต้องขอไฟล์วิดีโอบันทึกย้อนหลังจากกล้อง CCTV ของมหาวิทยาลัยหรือ กทม. เพื่อนำมาใช้เทรนและทดสอบระบบ</t>
        </is>
      </c>
      <c r="O12" s="26" t="inlineStr">
        <is>
          <t>solution-1.md การเชื่อมต่อสตรีมวิดีโอแบบเรียลไทม์ร่วมกับการคำนวณ Optical Flow ทีละเฟรม มีขั้นตอนการบิวด์และปรับแต่งปานกลาง</t>
        </is>
      </c>
      <c r="P12" s="26" t="inlineStr">
        <is>
          <t>schedule.md ระบุ TRL 3 ในสัปดาห์ที่ 13 โดย Solution 1 สามารถสร้างระบบต้นแบบวิเคราะห์วิดีโอบน Bench ได้ทันกำหนด (50% Design)</t>
        </is>
      </c>
      <c r="Q12" s="26" t="inlineStr">
        <is>
          <t>solution-1.md ช่วยชี้เป้าว่าน้ำท่วมเกิดจากท่อตันหรือฝนตกหนัก สนับสนุนการลอกท่อระดับเขตตาม SDG 11.5 อย่างมีนัยสำคัญ</t>
        </is>
      </c>
      <c r="R12" s="26" t="inlineStr">
        <is>
          <t>solution-1.md พยายามใช้ local sensor ที่มีอยู่แล้ว ไม่ติดตั้งอุปกรณ์ใหม่ในท่อ ไม่สร้างขยะอิเล็กทรอนิกส์ในระบบระบายน้ำ</t>
        </is>
      </c>
      <c r="S12" s="26" t="inlineStr">
        <is>
          <t>solution-1.md ตัดสินใจจากข้อมูลความเร็วการไหลของน้ำและระดับน้ำเชิงกายภาพ มีตรรกะที่เปิดเผยและตรวจสอบได้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 Video Ingestion Library มาตรฐานและเชื่อมต่อ REST API เซนเซอร์คลอง</t>
        </is>
      </c>
      <c r="C13" s="26" t="inlineStr">
        <is>
          <t>ทำหนังสือขอเชื่อมต่อสัญญาณ RTSP กับสำนักการจราจรและขนส่ง กทม.</t>
        </is>
      </c>
      <c r="D13" s="26" t="inlineStr">
        <is>
          <t>ทดสอบอัลกอริทึมในสภาพแสงแดดจ้า แสงสะท้อน และช่วงฝนตกหนักในห้องแล็บก่อน</t>
        </is>
      </c>
      <c r="E13" s="26" t="inlineStr">
        <is>
          <t>JK ดูแล Computer Vision, Kin ดูแลการรวมข้อมูลโทรมาตร, Due ดูแลระบบแจ้งเตือน</t>
        </is>
      </c>
      <c r="F13" s="26" t="inlineStr">
        <is>
          <t>เลือกใช้อัลกอริทึม Optical Flow มาตรฐานอย่าง Farneback ใน OpenCV แทน PTV เต็มรูปแบบ</t>
        </is>
      </c>
      <c r="G13" s="26" t="inlineStr">
        <is>
          <t>คำนวณต้นทุนที่ประหยัดได้จากการลดเที่ยววิ่งตรวจสอบของเจ้าหน้าที่</t>
        </is>
      </c>
      <c r="H13" s="26" t="inlineStr">
        <is>
          <t>ออกแบบระบบ Fallback ไปใช้เฉพาะระดับน้ำในคลองหาก CCTV ออฟไลน์</t>
        </is>
      </c>
      <c r="I13" s="26" t="inlineStr">
        <is>
          <t>ใช้คอมพิวเตอร์ส่วนตัวและเซิร์ฟเวอร์จำลองในการทดสอบทั้งหมด</t>
        </is>
      </c>
      <c r="J13" s="26" t="inlineStr">
        <is>
          <t>ติดตั้งโมดูล Edge Anonymization เบลอป้ายทะเบียนและบุคคลก่อนประมวลผล</t>
        </is>
      </c>
      <c r="K13" s="26" t="inlineStr">
        <is>
          <t>ใช้ไลบรารีภายใต้สัญญาอนุญาต Apache 2.0 และ MIT</t>
        </is>
      </c>
      <c r="L13" s="26" t="inlineStr">
        <is>
          <t>ตั้งค่า Threshold ความเชื่อมั่น หากคะแนนความเชื่อมั่นต่ำให้แจ้งเตือนเป็น Warning</t>
        </is>
      </c>
      <c r="M13" s="26" t="inlineStr">
        <is>
          <t>ส่งข้อมูลการแจ้งเตือนเข้าสู่ระบบ LINE Notify ของเจ้าหน้าที่หน้างาน</t>
        </is>
      </c>
      <c r="N13" s="26" t="inlineStr">
        <is>
          <t>ติดตั้งกล้องเว็บแคมทดสอบบันทึกภาพผิวน้ำจำลองในมหาวิทยาลัย</t>
        </is>
      </c>
      <c r="O13" s="26" t="inlineStr">
        <is>
          <t>สร้างสคริปต์ Python อัตโนมัติสำหรับดึงภาพและวิเคราะห์เฟรมแบบ batch</t>
        </is>
      </c>
      <c r="P13" s="26" t="inlineStr">
        <is>
          <t>ล็อกชุดวิดีโอทดสอบภายในสัปดาห์ที่ 9 เพื่อเตรียมทำ PoC ในสัปดาห์ที่ 13</t>
        </is>
      </c>
      <c r="Q13" s="26" t="inlineStr">
        <is>
          <t>จัดทำรายงานสถิติจุดท่อตันเทียบกับประวัติน้ำท่วมซ้ำซาก</t>
        </is>
      </c>
      <c r="R13" s="26" t="inlineStr">
        <is>
          <t>ไม่ก่อให้เกิดมลภาวะหรือขยะพลาสติกตกค้างในสิ่งแวดล้อม</t>
        </is>
      </c>
      <c r="S13" s="26" t="inlineStr">
        <is>
          <t>บันทึกค่าความเร็วผิวน้ำและระดับน้ำเป็นตัวเลขเชิงประจักษ์ทุก 5 นาที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Sewer Inspection by transmitter and receiver. Mapping Sewer profile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4</v>
      </c>
      <c r="D9" s="29" t="n">
        <v>2</v>
      </c>
      <c r="E9" s="29" t="n">
        <v>3</v>
      </c>
      <c r="F9" s="29" t="n">
        <v>2</v>
      </c>
      <c r="G9" s="29" t="n">
        <v>4</v>
      </c>
      <c r="H9" s="29" t="n">
        <v>4</v>
      </c>
      <c r="I9" s="29" t="n">
        <v>3</v>
      </c>
      <c r="J9" s="29" t="n">
        <v>3</v>
      </c>
      <c r="K9" s="29" t="n">
        <v>3</v>
      </c>
      <c r="L9" s="29" t="n">
        <v>4</v>
      </c>
      <c r="M9" s="29" t="n">
        <v>4</v>
      </c>
      <c r="N9" s="29" t="n">
        <v>3</v>
      </c>
      <c r="O9" s="29" t="n">
        <v>3</v>
      </c>
      <c r="P9" s="29" t="n">
        <v>3</v>
      </c>
      <c r="Q9" s="29" t="n">
        <v>4</v>
      </c>
      <c r="R9" s="29" t="n">
        <v>5</v>
      </c>
      <c r="S9" s="29" t="n">
        <v>4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solution-2.md ส่วน Operation flow ต้องประกอบชุด Transmitter และ Receiver ก้านหย่อน และวงจรวิเคราะห์สัญญาณเสียง (Hybrid Integration)</t>
        </is>
      </c>
      <c r="C12" s="26" t="inlineStr">
        <is>
          <t>solution-2.md ใช้หลักการ Airborne Acoustic Reflectometry และการกรองสัญญาณ เป็นหลักฟิสิกส์เปิดที่ทีมพัฒนาโค้ดประมวลผลได้เอง</t>
        </is>
      </c>
      <c r="D12" s="26" t="inlineStr">
        <is>
          <t>solution-2.md Weak point ระบุว่า 'Can’t use in water in pipe situation' แต่ท่อ กทม. มีน้ำขังตลอดเวลา อยู่ในระดับ Functional Breadboard (TRL 4)</t>
        </is>
      </c>
      <c r="E12" s="26" t="inlineStr">
        <is>
          <t>due.md (ระบบเสียง/แอมป์ MAX98357), fifa.md (โครงสร้างก้านหย่อน), jk.md (ฟิสิกส์คลื่น/การคำนวณ) มีทีมงานหลัก 3 คน</t>
        </is>
      </c>
      <c r="F12" s="26" t="inlineStr">
        <is>
          <t>solution-2.md การสร้างภาพตัดขวาง 2D ของท่อจากการลดทอนของพลังงานเสียงในอากาศเป็นทฤษฎีใหม่ที่ทีมไม่มีประสบการณ์ตรง (Steep Curve)</t>
        </is>
      </c>
      <c r="G12" s="26" t="inlineStr">
        <is>
          <t>solution-2.md ช่วยคัดกรองสภาพท่อได้อย่างรวดเร็ว ลดการส่งรถดูดเลนไปล้างท่อที่ไม่ตัน ประหยัดงบประมาณบำรุงรักษา คืนทุนใน 2-3 ปี</t>
        </is>
      </c>
      <c r="H12" s="26" t="inlineStr">
        <is>
          <t>solution-2.md หัวส่งสัญญาณ ตัวรับสัญญาณ และอุปกรณ์ประมวลผลสามารถหาซื้อได้ทั่วไป ไม่ผูกขาดกับผู้ผลิตรายเดียว</t>
        </is>
      </c>
      <c r="I12" s="26" t="inlineStr">
        <is>
          <t>solution-2.md การหย่อนอุปกรณ์ลงในบ่อพักน้ำมีความเสี่ยงต่อความชื้นและน้ำกระเด็น งบประมาณสำรองชิ้นส่วนรองรับที่ 50%</t>
        </is>
      </c>
      <c r="J12" s="26" t="inlineStr">
        <is>
          <t>solution-2.md การเปิดฝาท่อพักน้ำเพื่อวางตัวรับ-ส่งสัญญาณบนทางเท้า ต้องขออนุญาตสำนักงานเขตและวางกรวยกั้นความปลอดภัยจราจร</t>
        </is>
      </c>
      <c r="K12" s="26" t="inlineStr">
        <is>
          <t>solution-2.md ระบบตรวจวัดด้วยเสียงในท่อมีสิทธิบัตรคุ้มครองของ SL-RAT ในต่างประเทศ ทำเพื่อการศึกษาได้แต่ต้องระวังหากผลิตเชิงพาณิชย์</t>
        </is>
      </c>
      <c r="L12" s="26" t="inlineStr">
        <is>
          <t>solution-2.md ปฏิบัติงานจากผิวทางเท้าโดยไม่ต้องมุดลงไปในท่อระบายน้ำ หากอุปกรณ์ขัดข้องไม่ส่งผลกระทบต่อความปลอดภัยของมนุษย์</t>
        </is>
      </c>
      <c r="M12" s="26" t="inlineStr">
        <is>
          <t>solution-2.md แสดงผลเป็นภาพตัดขวาง 2D และจำแนก Good/Bad เข้าใจง่าย สอดคล้องกับความต้องการของฝ่ายวางแผนจัดคิวลอกท่อ</t>
        </is>
      </c>
      <c r="N12" s="26" t="inlineStr">
        <is>
          <t>solution-2.md ต้องขออนุญาตเข้าใช้สถานที่ทดสอบท่อระบายน้ำจำลองในมหาวิทยาลัยเพื่อสอบเทียบค่าการลดทอนของเสียง</t>
        </is>
      </c>
      <c r="O12" s="26" t="inlineStr">
        <is>
          <t>solution-2.md มีขั้นตอนการตั้งค่าความถี่เสียง การตัดสัญญาณรบกวน และการจัดแนวหัวส่ง-รับให้ตรงกันในท่อ</t>
        </is>
      </c>
      <c r="P12" s="26" t="inlineStr">
        <is>
          <t>schedule.md สามารถสร้างต้นแบบกระบอกส่ง-รับสัญญาณเสียงและโค้ดวิเคราะห์ระดับ TRL 3 ได้ใน 5 สัปดาห์ก่อนสอบ</t>
        </is>
      </c>
      <c r="Q12" s="26" t="inlineStr">
        <is>
          <t>solution-2.md ช่วยสนับสนุนการทำแผนที่ท่อระบายน้ำและวางแผนซ่อมบำรุงเชิงรุก ลดความเสี่ยงน้ำท่วมเมืองตาม SDG 11.5</t>
        </is>
      </c>
      <c r="R12" s="26" t="inlineStr">
        <is>
          <t>solution-2.md เครื่องมือติดอยู่กับก้านหย่อน ไม่ทิ้งอุปกรณ์หรือสารเคมีไว้ในท่อระบายน้ำ ปลอดภัยต่อสิ่งแวดล้อม 100%</t>
        </is>
      </c>
      <c r="S12" s="26" t="inlineStr">
        <is>
          <t>solution-2.md ประเมินจากค่าการลดทอนของพลังงานเสียงตามหลักฟิสิกส์ โปร่งใส ขจัดปัญหาการใช้ดุลยพินิจส่วนบุคคล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ใช้โมดูลลำโพงและไมโครโฟน COTS ประกบกับก้านวัดสำเร็จรูป</t>
        </is>
      </c>
      <c r="C13" s="26" t="inlineStr">
        <is>
          <t>เขียนเฟิร์มแวร์วิเคราะห์สัญญาณเสียงสะท้อนด้วย C/C++ บน ESP32</t>
        </is>
      </c>
      <c r="D13" s="26" t="inlineStr">
        <is>
          <t>ทดสอบในท่อคอนกรีตจำลองที่มีระดับน้ำขังและความชื้นสูงเพื่อหาข้อจำกัด</t>
        </is>
      </c>
      <c r="E13" s="26" t="inlineStr">
        <is>
          <t>Due ดูแลวงจรกำเนิดและรับเสียง, Fifa ดูแลงานกลไก, JK คำนวณการลดทอนของคลื่น</t>
        </is>
      </c>
      <c r="F13" s="26" t="inlineStr">
        <is>
          <t>ปรึกษาอาจารย์ภาควิชาฟิสิกส์/วิศวกรรมเรื่อง Acoustic Attenuation</t>
        </is>
      </c>
      <c r="G13" s="26" t="inlineStr">
        <is>
          <t>ทำตารางเปรียบเทียบค่าใช้จ่ายการตรวจด้วยเสียงเทียบกับการใช้กล้องมุดท่อ</t>
        </is>
      </c>
      <c r="H13" s="26" t="inlineStr">
        <is>
          <t>เลือกลำโพงและไมโครโฟนเกรดกันน้ำที่มีจำหน่ายแพร่หลาย</t>
        </is>
      </c>
      <c r="I13" s="26" t="inlineStr">
        <is>
          <t>จัดซื้อหัวไมโครโฟนและทรานสดิวเซอร์สำรองอย่างน้อย 1 ชุด</t>
        </is>
      </c>
      <c r="J13" s="26" t="inlineStr">
        <is>
          <t>ทำหนังสือขออนุญาตลงพื้นที่และจัดเตรียมกรวยจราจรสะท้อนแสง</t>
        </is>
      </c>
      <c r="K13" s="26" t="inlineStr">
        <is>
          <t>ศึกษารายละเอียดสิทธิบัตรเพื่อหลีกเลี่ยงการละเมิดกระบวนการเฉพาะ</t>
        </is>
      </c>
      <c r="L13" s="26" t="inlineStr">
        <is>
          <t>กำหนดแนวทางปฏิบัติห้ามเจ้าหน้าที่ลงไปในท่อระบายน้ำโดยเด็ดขาด</t>
        </is>
      </c>
      <c r="M13" s="26" t="inlineStr">
        <is>
          <t>ออกแบบหน้าจอสรุปผลบนสมาร์ตโฟนแสดงผลแถบสี เขียว-เหลือง-แดง</t>
        </is>
      </c>
      <c r="N13" s="26" t="inlineStr">
        <is>
          <t>ติดต่อห้องปฏิบัติการสิ่งแวดล้อมเพื่อขอใช้ท่อทดสอบ</t>
        </is>
      </c>
      <c r="O13" s="26" t="inlineStr">
        <is>
          <t>ทำเครื่องหมายล็อกตำแหน่งบนก้านหย่อนเพื่อความแม่นยำในการวางตำแหน่ง</t>
        </is>
      </c>
      <c r="P13" s="26" t="inlineStr">
        <is>
          <t>ขึ้นรูปเคส 3D Print สำหรับยึดลำโพงและไมโครโฟนให้เสร็จในสัปดาห์ที่ 11</t>
        </is>
      </c>
      <c r="Q13" s="26" t="inlineStr">
        <is>
          <t>นำร่องตรวจประเมินท่อระบายน้ำรอบมหาวิทยาลัยเพื่อสร้างฐานข้อมูลตัวอย่าง</t>
        </is>
      </c>
      <c r="R13" s="26" t="inlineStr">
        <is>
          <t>ใช้วัสดุก้านหย่อนที่ทนทานและเช็ดทำความสะอาดได้ง่าย</t>
        </is>
      </c>
      <c r="S13" s="26" t="inlineStr">
        <is>
          <t>แสดงค่ากราฟการลดทอนของคลื่นเสียงเป็นหลักฐานประกอบทุกรายงาน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ระบบปล่อยน้ำแบบ Adaptive เพื่อระบายความร้อนบนทางเดินเท้าและตรอกซอยอย่างมีประสิทธิภาพสูงสุด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T-03</t>
        </is>
      </c>
      <c r="E4" s="22" t="inlineStr">
        <is>
          <t>T-04</t>
        </is>
      </c>
      <c r="F4" s="22" t="inlineStr">
        <is>
          <t>T-05</t>
        </is>
      </c>
      <c r="G4" s="22" t="inlineStr">
        <is>
          <t>E-01</t>
        </is>
      </c>
      <c r="H4" s="22" t="inlineStr">
        <is>
          <t>E-02</t>
        </is>
      </c>
      <c r="I4" s="22" t="inlineStr">
        <is>
          <t>E-03</t>
        </is>
      </c>
      <c r="J4" s="22" t="inlineStr">
        <is>
          <t>L-01</t>
        </is>
      </c>
      <c r="K4" s="22" t="inlineStr">
        <is>
          <t>L-02</t>
        </is>
      </c>
      <c r="L4" s="22" t="inlineStr">
        <is>
          <t>O-01</t>
        </is>
      </c>
      <c r="M4" s="22" t="inlineStr">
        <is>
          <t>O-02</t>
        </is>
      </c>
      <c r="N4" s="22" t="inlineStr">
        <is>
          <t>O-03</t>
        </is>
      </c>
      <c r="O4" s="22" t="inlineStr">
        <is>
          <t>O-04</t>
        </is>
      </c>
      <c r="P4" s="22" t="inlineStr">
        <is>
          <t>S-01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ด้านเทคโนโลยีและวิศวกรรม (Technical Feasibility)</t>
        </is>
      </c>
      <c r="C5" s="24" t="inlineStr">
        <is>
          <t>ด้านเทคโนโลยีและวิศวกรรม (Technical Feasibility)</t>
        </is>
      </c>
      <c r="D5" s="24" t="inlineStr">
        <is>
          <t>ด้านเทคโนโลยีและวิศวกรรม (Technical Feasibility)</t>
        </is>
      </c>
      <c r="E5" s="24" t="inlineStr">
        <is>
          <t>ด้านเทคโนโลยีและวิศวกรรม (Technical Feasibility)</t>
        </is>
      </c>
      <c r="F5" s="24" t="inlineStr">
        <is>
          <t>ด้านเทคโนโลยีและวิศวกรรม (Technical Feasibility)</t>
        </is>
      </c>
      <c r="G5" s="24" t="inlineStr">
        <is>
          <t>ด้านเศรษฐศาสตร์ (Economic Feasibility)</t>
        </is>
      </c>
      <c r="H5" s="24" t="inlineStr">
        <is>
          <t>ด้านเศรษฐศาสตร์ (Economic Feasibility)</t>
        </is>
      </c>
      <c r="I5" s="24" t="inlineStr">
        <is>
          <t>ด้านเศรษฐศาสตร์ (Economic Feasibility)</t>
        </is>
      </c>
      <c r="J5" s="24" t="inlineStr">
        <is>
          <t>ด้านกฎหมายและสถาบัน (Legal &amp; Institutional Feasibility)</t>
        </is>
      </c>
      <c r="K5" s="24" t="inlineStr">
        <is>
          <t>ด้านกฎหมายและสถาบัน (Legal &amp; Institutional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ด้านการปฏิบัติการ (Operational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ภาระการสร้างเองกับการเลือกซื้ออุปกรณ์สำเร็จรูป (COTS)</t>
        </is>
      </c>
      <c r="C6" s="26" t="inlineStr">
        <is>
          <t>Access (Tech Stack &amp; Ecosystem Permissions): สิทธิ์และการเข้าถึงสแตกเทคโนโลยีและระบบนิเวศน์</t>
        </is>
      </c>
      <c r="D6" s="26" t="inlineStr">
        <is>
          <t>Base Performance (Technology Readiness Level - TRL): ระดับความพร้อมและความเสถียรของเทคโนโลยีฐาน</t>
        </is>
      </c>
      <c r="E6" s="26" t="inlineStr">
        <is>
          <t>Team Compatibility (Manpower &amp; Skill Redundancy): ความเข้ากันได้ของทักษะทีมและความพร้อมทดแทน (SPOF)</t>
        </is>
      </c>
      <c r="F6" s="26" t="inlineStr">
        <is>
          <t>Learning Curve ("How much do we have to learn?"): เส้นทางการเรียนรู้และระยะเวลาปรับตัวของทีม</t>
        </is>
      </c>
      <c r="G6" s="26" t="inlineStr">
        <is>
          <t>ROI (Payback Period / Value Horizon): ระยะเวลาคืนทุนและกรอบความคุ้มค่าทางการเงิน</t>
        </is>
      </c>
      <c r="H6" s="26" t="inlineStr">
        <is>
          <t>Dependency of Component (Vendor Lock-in &amp; Reliability): การพึ่งพาผู้ขายภายนอกและความเสี่ยงการผูกขาด</t>
        </is>
      </c>
      <c r="I6" s="26" t="inlineStr">
        <is>
          <t>Scrap Margin (Safety Allowance for Blown ICs &amp; Iterations): สัดส่วนงบสำรองสำหรับความเสียหายและการทดลองซ้ำ</t>
        </is>
      </c>
      <c r="J6" s="26" t="inlineStr">
        <is>
          <t>Felony and Civil Law (Regulatory, Traffic &amp; Public Safety Compliance): ความสอดคล้องตามกฎหมายอาญา แพ่ง ระเบียบจราจร และความปลอดภัยสาธารณะ</t>
        </is>
      </c>
      <c r="K6" s="26" t="inlineStr">
        <is>
          <t>IP and Licensing: สิทธิ์ในทรัพย์สินทางปัญญาและการอนุญาตใช้งานซอฟต์แวร์/ฮาร์ดแวร์</t>
        </is>
      </c>
      <c r="L6" s="26" t="inlineStr">
        <is>
          <t>User — Failure Impact ("If it fails, how severe is the effect?"): ความรุนแรงของผลกระทบเมื่อระบบขัดข้องต่อผู้ใช้และสาธารณะ</t>
        </is>
      </c>
      <c r="M6" s="26" t="inlineStr">
        <is>
          <t>User — Behavior &amp; Problem-Solution Fit: ความสอดคล้องกับพฤติกรรมผู้ใช้และกระบวนการทำงานเดิม</t>
        </is>
      </c>
      <c r="N6" s="26" t="inlineStr">
        <is>
          <t>Developer — Contribution Dependency (Administrative &amp; Lab Gatekeeping): การพึ่งพาการอนุมัติและอุปสรรคการเข้าถึงห้องปฏิบัติการ/เครื่องมือ</t>
        </is>
      </c>
      <c r="O6" s="26" t="inlineStr">
        <is>
          <t>Developer — Complexity (Step Count &amp; Pipeline Friction): ความซับซ้อนของขั้นตอนการประกอบ ติดตั้ง และบิวด์ระบบ</t>
        </is>
      </c>
      <c r="P6" s="26" t="inlineStr">
        <is>
          <t>Production Time (Engineering Design Maturity by 5 Business Weeks): วุฒิภาวะของแบบทางวิศวกรรมและความพร้อมผลิตใน 5 สัปดาห์ทำการ</t>
        </is>
      </c>
      <c r="Q6" s="26" t="inlineStr">
        <is>
          <t>SDG-01: Public Impact vs. Academic Greenwashing (SDG 11.5 / 13.1): ผลกระทบเชิงประจักษ์ต่อสาธารณะกับการฟอกเขียวทางวิชาการ</t>
        </is>
      </c>
      <c r="R6" s="26" t="inlineStr">
        <is>
          <t>SDG-02: Environmental Footprint &amp; E-Waste ("Do No Harm" — SDG 6.3 / 12.4): ภาระสิ่งแวดล้อมและขยะอิเล็กทรอนิกส์ตามหลักไม่สร้างผลเสียซ้ำซ้อน</t>
        </is>
      </c>
      <c r="S6" s="26" t="inlineStr">
        <is>
          <t>SDG-03: Algorithmic Equity &amp; Decision Transparency (SDG 10.2 / 16.6): ความเป็นธรรมของอัลกอริทึมและความโปร่งใสในการตัดสินใจ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ประเมินภาระงานวิจัยและพัฒนาชิ้นส่วนฮาร์ดแวร์/เฟิร์มแวร์ว่าต้องสร้างขึ้นใหม่ตั้งแต่ศูนย์หรือใช้อุปกรณ์สำเร็จรูปมาตรฐาน เพื่อควบคุมความเสี่ยงด้านความผิดพลาดและระยะเวลาพัฒนา</t>
        </is>
      </c>
      <c r="C7" s="26" t="inlineStr">
        <is>
          <t>ประเมินข้อจำกัดในการเข้าถึงซอร์สโค้ด สิทธิ์การพัฒนา สิทธิ์การเชื่อมต่อระบบคลาวด์ และสิทธิ์ผู้ดูแลระบบ เพื่อป้องกันปัญหาติดล็อกระบบปิด (Walled Garden)</t>
        </is>
      </c>
      <c r="D7" s="26" t="inlineStr">
        <is>
          <t>ประเมินระดับความพร้อมของเทคโนโลยีต้นแบบ (TRL) ว่าอยู่ในระดับแล็บหรือผ่านการทดสอบภาคสนามจริงมาแล้ว เพื่อลดความเสี่ยงจากการนำเทคโนโลยีที่ยังไม่เสถียรมาใช้งาน</t>
        </is>
      </c>
      <c r="E7" s="26" t="inlineStr">
        <is>
          <t>ประเมินการกระจายทักษะทางเทคนิคและความเสี่ยงจากการมีผู้เชี่ยวชาญเพียงคนเดียว (Single Point of Failure: SPOF) หากสมาชิกหลักไม่อยู่ โครงการจะหยุดชะงักหรือไม่</t>
        </is>
      </c>
      <c r="F7" s="26" t="inlineStr">
        <is>
          <t>ประเมินช่องว่างทางความรู้และทักษะที่ทีมต้องเรียนรู้เพิ่มขึ้นเมื่อเทียบกับประสบการณ์เดิม ป้องกันปัญหางานสะดุดจากการติดขัดช่วงเริ่มต้นการเรียนรู้เทคโนโลยีใหม่</t>
        </is>
      </c>
      <c r="G7" s="26" t="inlineStr">
        <is>
          <t>ประเมินระยะเวลาในการคืนทุนและมูลค่าทางเศรษฐกิจที่ได้กลับคืนจากการลดความสูญเสียเมื่อเทียบกับเงินลงทุนเริ่มต้น (CapEx) และค่าใช้จ่ายดำเนินงาน (OpEx)</t>
        </is>
      </c>
      <c r="H7" s="26" t="inlineStr">
        <is>
          <t>ประเมินความเสี่ยงจากการพึ่งพาระบบคลาวด์เฉพาะ อะไหล่ผูกขาด หรือค่าธรรมเนียมรายปีที่ส่งผลกระทบต่องบประมาณระยะยาวและความยืดหยั่งของระบบ</t>
        </is>
      </c>
      <c r="I7" s="26" t="inlineStr">
        <is>
          <t>ประเมินความเพียงพอของงบประมาณสำรองสำหรับชิ้นส่วนที่อาจเสียหายระหว่างการทดสอบ (Burn-in/Debugging) ป้องกันโครงการหยุดชะงักเมื่ออุปกรณ์เสียหาย</t>
        </is>
      </c>
      <c r="J7" s="26" t="inlineStr">
        <is>
          <t>ประเมินความเสี่ยงต่อการละเมิดกฎหมาย พ.ร.บ. คุ้มครองข้อมูลส่วนบุคคล (PDPA) การรบกวนสัญญาณคลื่นวิทยุ (กสทช.) หรือการติดตั้งที่กีดขวางทางสัญจรและเสี่ยงต่ออันตรายสาธารณะ</t>
        </is>
      </c>
      <c r="K7" s="26" t="inlineStr">
        <is>
          <t>ประเมินข้อกำหนดด้านสัญญาอนุญาตสิทธิ์ (Software/Hardware Licenses) และความเสี่ยงต่อการละเมิดสิทธิบัตรหรือข้อจำกัดแบบไวรัสลิขสิทธิ์ (Viral Copyleft)</t>
        </is>
      </c>
      <c r="L7" s="26" t="inlineStr">
        <is>
          <t>ประเมินความรุนแรงของผลกระทบกรณีระบบล้มเหลว (System Failure) ต่อชีวิต ทรัพย์สิน และการปฏิบัติการฉุกเฉินของเจ้าหน้าที่ เพื่อป้องกันโหมดความล้มเหลวขั้นวิกฤต</t>
        </is>
      </c>
      <c r="M7" s="26" t="inlineStr">
        <is>
          <t>ประเมินแรงต้านทานในการเปลี่ยนแปลงขั้นตอนการทำงานของผู้ปฏิบัติงาน (Operational Resistance) และภาระงานเอกสารหรือการฝึกอบรมที่เพิ่มขึ้น</t>
        </is>
      </c>
      <c r="N7" s="26" t="inlineStr">
        <is>
          <t>ประเมินขั้นตอนความยุ่งยากทางธุรการ การขออนุญาตเข้าใช้สถานที่ และการเข้าถึงอุปกรณ์เครื่องมือในการพัฒนาว่ามีความคล่องตัวหรือถูกปิดกั้น</t>
        </is>
      </c>
      <c r="O7" s="26" t="inlineStr">
        <is>
          <t>ประเมินจำนวนขั้นตอนและความเปราะบางของกระบวนการบิวด์ ติดตั้ง และทดสอบระบบ เพื่อลดโอกาสเกิดข้อผิดพลาดจากมนุษย์ (Human Error)</t>
        </is>
      </c>
      <c r="P7" s="26" t="inlineStr">
        <is>
          <t>ประเมินความสมบูรณ์ของแบบวิศวกรรม (CAD, Schematics, PCB Gerber, Firmware) เทียบกับกรอบเวลา 5 สัปดาห์ทำการก่อนช่วงสอบและการส่งมอบชิ้นงาน</t>
        </is>
      </c>
      <c r="Q7" s="26" t="inlineStr">
        <is>
          <t>ประเมินว่าโครงการสร้างผลกระทบที่วัดผลได้จริงในการลดความสูญเสียจากภัยพิบัติหรือฟื้นฟูเมือง หรือเป็นเพียงข้ออ้างด้านความยั่งยืนเชิงสัญลักษณ์</t>
        </is>
      </c>
      <c r="R7" s="26" t="inlineStr">
        <is>
          <t>ประเมินวงจรชีวิตของอุปกรณ์ การปลดปล่อยสารพิษ ปัญหาขยะอิเล็กทรอนิกส์ (E-Waste) และการหลุดรอดของสารเคมีลงสู่แหล่งน้ำสาธารณะ</t>
        </is>
      </c>
      <c r="S7" s="26" t="inlineStr">
        <is>
          <t>ประเมินความโปร่งใสของตรรกะการตัดสินใจและเกณฑ์การตัดคัดกรองเคส เพื่อป้องกันการเลือกปฏิบัติหรือการเพิกเฉยต่อพื้นที่ชุมชนเปราะบาง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(100% custom R&amp;D required; custom mechanism, bare-metal schematics, custom algorithm derivation; no reference designs or libraries exist)
2: Heavy Customization (Core components exist, but requires extensive custom adaptation, structural machining, and custom wrapper code)
3: Hybrid / COTS Integration (Standard off-the-shelf breakout boards and modules assembled with custom brackets, intermediate wiring, and glue code)
4: Modular COTS Assembly (Pre-engineered building blocks with standard mounting and standard communication buses e.g. DIN-rail modules, I2C/CAN shields; minimal custom fabrication)
5: Buy and Use / COTS (Buy and deploy directly out of the box / Plug-and-Play; zero mechanical or electrical fabrication required)</t>
        </is>
      </c>
      <c r="C8" s="26" t="inlineStr">
        <is>
          <t>1: Strictly Restricted (Proprietary stack under NDA, locked enterprise firewalls, or unavailable developer licenses)
2: Limited Access (Closed binary blobs or third-party proprietary firmware; black-box operation with zero telemetry or source code)
3: Request-Based Access (Educational/evaluation tier with strict rate limits or quotas; requires formal request or approval delays)
4: Open Developer Access (Free public SDKs, full documentation, and open developer APIs, but core low-level architecture cannot be modified)
5: Full-Stack Access (Fully open source with permissive license and open hardware; team has root/admin rights to inspect, modify, and deploy as both user and developer)</t>
        </is>
      </c>
      <c r="D8" s="26" t="inlineStr">
        <is>
          <t>1: Proof of Concept (TRL 2–3: Bench breadboard, simulation, or pure mathematical model; verified only in controlled laboratory conditions)
2: Functional Breadboard (TRL 4: Integrated components working together in a lab; fragile wiring, uncalibrated for harsh field environments)
3: Alpha Prototype (TRL 5–6: Enclosed prototype tested in a relevant simulated environment; operational, but requires human supervision)
4: Beta / Field-Proven (TRL 7: Pre-production hardware operating reliably in the actual operating environment under real-world stress)
5: Commercial Product (TRL 8–9: Fully certified, production-grade commercial product with documented MTBF and mass field reliability)</t>
        </is>
      </c>
      <c r="E8" s="26" t="inlineStr">
        <is>
          <t>1: Single Point of Failure / SPOF (Only 1 person has the required skill; if they are unavailable, subsystem development halts 100%)
2: Solo Lead with Minimal Backup (1 core developer; 1 teammate understands basic concepts but cannot debug code or fix hardware alone)
3: Primary + Secondary Pair (1 primary lead and 1 competent secondary backup who can maintain, troubleshoot, and push updates)
4: Broad Competence (3+ teammates can actively design, assemble, and debug the subsystem with minimal ramp-up time)
5: Full Team Redundancy (All team members are fully proficient; tasks can be swapped across anyone with zero friction or velocity loss)</t>
        </is>
      </c>
      <c r="F8" s="26" t="inlineStr">
        <is>
          <t>1: Total Reset (Every step requires learning completely unfamiliar tools, languages, and hardware from scratch with zero prior baseline)
2: Steep Learning Curve (High theoretical understanding, but zero hands-on experience; debugging basic syntax or wiring stalls progress)
3: Moderate Ramp-up (Proven adjacent mastery e.g. Arduino/ESP32 moving to STM32, or SolidWorks to Fusion 360; manageable 1-week curve)
4: Minor Adaptation (Familiar tech stack; only requires learning a specific minor library, sensor API, or configuration syntax)
5: Zero Learning Curve (Team can deploy verified past code, existing toolchains, and established muscle memory directly; no new learning required)</t>
        </is>
      </c>
      <c r="G8" s="26" t="inlineStr">
        <is>
          <t>1: Long Payback (&gt;= 10 Years: High initial CapEx with minimal recurring savings; economically non-viable for rapid deployment)
2: Slow Return (6–9 Years: Substantial capital investment with a long break-even horizon; requires long-term subsidization)
3: Moderate Return (3–5 Years: Reasonable public infrastructure payback; offsets costs across multi-year operational cycles)
4: Fast Return (2–3 Years: Strong operational cost reduction in fuel, labor, scrap; breaks even within normal equipment lifecycle)
5: Immediate Payback (&lt;= 1–2 Years: Rapid break-even; eliminates major recurring operational losses within the first operating season)</t>
        </is>
      </c>
      <c r="H8" s="26" t="inlineStr">
        <is>
          <t>1: Total Vendor Lock-in (100% dependent on proprietary cloud backend, encrypted telemetry, and single-source proprietary connectors)
2: High Dependency (Hardware requires vendor-licensed diagnostic tools or annual subscription fees to maintain operation)
3: Semi-Independent (Core hardware relies on proprietary firmware, but allows open API export and standard electrical interfaces)
4: High Autonomy (Uses standard open communication protocols e.g. Modbus, MQTT, CAN; parts can be serviced using generic tools)
5: Complete Independence (100% open architecture; hardware is interchangeable with generic substitutes; self-serviceable by any engineer)</t>
        </is>
      </c>
      <c r="I8" s="26" t="inlineStr">
        <is>
          <t>1: Zero Buffer (0%: Exactly 1x BOM purchased; any fried chip, cracked bracket, or wiring mistake halts the project)
2: Fragile Buffer (20–30%: Spares only for passive components; no backup microcontrollers or expensive sensors)
3: Moderate Buffer (50%: Spares for all critical passive parts and 1 spare for the primary controller board)
4: High Buffer (80%: Spares for nearly every active component and sensor; can sustain multiple prototype burn-ins)
5: Full Redundancy (&gt;= 100%: Complete 2x BOM budget on hand; can build two complete working units simultaneously)</t>
        </is>
      </c>
      <c r="J8" s="26" t="inlineStr">
        <is>
          <t>1: Severe Violation / No Privilege (Direct breach of statutory law e.g. unconsented public surveillance/PDPA, hazardous road blockage, illegal RF transmission)
2: High Legal Exposure (Ambiguous legal zone; high risk of civic complaints or traffic disruption; requires complex technical waivers)
3: Conditional / Requires Permit (Permitted strictly under formal written approval, official agency MoU, or municipal permits)
4: Low Legal Friction (Operates within standard public engineering exemptions; simple standard notification/safety compliance needed)
5: 100% Free Domain (Fully exempt from statutory licensing; zero public safety risk, zero personal data/Zero PII, fully unrestricted)</t>
        </is>
      </c>
      <c r="K8" s="26" t="inlineStr">
        <is>
          <t>1: Closed Commercial Barrier (Proprietary commercial license; cannot compile, flash, or operate without paying expensive commercial seat licenses)
2: Ambiguous / Gray IP (Unclear licensing terms or unlicensed public repos; risk of copyright strike or IP dispute upon public demonstration)
3: Restrictive Open Source / Copyleft (Permitted for educational use, but viral licenses e.g. GPLv3 force your entire codebase to be made public if distributed)
4: Permissive Open Source (Open source with minimal conditions e.g. LGPL, CC-BY; allows proprietary wrapping with simple attribution)
5: Completely Permissive / Public Domain (Permissive open source e.g. MIT, Apache 2.0, BSD or Public Domain; unrestricted freedom to commercialize, modify, and contribute)</t>
        </is>
      </c>
      <c r="L8" s="26" t="inlineStr">
        <is>
          <t>1: Life-Threatening (Failure causes electrocution, fire, traffic collisions, toxic chemical exposure, or structural collapse)
2: Severe Physical Hazard (Equipment destroys itself, causes acute environmental contamination, or halts major emergency infrastructure)
3: Chaotic Response from User (Panic, operational deadlock, conflicting manual dispatches, and severe operational confusion)
4: Minor Operational Delay (System trips safely; requires a manual reboot or standard fallback procedure; no safety risk or chaos)
5: Benign Budget Loss Only (Failure causes zero human or operational harm; results only in minor, easily absorbed component/battery replacement costs)</t>
        </is>
      </c>
      <c r="M8" s="26" t="inlineStr">
        <is>
          <t>1: Disruptive Overhaul (Forces operators to abandon existing standard procedures, adds 5+ extra tedious forms, and faces active user rejection)
2: High Friction (Adds notable extra documentation or redundant verification steps; operators will actively look for ways to bypass it)
3: Moderate Adaptation (Modifies daily routines slightly; requires 1–2 training sessions, but delivers clear operational trade-offs)
4: Low Friction (Integrates directly into existing tools e.g. sends alerts to existing LINE/Telegram or ticketing dashboard; minimal habit changes)
5: Smooth Transient Operation (Zero workflow disruption; runs transparently in the background and automates existing manual paperwork seamlessly)</t>
        </is>
      </c>
      <c r="N8" s="26" t="inlineStr">
        <is>
          <t>1: Heavy Gatekeeping (Blocked by supervisor approvals, locked lab cabinets, NDA signatures, purchasing bureaucracy, and restricted git branches)
2: Moderate Bureaucracy (Requires departmental request forms, tool booking queues, and waiting 3–5 days for administrative sign-offs)
3: Standard Campus Access (Workable access during university open hours; minor approval delays for specialized equipment or lab keys)
4: High Autonomy (Team has full repository write access, open 24/7 lab entry, and pre-approved discretionary stipends for rapid purchases)
5: Frictionless Contribution (Complete autonomy; decentralized cloud CI/CD, local prototyping tools at home/bench, zero administrative blockers)</t>
        </is>
      </c>
      <c r="O8" s="26" t="inlineStr">
        <is>
          <t>1: Highly Convoluted (Dozens of fragile build steps, complex toolchain dependencies, and high probability of human error during setup)
2: High Complexity (Multi-stage manual toolchains; frequent dependency conflicts and difficult multi-board flashing procedures)
3: Moderate Complexity (Standard multi-step build/assembly pipeline; manageable and repeatable when following a documented checklist)
4: Low Complexity (Straightforward workflow using automated build scripts, standard IDEs, or single-command flashing)
5: Simple &amp; Direct (Plug-and-play, 1-step linear workflow; idiot-proof setup requiring zero multi-stage manual configuration)</t>
        </is>
      </c>
      <c r="P8" s="26" t="inlineStr">
        <is>
          <t>1: Concept Only (0% Design: Napkin sketches and verbal ideas; 0% CAD models, 0% schematics, 0% firmware written)
2: Rough Drafts (25% Design: Preliminary block diagrams, hand-drawn schematics, unverified parts list, rough 3D bounding boxes)
3: Intermediate Maturity (50% Design: Complete CAD assembly with untested clearances, schematic capture complete, draft firmware architecture mapped)
4: Pre-Production (75–80% Design: Detailed 3D CAD ready for 3D print/CNC, routed PCB Gerber files verified with DRC, pinouts locked down)
5: Fully Engineered Design (100% Production Ready: Complete manufacturing package: verified Gerbers, mechanical tolerance drawings, locked BOM, and flashing scripts ready)</t>
        </is>
      </c>
      <c r="Q8" s="26" t="inlineStr">
        <is>
          <t>1: Pure Buzzword / Greenwashing (Claims sustainability benefits with zero data, zero measurable effect, and solves no real municipal problem)
2: Superficial Correlation (Indirect impact; functions only as an isolated school demo with no realistic way to measure damage prevention)
3: Localized Proof (Delivers a measurable, verified benefit e.g. cuts response time or drops localized temperature on a single test strip, but lacks a scaling model)
4: District-Level Viability (Clear pathway to protect municipal infrastructure or reduce public losses across multiple roads/alleys during extreme weather)
5: Systemic City Resilience (Backed by concrete empirical data showing significant reduction in public economic losses, vehicle damage, or human hazard)</t>
        </is>
      </c>
      <c r="R8" s="26" t="inlineStr">
        <is>
          <t>1: Toxic Field Hazard (Enclosure degrades under UV, or unsealed batteries leak toxic chemicals and detach into the urban drainage network as marine litter)
2: Fragile Disposable Tech (Short operational lifespan; sensors foul or corrode within 2–3 weeks and are abandoned because retrieval is impractical)
3: Standard Field Footprint (Requires periodic battery replacement and creates standard electronic scrap, but uses basic tethering to prevent total hardware loss)
4: Low-Impact Enclosure (Solar-trickle or long-life low-power architecture; uses recyclable casing and redundant physical tethers e.g. dual stainless lanyards)
5: Fully Circular &amp; Zero Footprint (100% fail-safe retrieval design; uses non-toxic materials, consumes minimal public resources, and leaves zero field trace)</t>
        </is>
      </c>
      <c r="S8" s="26" t="inlineStr">
        <is>
          <t>1: Opaque Black Box (Proprietary or unexplained threshold that cancels dispatches or alters public services with zero explanation, risking neglect of vulnerable areas)
2: Ambiguous Logic (Decision rules are buried in messy heuristic code; field operators cannot explain to a citizen why an alert was triggered or suppressed)
3: Documented Internal Rules (Logic is documented on paper for engineers, but has no public audit trail or clear appeal mechanism if the sensor misreads)
4: Open Empirical Standards (Decisions are driven by transparent physical equations applied equally across all city zones)
5: 100% Auditable &amp; Equitable (Full tamper-evident digital audit trail; open logic accessible to officials and citizens, guaranteeing equal public protection regardless of district wealth)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5</v>
      </c>
      <c r="D9" s="29" t="n">
        <v>3</v>
      </c>
      <c r="E9" s="29" t="n">
        <v>3</v>
      </c>
      <c r="F9" s="29" t="n">
        <v>4</v>
      </c>
      <c r="G9" s="29" t="n">
        <v>2</v>
      </c>
      <c r="H9" s="29" t="n">
        <v>5</v>
      </c>
      <c r="I9" s="29" t="n">
        <v>3</v>
      </c>
      <c r="J9" s="29" t="n">
        <v>2</v>
      </c>
      <c r="K9" s="29" t="n">
        <v>5</v>
      </c>
      <c r="L9" s="29" t="n">
        <v>2</v>
      </c>
      <c r="M9" s="29" t="n">
        <v>2</v>
      </c>
      <c r="N9" s="29" t="n">
        <v>4</v>
      </c>
      <c r="O9" s="29" t="n">
        <v>4</v>
      </c>
      <c r="P9" s="29" t="n">
        <v>4</v>
      </c>
      <c r="Q9" s="29" t="n">
        <v>2</v>
      </c>
      <c r="R9" s="29" t="n">
        <v>3</v>
      </c>
      <c r="S9" s="29" t="n">
        <v>4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0.04</v>
      </c>
      <c r="C10" s="31" t="n">
        <v>0.04</v>
      </c>
      <c r="D10" s="31" t="n">
        <v>0.04</v>
      </c>
      <c r="E10" s="31" t="n">
        <v>0.04</v>
      </c>
      <c r="F10" s="31" t="n">
        <v>0.04</v>
      </c>
      <c r="G10" s="31" t="n">
        <v>0.0667</v>
      </c>
      <c r="H10" s="31" t="n">
        <v>0.0667</v>
      </c>
      <c r="I10" s="31" t="n">
        <v>0.06660000000000001</v>
      </c>
      <c r="J10" s="31" t="n">
        <v>0.075</v>
      </c>
      <c r="K10" s="31" t="n">
        <v>0.075</v>
      </c>
      <c r="L10" s="31" t="n">
        <v>0.05</v>
      </c>
      <c r="M10" s="31" t="n">
        <v>0.05</v>
      </c>
      <c r="N10" s="31" t="n">
        <v>0.05</v>
      </c>
      <c r="O10" s="31" t="n">
        <v>0.05</v>
      </c>
      <c r="P10" s="31" t="n">
        <v>0.15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solution-3.md ต้องประกอบระบบท่อส่งน้ำ โซลินอยด์วาล์ว หัวฉีดละอองน้ำ และเซนเซอร์วัดอุณหภูมิ IR เป็นการรวม COTS ทั่วไป</t>
        </is>
      </c>
      <c r="C12" s="26" t="inlineStr">
        <is>
          <t>solution-3.md ใช้เซนเซอร์ IR กล้องวัดความร้อน และระบบควบคุมอัตโนมัติแบบเปิด ทีมมีสิทธิ์ในการเข้าถึงและปรับแต่งได้ 100%</t>
        </is>
      </c>
      <c r="D12" s="26" t="inlineStr">
        <is>
          <t>solution-3.md วงจรวัดอุณหภูมิและควบคุมการเปิดปิดวาล์วพ่นละอองน้ำสามารถประกอบทดสอบในแล็บได้เสถียร (Alpha Prototype / TRL 5-6)</t>
        </is>
      </c>
      <c r="E12" s="26" t="inlineStr">
        <is>
          <t>fifa.md (ระบบท่อ/กลไก), due.md (วงจรขับโซลินอยด์วาล์ว), jk.md (การเขียนโปรแกรมควบคุม) มีทีมงานหลัก 3 คน</t>
        </is>
      </c>
      <c r="F12" s="26" t="inlineStr">
        <is>
          <t>solution-3.md การต่อวงจรขับโซลินอยด์วาล์วผ่านรีเลย์/MOSFET และอ่านเซนเซอร์ IR เป็นทักษะพื้นฐานที่ทีมมีความเชี่ยวชาญอยู่แล้ว</t>
        </is>
      </c>
      <c r="G12" s="26" t="inlineStr">
        <is>
          <t>solution-3.md Weak point ระบุว่า 'ต้องใช้พื้นที่ในปริมาณมากเพื่อทำให้เกิดผล' และมีค่าน้ำประปาต่อเนื่อง ให้ผลลดความร้อนเฉพาะจุด คืนทุนช้า 6-9 ปี</t>
        </is>
      </c>
      <c r="H12" s="26" t="inlineStr">
        <is>
          <t>solution-3.md อุปกรณ์หัวฉีด ท่อประปา และโซลินอยด์วาล์วสามารถหาซื้อได้ตามร้านวัสดุก่อสร้างทั่วไป ปราศจากการผูกขาด</t>
        </is>
      </c>
      <c r="I12" s="26" t="inlineStr">
        <is>
          <t>solution-3.md หัวฉีดละอองน้ำเสี่ยงต่อการอุดตันจากตะกรันน้ำ และโซลินอยด์วาล์วอาจไหม้หากเปิดค้าง งบประมาณสำรองรองรับ 50%</t>
        </is>
      </c>
      <c r="J12" s="26" t="inlineStr">
        <is>
          <t>solution-3.md Weak point ระบุว่า 'ต้องต่อท่อน้ำจากอาคารซึ่งอาจมีข้อจำกัดด้านสิทธิ์' และการพ่นน้ำบนทางเท้าเสี่ยงต่อคนเดินถนนลื่นล้ม (ละเมิด)</t>
        </is>
      </c>
      <c r="K12" s="26" t="inlineStr">
        <is>
          <t>solution-3.md ระบบรดน้ำอัตโนมัติตามอุณหภูมิและความชื้นเป็นเทคโนโลยีสาธารณะ ปราศจากปัญหาทรัพย์สินทางปัญญา</t>
        </is>
      </c>
      <c r="L12" s="26" t="inlineStr">
        <is>
          <t>solution-3.md หากโซลินอยด์วาล์วค้างปล่อยน้ำตลอดเวลา ทางเดินเท้าจะเปียกแฉะ ทำให้คนเดินถนนหรือมอเตอร์ไซค์ในซอยลื่นล้มได้รับบาดเจ็บ</t>
        </is>
      </c>
      <c r="M12" s="26" t="inlineStr">
        <is>
          <t>solution-3.md เจ้าของอาคารในซอยอาจไม่ยินยอมให้ต่อท่อน้ำหรือเจาะผนังติดตั้ง และประชาชนอาจรำคาญละอองน้ำหากพ่นโดนตัว</t>
        </is>
      </c>
      <c r="N12" s="26" t="inlineStr">
        <is>
          <t>solution-3.md สามารถประกอบและทดสอบระบบพ่นละอองน้ำกับก๊อกน้ำและบอร์ดควบคุมที่บ้านหรือแล็บได้โดยไม่ต้องขออนุมัติพิเศษ</t>
        </is>
      </c>
      <c r="O12" s="26" t="inlineStr">
        <is>
          <t>solution-3.md ขั้นตอนการต่อวงจรและเขียนโค้ดตรงไปตรงมา ไม่มีความซับซ้อนของทูลเชนหลายชั้น</t>
        </is>
      </c>
      <c r="P12" s="26" t="inlineStr">
        <is>
          <t>schedule.md โครงสร้างระบบไม่ซับซ้อน สามารถประกอบแท่นทดสอบ Bench PoC (TRL 3) ได้เสร็จสมบูรณ์ภายใน 5 สัปดาห์</t>
        </is>
      </c>
      <c r="Q12" s="26" t="inlineStr">
        <is>
          <t>solution-3.md Weak point ระบุว่าต้องใช้พื้นที่มากเพื่อเห็นผล การพ่นละอองน้ำในซอยลดความร้อนได้เฉพาะจุด ไม่สามารถแก้ปัญหา UHI ระดับเมืองได้จริง</t>
        </is>
      </c>
      <c r="R12" s="26" t="inlineStr">
        <is>
          <t>solution-3.md ใช้น้ำประปาในการพ่นระเหย ต้องระมัดระวังการสิ้นเปลืองทรัพยากรน้ำสะอาดในช่วงฤดูแล้ง</t>
        </is>
      </c>
      <c r="S12" s="26" t="inlineStr">
        <is>
          <t>solution-3.md ควบคุมการเปิดปิดน้ำด้วยเซนเซอร์วัดอุณหภูมิผิวคอนกรีต (&gt;45 °C) และระดับความชื้นอย่างโปร่งใส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ใช้ชุดหัวพ่นหมอกแรงดันต่ำและโซลินอยด์วาล์วประปาสำเร็จรูป</t>
        </is>
      </c>
      <c r="C13" s="26" t="inlineStr">
        <is>
          <t>เขียนโปรแกรมควบคุมบนไมโครคอนโทรลเลอร์ ESP32 ได้โดยตรง</t>
        </is>
      </c>
      <c r="D13" s="26" t="inlineStr">
        <is>
          <t>ทดสอบการเปิดปิดวาล์วซ้ำๆ 500 ครั้งเพื่อยืนยันความทนทาน</t>
        </is>
      </c>
      <c r="E13" s="26" t="inlineStr">
        <is>
          <t>Fifa ดูแลระบบท่อและหัวฉีด, Due ดูแลวงจรไฟฟ้า, JK ดูแลเงื่อนไขการทำงาน</t>
        </is>
      </c>
      <c r="F13" s="26" t="inlineStr">
        <is>
          <t>ใช้โค้ดควบคุม GPIO พื้นฐานร่วมกับไลบรารีเซนเซอร์ IR สำเร็จรูป</t>
        </is>
      </c>
      <c r="G13" s="26" t="inlineStr">
        <is>
          <t>คำนวณค่าน้ำประปาและค่าบำรุงรักษาหัวฉีดเทียบกับประโยชน์ที่ได้รับ</t>
        </is>
      </c>
      <c r="H13" s="26" t="inlineStr">
        <is>
          <t>เลือกใช้เกลียวท่อมาตรฐาน 4 หุน (1/2 นิ้ว) ที่หาอะไหล่ง่าย</t>
        </is>
      </c>
      <c r="I13" s="26" t="inlineStr">
        <is>
          <t>จัดซื้อหัวฉีดสำรองและไส้กรองตะกอนดักก่อนเข้าวาล์ว</t>
        </is>
      </c>
      <c r="J13" s="26" t="inlineStr">
        <is>
          <t>ทำบันทึกข้อตกลง (MOU) ยินยอมการใช้น้ำกับอาคาร และติดตั้งป้ายเตือนระวังพื้นลื่น</t>
        </is>
      </c>
      <c r="K13" s="26" t="inlineStr">
        <is>
          <t>เปิดเผยวงจรควบคุมเป็น Public Domain สำหรับการศึกษา</t>
        </is>
      </c>
      <c r="L13" s="26" t="inlineStr">
        <is>
          <t>ติดตั้งวาล์วแบบปิดอัตโนมัติเมื่อไฟดับ (Normally-Closed) และฟิวส์ตัดน้ำ</t>
        </is>
      </c>
      <c r="M13" s="26" t="inlineStr">
        <is>
          <t>เปลี่ยนเป้าหมายไปติดตั้งในพื้นที่สาธารณะของรัฐ เช่น ลานหน้าสำนักงานเขต</t>
        </is>
      </c>
      <c r="N13" s="26" t="inlineStr">
        <is>
          <t>ทดสอบการทำงานของระบบบนระเบียงหรือลานกลางแจ้งของคณะ</t>
        </is>
      </c>
      <c r="O13" s="26" t="inlineStr">
        <is>
          <t>จัดทำแผนผังการต่อสายไฟและไดอะแกรมท่อประปาฉบับเข้าใจง่าย</t>
        </is>
      </c>
      <c r="P13" s="26" t="inlineStr">
        <is>
          <t>จัดซื้ออุปกรณ์ทั้งหมดในสัปดาห์ที่ 9 เพื่อเริ่มประกอบทันที</t>
        </is>
      </c>
      <c r="Q13" s="26" t="inlineStr">
        <is>
          <t>เก็บข้อมูลอุณหภูมิเพื่อศึกษาผลกระทบเฉพาะจุลภูมิอากาศ (Microclimate)</t>
        </is>
      </c>
      <c r="R13" s="26" t="inlineStr">
        <is>
          <t>ตั้งระบบจำกัดการใช้น้ำไม่เกิน 10 ลิตรต่อชั่วโมงต่อจุด</t>
        </is>
      </c>
      <c r="S13" s="26" t="inlineStr">
        <is>
          <t>แสดงค่าอุณหภูมิและสถานะวาล์วบนหน้าจอดิจิทัลแบบเรียลไทม์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SUM(B11:F11)*20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SUM(G11:I11)*20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SUM(J11:K11)*20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SUM(L11:O11)*20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P11*20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2026-09-26T09:11:12Z</dcterms:created>
  <dcterms:modified xsi:type="dcterms:W3CDTF">2026-09-26T09:11:12Z</dcterms:modified>
</cp:coreProperties>
</file>