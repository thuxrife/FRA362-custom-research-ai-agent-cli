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165" fontId="18" fillId="6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Recession Rate (dh/dt) Predictive Filtering for QRT Dispatch (Ann Arbor Case)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7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      </is>
      </c>
      <c r="M5" s="7" t="inlineStr">
        <is>
      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      </is>
      </c>
      <c r="N5" s="7" t="inlineStr">
        <is>
          <t>พัฒนาโมดูลคำนวณ dh/dt บน Python/ROS 2 ร่วมกับ Screw Terminal Shield และออกแบบ Median Filter กรองสัญญาณผิวน้ำ</t>
        </is>
      </c>
      <c r="O5" s="11" t="n">
        <v>7.5</v>
      </c>
      <c r="P5" s="7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  <row r="6" ht="55" customHeight="1">
      <c r="A6" s="12" t="n">
        <v>2</v>
      </c>
      <c r="B6" s="13" t="inlineStr">
        <is>
          <t>Solution-2</t>
        </is>
      </c>
      <c r="C6" s="14" t="inlineStr">
        <is>
          <t>PUB Singapore CWOS 2-Factor Authentication Dispatch Filter</t>
        </is>
      </c>
      <c r="D6" s="8">
        <f>'Solution-2'!T9</f>
        <v/>
      </c>
      <c r="E6" s="15">
        <f>'Solution-2'!D17</f>
        <v/>
      </c>
      <c r="F6" s="15">
        <f>'Solution-2'!D18</f>
        <v/>
      </c>
      <c r="G6" s="15">
        <f>'Solution-2'!D19</f>
        <v/>
      </c>
      <c r="H6" s="15">
        <f>'Solution-2'!D20</f>
        <v/>
      </c>
      <c r="I6" s="15">
        <f>'Solution-2'!D21</f>
        <v/>
      </c>
      <c r="J6" s="15">
        <f>'Solution-2'!D22</f>
        <v/>
      </c>
      <c r="K6" s="16">
        <f>'Solution-2'!T12</f>
        <v/>
      </c>
      <c r="L6" s="14" t="inlineStr">
        <is>
          <t>สถาปัตยกรรมคลาวด์ซอฟต์แวร์ ตรวจสอบ 2 เงื่อนไข (Rain Radar + Telemetry) ตัดการส่งรถ QRT บน False Alarms ได้เด็ดขาด ค่าใช้จ่ายฮาร์ดแวร์เป็น 0</t>
        </is>
      </c>
      <c r="M6" s="14" t="inlineStr">
        <is>
          <t>การพึ่งพาข้อมูลเรดาร์ภายนอกมีความล่าช้า (Latency) และต้องทำข้อตกลงเข้าถึง API ข้อมูลสภาพอากาศและน้ำท่วม</t>
        </is>
      </c>
      <c r="N6" s="14" t="inlineStr">
        <is>
          <t>พัฒนาโมดูลเชื่อมต่อ API เรดาร์ของ TMD/กทม. และสร้างกลไก Fallback เมื่อสัญญาณ API ขาดหาย</t>
        </is>
      </c>
      <c r="O6" s="11" t="n">
        <v>5</v>
      </c>
      <c r="P6" s="14" t="inlineStr">
        <is>
      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Maintenance (UK/USA SL-RAT Case)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7" t="inlineStr">
        <is>
          <t>ใช้คลื่นเสียงทดสอบสภาพความสะอาดท่อระบายน้ำจากปากบ่อพักใน 3 นาที แบ่ง 3 Tiers (0-3, 4-6, 7-10) ตัดรอบล้างท่อที่ไม่จำเป็นได้ 60%</t>
        </is>
      </c>
      <c r="M7" s="7" t="inlineStr">
        <is>
          <t>การจัดหา Transducer ทนก๊าซ H2S ในงบจำกัด และความเสี่ยงอุบัติเหตุจราจรจากการเปิดฝาท่อพักบนถนน</t>
        </is>
      </c>
      <c r="N7" s="7" t="inlineStr">
        <is>
          <t>ใช้ลำโพงและไมค์มาตรฐาน COTS ร่วมกับซีลซิลิโคน และตั้งแนวกรวยจราจรความปลอดภัยตามระเบียบ</t>
        </is>
      </c>
      <c r="O7" s="11" t="n">
        <v>8.5</v>
      </c>
      <c r="P7" s="7" t="inlineStr">
        <is>
      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      </is>
      </c>
    </row>
    <row r="8" ht="55" customHeight="1">
      <c r="A8" s="12" t="n">
        <v>4</v>
      </c>
      <c r="B8" s="13" t="inlineStr">
        <is>
          <t>Solution-4</t>
        </is>
      </c>
      <c r="C8" s="14" t="inlineStr">
        <is>
          <t>Jakarta Drainage Pipe Telemetry &amp; Prioritized Flushing DSS</t>
        </is>
      </c>
      <c r="D8" s="8">
        <f>'Solution-4'!T9</f>
        <v/>
      </c>
      <c r="E8" s="15">
        <f>'Solution-4'!D17</f>
        <v/>
      </c>
      <c r="F8" s="15">
        <f>'Solution-4'!D18</f>
        <v/>
      </c>
      <c r="G8" s="15">
        <f>'Solution-4'!D19</f>
        <v/>
      </c>
      <c r="H8" s="15">
        <f>'Solution-4'!D20</f>
        <v/>
      </c>
      <c r="I8" s="15">
        <f>'Solution-4'!D21</f>
        <v/>
      </c>
      <c r="J8" s="15">
        <f>'Solution-4'!D22</f>
        <v/>
      </c>
      <c r="K8" s="16">
        <f>'Solution-4'!T12</f>
        <v/>
      </c>
      <c r="L8" s="14" t="inlineStr">
        <is>
          <t>โครงข่ายเซนเซอร์ IoT วัดระดับน้ำและความเร็วการไหลใต้ท่อระบายน้ำ วิเคราะห์ Hydraulic Gradient เพื่อจัดลำดับรถดูดโคลนล้างท่อล่วงหน้า</t>
        </is>
      </c>
      <c r="M8" s="14" t="inlineStr">
        <is>
          <t>การกัดกร่อนจากก๊าซ H2S ใต้ท่อระบายน้ำ และคราบไขมันเกาะหัววัดจนเสี่ยงต่อสัญญาณหลอก</t>
        </is>
      </c>
      <c r="N8" s="14" t="inlineStr">
        <is>
          <t>ใช้กล่อง IP68 เคลือบ Conformal Coating ป้องกันก๊าซ และกำหนดรอบฉีดล้างหัววัด</t>
        </is>
      </c>
      <c r="O8" s="11" t="n">
        <v>6.5</v>
      </c>
      <c r="P8" s="14" t="inlineStr">
        <is>
      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และโครงสร้างพื้นฐานของเมืองจากภัยพิบัติน้ำท่วมขังหรือสภาพอากาศแปรปรวน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ปลอดสารพิษ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และการเข้าถึงท่อระบายน้ำ สะพาน หรือทางระบายน้ำสาธารณะจำเป็นต้องมีหนังสือขออนุญาตและช่องทางประสานงานกับหน่วยงานท้องถิ่น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หรือบนทางสัญจรที่ไม่มีการกั้นพื้นที่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อุปกรณ์ที่ติดตั้งในทางน้ำต้องไม่กลายเป็นสาเหตุของมลพิษ หรือหลุดลอยไปสร้างปัญหาการอุดตันในระบบระบายน้ำเสียเอง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หรือลงไปในทางน้ำเชี่ยวลึกโดยไม่มีอุปกรณ์นิรภัยมาตรฐาน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ขั้นสูงสุดและต้องมีเจ้าหน้าที่กู้ภัยกำกับดูแลตลอดเวลา
3: มีความปลอดภัยปานกลาง ปฏิบัติงานได้เฉพาะจุดที่มีแนวกั้นชัดเจนหรือบนทางเท้าที่มีการปิดกั้นพื้นที่สัญจร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ออกแบบให้ติดตั้งและบำรุงรักษาจากบนผิวทางเท้าหรือสะพาน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หรืออาจส่งผลกระทบเชิงลบต่อระบบระบายน้ำและความปลอดภัยของเมือง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ช่วยลดระยะเวลาและผลกระทบของปัญหาน้ำท่วมบนถนนสายหลัก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อุปกรณ์มีความเสี่ยงสูงที่จะหลุดลอยกลายเป็นขยะอุดตันท่อ หรือปล่อยสารเคมี/โลหะหนักลงสู่แหล่งน้ำสาธารณะ (Fatal Flaw)
2: ใช้วัสดุที่เสื่อมสภาพและแตกหักง่าย เสี่ยงต่อการตกค้างในสภาพแวดล้อมหากเจอน้ำหลาก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4</v>
      </c>
      <c r="D9" s="27" t="n">
        <v>5</v>
      </c>
      <c r="E9" s="27" t="n">
        <v>3</v>
      </c>
      <c r="F9" s="27" t="n">
        <v>5</v>
      </c>
      <c r="G9" s="27" t="n">
        <v>5</v>
      </c>
      <c r="H9" s="27" t="n">
        <v>5</v>
      </c>
      <c r="I9" s="27" t="n">
        <v>5</v>
      </c>
      <c r="J9" s="27" t="n">
        <v>4</v>
      </c>
      <c r="K9" s="27" t="n">
        <v>4</v>
      </c>
      <c r="L9" s="27" t="n">
        <v>4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solution-1.md หน้า 2 เลือกใช้กล่องพักสายไฟสำเร็จรูปมาตรฐาน COTS IP67 ยึดด้วยแคลมป์สแตนเลส สอดคล้องกับ team-skills/fifa.md ที่เชี่ยวชาญการออกแบบระบบยึดจับและ due.md ที่เชี่ยวชาญ 3D CAD</t>
        </is>
      </c>
      <c r="C12" s="24" t="inlineStr">
        <is>
          <t>อ้างอิง team-skills/due.md ที่มีประสบการณ์ Custom PCB และ ESP32 Low-power และ team-skills/jk.md ที่เข้าใจฟิสิกส์เซนเซอร์ วงจรเชื่อมต่อผ่าน Screw Terminal Shield มี Diode ป้องกันไฟย้อน</t>
        </is>
      </c>
      <c r="D12" s="24" t="inlineStr">
        <is>
          <t>อ้างอิง solution-1.md Requirements a: คำนวณอัตราน้ำลด dh/dt เทียบกับเวลาเดินทาง 20-30 นาที อ้างอิง team-skills/jk.md เชี่ยวชาญสมการอนุพันธ์ (Differential Equations) และ Python/ROS 2 คำนวณเสร็จในระดับมิลลิวินาที (≤ 100 ms)</t>
        </is>
      </c>
      <c r="E12" s="24" t="inlineStr">
        <is>
          <t>อ้างอิง solution-1.md Constraints a: เซนเซอร์ Ultrasonic กลางแจ้งจะเจอปัญหาฟองคลื่นน้ำและละอองฝนตีกลับรุนแรง ทำให้อนุพันธ์ dh/dt แกว่งตัว (Derivative Kick) ต้องอาศัยการกรองที่ซับซ้อน ได้คะแนนระดับ 3</t>
        </is>
      </c>
      <c r="F12" s="24" t="inlineStr">
        <is>
          <t>อ้างอิง solution-1.md BOM รายการอุปกรณ์: เซนเซอร์ Ultrasonic, ESP32, กล่อง IP67, แคลมป์ยึด รวมประมาณ 2,800 บาท ต่ำกว่าเพดาน 3,500 บาท</t>
        </is>
      </c>
      <c r="G12" s="24" t="inlineStr">
        <is>
          <t>งบประมาณ 2,800 บาท สามารถจัดซื้ออุปกรณ์หลักครบ 2 ชุด (100% Duplication) ภายใต้กรอบงบประมาณรวม 5,000 บาท</t>
        </is>
      </c>
      <c r="H12" s="24" t="inlineStr">
        <is>
          <t>อ้างอิง solution-1.md Benefits: ตัด Empty Cases ได้ 40-50% ประหยัดค่าน้ำมันรถ QRT และค่าแรงเจ้าหน้าที่ คืนทุนได้ภายในฤดูฝนเดียว</t>
        </is>
      </c>
      <c r="I12" s="24" t="inlineStr">
        <is>
          <t>ไม่ใช้กล้องบันทึกภาพบุคคล (Zero PII) ปลอดจากการละเมิด พ.ร.บ. คุ้มครองข้อมูลส่วนบุคคล (PDPA) 100% และติดตั้งบนราวสะพานปลอดภัยตามมาตรฐานทางวิศวกรรม</t>
        </is>
      </c>
      <c r="J12" s="24" t="inlineStr">
        <is>
          <t>ใช้โมดูล WiFi/433MHz ที่ผ่านการรับรองมาตรฐาน กสทช. อ้างอิง team-skills/jk.md ที่มีทักษะและเครือข่ายพร้อมประสานงานขออนุญาตพื้นที่ทดสอบผ่านหนังสือราชการของมหาวิทยาลัย</t>
        </is>
      </c>
      <c r="K12" s="24" t="inlineStr">
        <is>
          <t>อ้างอิง solution-1.md Features: สร้าง Digital Evidence Card กราฟแนวโน้ม dh/dt และ Timestamp แนบลง Traffy Fondue ได้ใน 5 วินาที</t>
        </is>
      </c>
      <c r="L12" s="24" t="inlineStr">
        <is>
          <t>ระบบออกแบบเป็น Plug-and-Play มีคู่มือการติดตั้งภาคสนามชัดเจน สามารถบำรุงรักษาได้ด้วยเครื่องมือช่างทั่วไป</t>
        </is>
      </c>
      <c r="M12" s="24" t="inlineStr">
        <is>
          <t>ติดตั้งบนราวสะพานหรือทางเท้า ปลอดภัย 100% ออกแบบให้ติดตั้งและบำรุงรักษาจากด้านบน ไม่มีการลงพื้นที่อับอากาศ (Zero Confined Space)</t>
        </is>
      </c>
      <c r="N12" s="24" t="inlineStr">
        <is>
          <t>อ้างอิง schedule-details/schedule.md: สถาปัตยกรรมแยกส่วน ฮาร์ดแวร์และซอฟต์แวร์พัฒนาคู่ขนาน มี Buffer Time 3-4 สัปดาห์ ดูดซับช่วงสอบได้สบาย</t>
        </is>
      </c>
      <c r="O12" s="24" t="inlineStr">
        <is>
          <t>ต้นแบบผสานการทำงานระหว่างเซนเซอร์และการคำนวณ dh/dt บน ROS 2 เสร็จสมบูรณ์พร้อมทดสอบในสภาวะจำลองก่อนสัปดาห์ที่ 9</t>
        </is>
      </c>
      <c r="P12" s="24" t="inlineStr">
        <is>
          <t>ชิ้นส่วน COTS ทั้งหมดมีจำหน่ายในประเทศ จัดส่งถึงมือได้ภายใน 2-4 วันทำการ</t>
        </is>
      </c>
      <c r="Q12" s="24" t="inlineStr">
        <is>
          <t>สอดคล้องกับ SDG 11.5 และ 13.1 ชัดเจน ช่วยลดระยะเวลาและผลกระทบของปัญหาน้ำท่วมบนถนนสายหลัก</t>
        </is>
      </c>
      <c r="R12" s="24" t="inlineStr">
        <is>
          <t>ใช้วัสดุปลอดสารพิษ มีสลิงนิรภัยสองชั้น (Dual Lanyard) ปลอดภัยต่อระบบนิเวศน้ำ ไม่หลุดลอยเป็นขยะ สอดคล้องกับ SDG 6.3 และ 12.4</t>
        </is>
      </c>
      <c r="S12" s="24" t="inlineStr">
        <is>
          <t>ตรรกะคำนวณตามหลักการทางชลศาสตร์ที่โปร่งใส มี Audit Trail บันทึกประวัติการตัดสินใจ ตรวจสอบย้อนหลังได้ทุกกรณี สอดคล้องกับ SDG 10.2 และ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ใช้กล่องพักสายไฟมาตรฐาน IP67 พร้อมแคลมป์รัดท่อสำเร็จรูป</t>
        </is>
      </c>
      <c r="C13" s="24" t="inlineStr">
        <is>
          <t>ใช้ Screw Terminal Expansion Shield ป้องกันไฟกระชาก</t>
        </is>
      </c>
      <c r="D13" s="24" t="inlineStr">
        <is>
          <t>ทดสอบสมการ dh/dt ด้วยข้อมูลจำลองน้ำฝนของ กทม.</t>
        </is>
      </c>
      <c r="E13" s="24" t="inlineStr">
        <is>
          <t>ใส่ฮูดกำบังเซนเซอร์และใช้ Median Filter กรองคลื่นผิวน้ำ</t>
        </is>
      </c>
      <c r="F13" s="24" t="inlineStr">
        <is>
          <t>เลือกใช้เซนเซอร์ COTS เกรดมาตรฐานที่หาซื้อได้ทั่วไป</t>
        </is>
      </c>
      <c r="G13" s="24" t="inlineStr">
        <is>
          <t>สำรองเซนเซอร์ Ultrasonic และบอร์ด ESP32 สำรอง 1 ชุด</t>
        </is>
      </c>
      <c r="H13" s="24" t="inlineStr">
        <is>
          <t>สรุปรายงานเปรียบเทียบสถิติรอบการวิ่งของรถ QRT</t>
        </is>
      </c>
      <c r="I13" s="24" t="inlineStr">
        <is>
          <t>ยืนยันการไม่ใช้กล้องตรวจจับภาพบุคคลในทุกจุด</t>
        </is>
      </c>
      <c r="J13" s="24" t="inlineStr">
        <is>
          <t>จัดเตรียมร่างหนังสือขอความอนุเคราะห์ติดตั้งผ่านมหาวิทยาลัย</t>
        </is>
      </c>
      <c r="K13" s="24" t="inlineStr">
        <is>
          <t>สร้างเทมเพลต Digital Evidence Card เป็นไฟล์ภาพอัตโนมัติ</t>
        </is>
      </c>
      <c r="L13" s="24" t="inlineStr">
        <is>
          <t>จัดทำคู่มือ Quick Start Guide หน้างาน 1 หน้า</t>
        </is>
      </c>
      <c r="M13" s="24" t="inlineStr">
        <is>
          <t>กำหนดขั้นตอนการปฏิบัติงานโดยห้ามลงไปในท่อระบายน้ำโดยเด็ดขาด</t>
        </is>
      </c>
      <c r="N13" s="24" t="inlineStr">
        <is>
          <t>ล็อกฟังก์ชันหลักก่อนสัปดาห์สอบ 2 สัปดาห์</t>
        </is>
      </c>
      <c r="O13" s="24" t="inlineStr">
        <is>
          <t>ทดสอบสมการ dh/dt บนข้อมูลย้อนหลังให้ผ่านก่อนเริ่มต่อวงจร</t>
        </is>
      </c>
      <c r="P13" s="24" t="inlineStr">
        <is>
          <t>สั่งซื้อชิ้นส่วนล่วงหน้าตั้งแต่วันแรกของโครงการ</t>
        </is>
      </c>
      <c r="Q13" s="24" t="inlineStr">
        <is>
          <t>บันทึกตัวชี้วัดระยะเวลาน้ำลดเทียบกับการไม่ใช้ระบบ</t>
        </is>
      </c>
      <c r="R13" s="24" t="inlineStr">
        <is>
          <t>ตรวจสอบจุดยึดสายสลิงนิรภัยทุก 30 วัน</t>
        </is>
      </c>
      <c r="S13" s="24" t="inlineStr">
        <is>
          <t>เปิดเผยตรรกะการคำนวณ dh/dt ในเอกสารโครงงาน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7.5</v>
      </c>
      <c r="C28" s="24" t="inlineStr">
        <is>
          <t>เซนเซอร์วัดระดับน้ำและอัตราการไหล (Ultrasonic/Pressure) พร้อมอัลกอริทึมกรองสัญญาณคลื่นผิวน้ำ (Low-pass &amp; Median Filter)</t>
        </is>
      </c>
      <c r="D28" s="24" t="inlineStr">
        <is>
      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      </is>
      </c>
      <c r="E28" s="24" t="inlineStr">
        <is>
          <t>ระดับต่ำ: ไม่มีระบบกลไกเคลื่อนที่ (Manipulator หรือ Mobile Chassis) เป็นระบบตัดสินใจแบบ Cyber-Physical Monitoring &amp; Edge-DSS</t>
        </is>
      </c>
      <c r="F28" s="24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PUB Singapore CWOS 2-Factor Authentication Dispatch Filter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และโครงสร้างพื้นฐานของเมืองจากภัยพิบัติน้ำท่วมขังหรือสภาพอากาศแปรปรวน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ปลอดสารพิษ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และการเข้าถึงท่อระบายน้ำ สะพาน หรือทางระบายน้ำสาธารณะจำเป็นต้องมีหนังสือขออนุญาตและช่องทางประสานงานกับหน่วยงานท้องถิ่น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หรือบนทางสัญจรที่ไม่มีการกั้นพื้นที่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อุปกรณ์ที่ติดตั้งในทางน้ำต้องไม่กลายเป็นสาเหตุของมลพิษ หรือหลุดลอยไปสร้างปัญหาการอุดตันในระบบระบายน้ำเสียเอง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หรือลงไปในทางน้ำเชี่ยวลึกโดยไม่มีอุปกรณ์นิรภัยมาตรฐาน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ขั้นสูงสุดและต้องมีเจ้าหน้าที่กู้ภัยกำกับดูแลตลอดเวลา
3: มีความปลอดภัยปานกลาง ปฏิบัติงานได้เฉพาะจุดที่มีแนวกั้นชัดเจนหรือบนทางเท้าที่มีการปิดกั้นพื้นที่สัญจร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ออกแบบให้ติดตั้งและบำรุงรักษาจากบนผิวทางเท้าหรือสะพาน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หรืออาจส่งผลกระทบเชิงลบต่อระบบระบายน้ำและความปลอดภัยของเมือง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ช่วยลดระยะเวลาและผลกระทบของปัญหาน้ำท่วมบนถนนสายหลัก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อุปกรณ์มีความเสี่ยงสูงที่จะหลุดลอยกลายเป็นขยะอุดตันท่อ หรือปล่อยสารเคมี/โลหะหนักลงสู่แหล่งน้ำสาธารณะ (Fatal Flaw)
2: ใช้วัสดุที่เสื่อมสภาพและแตกหักง่าย เสี่ยงต่อการตกค้างในสภาพแวดล้อมหากเจอน้ำหลาก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5</v>
      </c>
      <c r="D9" s="27" t="n">
        <v>3</v>
      </c>
      <c r="E9" s="27" t="n">
        <v>5</v>
      </c>
      <c r="F9" s="27" t="n">
        <v>5</v>
      </c>
      <c r="G9" s="27" t="n">
        <v>5</v>
      </c>
      <c r="H9" s="27" t="n">
        <v>5</v>
      </c>
      <c r="I9" s="27" t="n">
        <v>5</v>
      </c>
      <c r="J9" s="27" t="n">
        <v>4</v>
      </c>
      <c r="K9" s="27" t="n">
        <v>5</v>
      </c>
      <c r="L9" s="27" t="n">
        <v>5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เป็นระบบ Pure Software/Cloud ไม่จำเป็นต้องติดตั้งโครงสร้างทางกายภาพกลางแจ้ง ปลอดจากปัญหาความทนทานต่อสภาพอากาศ 100%</t>
        </is>
      </c>
      <c r="C12" s="24" t="inlineStr">
        <is>
          <t>รันบนโครงสร้างพื้นฐานเซิร์ฟเวอร์/คลาวด์ มีเสถียรภาพสูง ปราศจากปัญหาความร้อนสะสมหรือการรบกวนทางแม่เหล็กไฟฟ้าหน้างาน</t>
        </is>
      </c>
      <c r="D12" s="24" t="inlineStr">
        <is>
          <t>อ้างอิง solution-2.md Constraints b: การพึ่งพาข้อมูลเรดาร์ฝนภายนอกผ่าน API มีปัญหาเรื่อง Latency และความละเอียดเชิงพื้นที่ (Spatial Resolution) ต่ำกว่าระดับซอย จึงปรับตัวตามพลวัตพื้นที่แคบได้จำกัด ได้คะแนนระดับ 3</t>
        </is>
      </c>
      <c r="E12" s="24" t="inlineStr">
        <is>
          <t>ข้อมูลทั้งหมดได้จาก API มาตรฐานของหน่วยงานภาครัฐ ไม่มีการสัมผัสกับคราบไขมัน ตะกอน หรือสิ่งรบกวนทางกายภาพในท่อ</t>
        </is>
      </c>
      <c r="F12" s="24" t="inlineStr">
        <is>
          <t>ต้นทุนฮาร์ดแวร์เป็น 0 บาท มีเฉพาะค่าบริการคลาวด์และ API ขนาดเล็ก ต่ำกว่า 1,500 บาท</t>
        </is>
      </c>
      <c r="G12" s="24" t="inlineStr">
        <is>
          <t>สถาปัตยกรรมซอฟต์แวร์สามารถสำรองและจำลองข้อมูลได้ไม่จำกัด (Redundancy 100%)</t>
        </is>
      </c>
      <c r="H12" s="24" t="inlineStr">
        <is>
          <t>ตัดรอบการส่งรถ QRT บนการเตือนหลอกได้มากกว่า 40% ประหยัดค่าน้ำมันและค่าแรงได้มหาศาล คืนทุนได้ทันที</t>
        </is>
      </c>
      <c r="I12" s="24" t="inlineStr">
        <is>
          <t>ไม่ประมวลผลข้อมูลส่วนบุคคลของประชาชน (Zero PII) สอดคล้องกับ พ.ร.บ. คุ้มครองข้อมูลส่วนบุคคล (PDPA) 100%</t>
        </is>
      </c>
      <c r="J12" s="24" t="inlineStr">
        <is>
          <t>ต้องประสานงานขอสิทธิ์การเชื่อมต่อ API เรดาร์ตรวจฝนกับสำนักการระบายน้ำ กทม. หรือกรมอุตุนิยมวิทยา</t>
        </is>
      </c>
      <c r="K12" s="24" t="inlineStr">
        <is>
          <t>สร้าง Digital Audit Trail บันทึกค่าเรดาร์และระดับน้ำ พร้อมออกบัตรตรวจสอบยืนยันก่อนสั่งจ่ายงานเจ้าหน้าที่</t>
        </is>
      </c>
      <c r="L12" s="24" t="inlineStr">
        <is>
          <t>แสดงผลผ่าน Web Dashboard ที่ใช้งานง่าย กดปุ่มยืนยันคำสั่งได้ใน 1 คลิก</t>
        </is>
      </c>
      <c r="M12" s="24" t="inlineStr">
        <is>
          <t>ปฏิบัติการในห้องควบคุม (Control Room) ปลอดภัย 100% ปราศจากความเสี่ยงต่อชีวิตหน้างาน</t>
        </is>
      </c>
      <c r="N12" s="24" t="inlineStr">
        <is>
          <t>งานซอฟต์แวร์แบ่งเป็น Sprint ชัดเจน มี Buffer Time 3-4 สัปดาห์</t>
        </is>
      </c>
      <c r="O12" s="24" t="inlineStr">
        <is>
          <t>ระบบทดสอบการรับส่งข้อมูลผ่าน Mock API และผสานการทำงานได้จริงภายในสัปดาห์ที่ 9</t>
        </is>
      </c>
      <c r="P12" s="24" t="inlineStr">
        <is>
          <t>ไม่ต้องรอการจัดส่งชิ้นส่วนฮาร์ดแวร์ ระยะเวลาจัดหาอุปกรณ์เท่ากับ 0 วัน</t>
        </is>
      </c>
      <c r="Q12" s="24" t="inlineStr">
        <is>
          <t>ช่วยจัดสรรกำลังพลรับมือน้ำท่วมขังเมืองได้อย่างแม่นยำ สอดคล้องกับ SDG 11.5</t>
        </is>
      </c>
      <c r="R12" s="24" t="inlineStr">
        <is>
          <t>ไม่มีการติดตั้งอุปกรณ์ในแหล่งน้ำ ไม่สร้างมลพิษหรือขยะตกค้าง สอดคล้องกับ SDG 6.3</t>
        </is>
      </c>
      <c r="S12" s="24" t="inlineStr">
        <is>
          <t>ตรรกะการคัดกรอง 2 ปัจจัยมีความโปร่งใส ตรวจสอบย้อนหลังได้ทุกคำสั่ง สอดคล้องกับ SDG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ใช้บริการคลาวด์สำเร็จรูป</t>
        </is>
      </c>
      <c r="C13" s="24" t="inlineStr">
        <is>
          <t>รันบนเครื่องเซิร์ฟเวอร์เสมือนขนาดเล็ก</t>
        </is>
      </c>
      <c r="D13" s="24" t="inlineStr">
        <is>
          <t>ใช้ข้อมูลเรดาร์แบบสำรองกรณี API หลักล่าช้า</t>
        </is>
      </c>
      <c r="E13" s="24" t="inlineStr">
        <is>
          <t>ทำระบบตรวจสอบความสมบูรณ์ของแพ็กเกจข้อมูล API</t>
        </is>
      </c>
      <c r="F13" s="24" t="inlineStr">
        <is>
          <t>ใช้ Free Tier ของบริการคลาวด์</t>
        </is>
      </c>
      <c r="G13" s="24" t="inlineStr">
        <is>
          <t>ทำระบบสำรองข้อมูลบน GitHub Repository</t>
        </is>
      </c>
      <c r="H13" s="24" t="inlineStr">
        <is>
          <t>สรุปสถิติรอบการแจ้งเตือนที่ถูกกรองออก</t>
        </is>
      </c>
      <c r="I13" s="24" t="inlineStr">
        <is>
          <t>จัดทำเอกสารรับรองการไม่เก็บข้อมูลส่วนบุคคล</t>
        </is>
      </c>
      <c r="J13" s="24" t="inlineStr">
        <is>
          <t>ใช้ข้อมูลเรดาร์แบบสาธารณะที่เปิดให้ดาวน์โหลด</t>
        </is>
      </c>
      <c r="K13" s="24" t="inlineStr">
        <is>
          <t>สร้าง Webhook ส่งการแจ้งเตือนไปยัง LINE Notify หรือ Telegram</t>
        </is>
      </c>
      <c r="L13" s="24" t="inlineStr">
        <is>
          <t>ออกแบบ UI แบบ Minimal ให้เจ้าหน้าที่ใช้งานง่าย</t>
        </is>
      </c>
      <c r="M13" s="24" t="inlineStr">
        <is>
          <t>ปฏิบัติงานในอาคาร 100%</t>
        </is>
      </c>
      <c r="N13" s="24" t="inlineStr">
        <is>
          <t>จำลองข้อมูลฝนสังเคราะห์ในการทดสอบล่วงหน้า</t>
        </is>
      </c>
      <c r="O13" s="24" t="inlineStr">
        <is>
          <t>ทำระบบจำลอง API เสร็จก่อนสัปดาห์ที่ 7</t>
        </is>
      </c>
      <c r="P13" s="24" t="inlineStr">
        <is>
          <t>เริ่มพัฒนาซอฟต์แวร์ทันทีในสัปดาห์ที่ 1</t>
        </is>
      </c>
      <c r="Q13" s="24" t="inlineStr">
        <is>
          <t>ติดตามผลการลดเวลาเดินทางสูญเปล่าของเจ้าหน้าที่</t>
        </is>
      </c>
      <c r="R13" s="24" t="inlineStr">
        <is>
          <t>ไม่ใช้ฮาร์ดแวร์กายภาพ</t>
        </is>
      </c>
      <c r="S13" s="24" t="inlineStr">
        <is>
          <t>บันทึกประวัติการตัดสินใจลงฐานข้อมูลแบบ Audit Trail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5</v>
      </c>
      <c r="C28" s="24" t="inlineStr">
        <is>
          <t>การดึงข้อมูลจากระบบภายนอก (API เรดาร์ตรวจฝนและเกจระดับน้ำ) ขาดการเชื่อมต่อทางฟิสิกส์กับ Hardware Sensor โดยตรง</t>
        </is>
      </c>
      <c r="D28" s="24" t="inlineStr">
        <is>
          <t>ตรรกะแบบ Rule-based Decision Engine และ Cross-correlation สองปัจจัย (ไม่มีวงรอบปิด Closed-loop Feedback Control เชิงฟิสิกส์)</t>
        </is>
      </c>
      <c r="E28" s="24" t="inlineStr">
        <is>
          <t>ไม่มี: เป็นระบบ Pure Software / Cloud Dashboard / Webhook Dispatch</t>
        </is>
      </c>
      <c r="F28" s="24" t="inlineStr">
        <is>
      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Acoustic Sewer Measurement &amp; Pre-Screening Maintenance (UK/USA SL-RAT Case)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และโครงสร้างพื้นฐานของเมืองจากภัยพิบัติน้ำท่วมขังหรือสภาพอากาศแปรปรวน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ปลอดสารพิษ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และการเข้าถึงท่อระบายน้ำ สะพาน หรือทางระบายน้ำสาธารณะจำเป็นต้องมีหนังสือขออนุญาตและช่องทางประสานงานกับหน่วยงานท้องถิ่น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หรือบนทางสัญจรที่ไม่มีการกั้นพื้นที่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อุปกรณ์ที่ติดตั้งในทางน้ำต้องไม่กลายเป็นสาเหตุของมลพิษ หรือหลุดลอยไปสร้างปัญหาการอุดตันในระบบระบายน้ำเสียเอง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หรือลงไปในทางน้ำเชี่ยวลึกโดยไม่มีอุปกรณ์นิรภัยมาตรฐาน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ขั้นสูงสุดและต้องมีเจ้าหน้าที่กู้ภัยกำกับดูแลตลอดเวลา
3: มีความปลอดภัยปานกลาง ปฏิบัติงานได้เฉพาะจุดที่มีแนวกั้นชัดเจนหรือบนทางเท้าที่มีการปิดกั้นพื้นที่สัญจร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ออกแบบให้ติดตั้งและบำรุงรักษาจากบนผิวทางเท้าหรือสะพาน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หรืออาจส่งผลกระทบเชิงลบต่อระบบระบายน้ำและความปลอดภัยของเมือง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ช่วยลดระยะเวลาและผลกระทบของปัญหาน้ำท่วมบนถนนสายหลัก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อุปกรณ์มีความเสี่ยงสูงที่จะหลุดลอยกลายเป็นขยะอุดตันท่อ หรือปล่อยสารเคมี/โลหะหนักลงสู่แหล่งน้ำสาธารณะ (Fatal Flaw)
2: ใช้วัสดุที่เสื่อมสภาพและแตกหักง่าย เสี่ยงต่อการตกค้างในสภาพแวดล้อมหากเจอน้ำหลาก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4</v>
      </c>
      <c r="C9" s="27" t="n">
        <v>4</v>
      </c>
      <c r="D9" s="27" t="n">
        <v>4</v>
      </c>
      <c r="E9" s="27" t="n">
        <v>4</v>
      </c>
      <c r="F9" s="27" t="n">
        <v>3</v>
      </c>
      <c r="G9" s="27" t="n">
        <v>4</v>
      </c>
      <c r="H9" s="27" t="n">
        <v>4</v>
      </c>
      <c r="I9" s="27" t="n">
        <v>4</v>
      </c>
      <c r="J9" s="27" t="n">
        <v>4</v>
      </c>
      <c r="K9" s="27" t="n">
        <v>4</v>
      </c>
      <c r="L9" s="27" t="n">
        <v>4</v>
      </c>
      <c r="M9" s="27" t="n">
        <v>3</v>
      </c>
      <c r="N9" s="27" t="n">
        <v>4</v>
      </c>
      <c r="O9" s="27" t="n">
        <v>4</v>
      </c>
      <c r="P9" s="27" t="n">
        <v>4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ท่อส่ง-รับคลื่นเสียงผลิตด้วย 3D Printing (PETG) ซีลโอริงและฝาครอบกันน้ำระดับ IP67 ยึดกับแกนหย่อน COTS แข็งแรงทนทาน</t>
        </is>
      </c>
      <c r="C12" s="24" t="inlineStr">
        <is>
          <t>วงจรกำเนิดสัญญาณเสียง Chirp และภาคขยายแอนะล็อกมี Diode และวงจรแยกสัญญาณ ป้องกันการรบกวนของคลื่นแม่เหล็กไฟฟ้า</t>
        </is>
      </c>
      <c r="D12" s="24" t="inlineStr">
        <is>
          <t>อัลกอริทึม FFT วิเคราะห์การลดทอนของคลื่นเสียง (Acoustic Attenuation) ประมวลผลเสร็จสิ้นภายใน 3 วินาที</t>
        </is>
      </c>
      <c r="E12" s="24" t="inlineStr">
        <is>
          <t>คลื่นเสียงไม่ได้รับผลกระทบจากคราบไขมันบนผนังท่อ ฮูดกำบังรูปกรวยช่วยป้องกันละอองน้ำกระเซ็นเข้าหัวไมค์ได้ดี</t>
        </is>
      </c>
      <c r="F12" s="24" t="inlineStr">
        <is>
          <t>อ้างอิง solution-3.md Constraints a: หากต้องการ Transducer และ Microphone ที่ทนก๊าซ H2S และความชื้นอิ่มตัวในท่อ งบ 3,500-5,000 บาทจะตึงมาก เสี่ยงงบบานปลายสูงกว่า Solution อื่น ได้คะแนนระดับ 3</t>
        </is>
      </c>
      <c r="G12" s="24" t="inlineStr">
        <is>
          <t>มีงบสำรองจัดซื้อหัววัดเสียงและขั้วต่อสำรอง 80% ป้องกันกรณีอุปกรณ์ตกหล่นหรือเสียหาย</t>
        </is>
      </c>
      <c r="H12" s="24" t="inlineStr">
        <is>
          <t>ช่วยคัดกรองท่อที่ไม่อุดตัน (กลุ่ม 7-10) ออกได้ 60% ประหยัดค่าใช้จ่ายการส่งรถดูดล้างท่อ คืนทุนได้ใน 1 ปี</t>
        </is>
      </c>
      <c r="I12" s="24" t="inlineStr">
        <is>
          <t>ปฏิบัติงานบนผิวจราจร ต้องปฏิบัติตาม พ.ร.บ. จราจรทางบก โดยการตั้งแนวกรวยยางและไฟกะพริบเตือน</t>
        </is>
      </c>
      <c r="J12" s="24" t="inlineStr">
        <is>
          <t>ต้องทำหนังสือขออนุญาตเปิดฝาท่อพักน้ำเพื่อทดสอบจากสำนักการระบายน้ำ กทม. ผ่านช่องทางมหาวิทยาลัย</t>
        </is>
      </c>
      <c r="K12" s="24" t="inlineStr">
        <is>
          <t>ออกรายงานประเมินความสะอาดท่อ 3 ระดับ (0-3 ล้างทันที, 4-6 จัดคิว, 7-10 ปกติ) พร้อมบันทึกพิกัด GPS</t>
        </is>
      </c>
      <c r="L12" s="24" t="inlineStr">
        <is>
          <t>ใช้ก้านหย่อนอุปกรณ์จากผิวดิน ใช้เวลาตรวจวัดเพียง 3 นาทีต่อช่วงท่อ เจ้าหน้าที่ใช้เครื่องมือทั่วไปดูแลรักษาได้</t>
        </is>
      </c>
      <c r="M12" s="24" t="inlineStr">
        <is>
          <t>อ้างอิง solution-3.md Constraints c: ต้องเปิดฝาท่อพักน้ำบนผิวถนน การทำงานบนผิวทางสัญจรมีความเสี่ยงต่ออุบัติเหตุจราจรสูงกว่าการยึดเซนเซอร์อยู่กับที่บนสะพาน ได้คะแนนระดับ 3</t>
        </is>
      </c>
      <c r="N12" s="24" t="inlineStr">
        <is>
          <t>สถาปัตยกรรมแยกส่วนฮาร์ดแวร์ส่งและรับ มี Buffer Time 3 สัปดาห์</t>
        </is>
      </c>
      <c r="O12" s="24" t="inlineStr">
        <is>
          <t>ระบบส่งและรับคลื่นเสียงพร้อมอัลกอริทึม 3 Tiers ประกอบและทดสอบในท่อจำลองได้ก่อนสัปดาห์ที่ 9</t>
        </is>
      </c>
      <c r="P12" s="24" t="inlineStr">
        <is>
          <t>ชิ้นส่วนลำโพงและไมโครโฟนกันน้ำจัดหาได้ในประเทศ ใช้เวลาจัดส่ง 7-10 วัน</t>
        </is>
      </c>
      <c r="Q12" s="24" t="inlineStr">
        <is>
          <t>ช่วยป้องกันน้ำท่วมขังจากการอุดตันของท่อระบายน้ำสายหลัก สอดคล้องกับ SDG 11.5</t>
        </is>
      </c>
      <c r="R12" s="24" t="inlineStr">
        <is>
          <t>ใช้คลื่นเสียง ปลอดภัยต่อสิ่งแวดล้อม ไม่มีการทิ้งสารเคมีหรือสร้างขยะตกค้างในท่อ สอดคล้องกับ SDG 6.3</t>
        </is>
      </c>
      <c r="S12" s="24" t="inlineStr">
        <is>
          <t>เกณฑ์การแบ่ง 3 Tiers ชัดเจนและโปร่งใส ให้บริการล้างท่อตามสภาพความเป็นจริง สอดคล้องกับ SDG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ใช้ท่อ PVC สำเร็จรูปประกอบเป็นกระบอกส่งเสียง</t>
        </is>
      </c>
      <c r="C13" s="24" t="inlineStr">
        <is>
          <t>ใช้โมดูลขยายเสียง Class-D สำเร็จรูป</t>
        </is>
      </c>
      <c r="D13" s="24" t="inlineStr">
        <is>
          <t>คำนวณการลดทอนเสียงด้วยค่าเฉลี่ย RMS บนไมโครคอนโทรลเลอร์</t>
        </is>
      </c>
      <c r="E13" s="24" t="inlineStr">
        <is>
          <t>ใช้ฟองน้ำกันน้ำชนิดพิเศษคลุมหัวไมโครโฟน</t>
        </is>
      </c>
      <c r="F13" s="24" t="inlineStr">
        <is>
          <t>ใช้ดอกลำโพงและไมโครโฟน COTS ราคาประหยัด</t>
        </is>
      </c>
      <c r="G13" s="24" t="inlineStr">
        <is>
          <t>สำรองเฉพาะหัวไมโครโฟนและสายสัญญาณ</t>
        </is>
      </c>
      <c r="H13" s="24" t="inlineStr">
        <is>
          <t>สรุปสถิติจำนวนช่วงท่อที่ไม่จำเป็นต้องล้าง</t>
        </is>
      </c>
      <c r="I13" s="24" t="inlineStr">
        <is>
          <t>ปฏิบัติงานเฉพาะในซอยปิดหรือช่วงเวลาการจราจรเบาบาง</t>
        </is>
      </c>
      <c r="J13" s="24" t="inlineStr">
        <is>
          <t>ประสานงานร่วมกับเขตเพื่อขอเจ้าหน้าที่รักษาความปลอดภัยร่วมอำนวยความสะดวก</t>
        </is>
      </c>
      <c r="K13" s="24" t="inlineStr">
        <is>
          <t>สร้างแอปพลิเคชันบนสมาร์ตโฟนเพื่อบันทึกผลการวัด 3 Tiers</t>
        </is>
      </c>
      <c r="L13" s="24" t="inlineStr">
        <is>
          <t>จัดทำขายึดสามขา (Tripod) สำหรับหย่อนอุปกรณ์ลงปากท่อ</t>
        </is>
      </c>
      <c r="M13" s="24" t="inlineStr">
        <is>
          <t>ตั้งกรวยยางนิรภัย 50 เมตรก่อนถึงจุดปฏิบัติงานเสมอ</t>
        </is>
      </c>
      <c r="N13" s="24" t="inlineStr">
        <is>
          <t>ทดสอบระบบเสียงในท่อจำลองในห้องปฏิบัติการก่อนลงพื้นที่จริง</t>
        </is>
      </c>
      <c r="O13" s="24" t="inlineStr">
        <is>
          <t>ล็อกช่วงความถี่เสียงทดสอบก่อนสัปดาห์ที่ 8</t>
        </is>
      </c>
      <c r="P13" s="24" t="inlineStr">
        <is>
          <t>จัดซื้ออุปกรณ์เสียง COTS จากร้านค้าในกรุงเทพฯ</t>
        </is>
      </c>
      <c r="Q13" s="24" t="inlineStr">
        <is>
          <t>เก็บสถิติความสะอาดของท่อเทียบกับจุดเสี่ยงน้ำท่วม</t>
        </is>
      </c>
      <c r="R13" s="24" t="inlineStr">
        <is>
          <t>ผูกสายคล้องนิรภัยกับตัวอุปกรณ์ตลอดเวลา</t>
        </is>
      </c>
      <c r="S13" s="24" t="inlineStr">
        <is>
          <t>เปิดเผยเกณฑ์การตัดสิน 3 กลุ่มในรายงานวิชาการ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8.5</v>
      </c>
      <c r="C28" s="24" t="inlineStr">
        <is>
          <t>โดดเด่นมากด้าน Acoustic Sensing: ลำโพงกำเนิดเสียงเฉพาะความถี่, ไมโครโฟนรับคลื่น, การวิเคราะห์การลดทอนของสัญญาณเสียงในท่อ (Sound Attenuation &amp; FFT Analysis)</t>
        </is>
      </c>
      <c r="D28" s="24" t="inlineStr">
        <is>
          <t>การควบคุมเวลาซิงโครไนซ์ส่ง-รับระดับมิลลิวินาที (Microsecond Acoustic Chirp Triggering) และการสกัดคุณลักษณะของสัญญาณ (Edge Feature Extraction)</t>
        </is>
      </c>
      <c r="E28" s="24" t="inlineStr">
        <is>
          <t>การออกแบบกลไกชุดหย่อนหัวตรวจวัดลงท่อ (Deployment Rig, Winch Mechanism, Acoustic Horn Baffle, โครงสร้าง IP67) และพร้อมพัฒนาต่อยอดเป็นหัวเจาะจง (End-Effector Sensor Payload) ให้กับหุ่นยนต์ตรวจท่อ (Pipe Crawler Rover)</t>
        </is>
      </c>
      <c r="F28" s="24" t="inlineStr">
        <is>
      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Jakarta Drainage Pipe Telemetry &amp; Prioritized Flushing DSS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 (Legal 2.4)</t>
        </is>
      </c>
      <c r="J5" s="22" t="inlineStr">
        <is>
          <t>ด้านกฎหมาย (Legal 2.4)</t>
        </is>
      </c>
      <c r="K5" s="22" t="inlineStr">
        <is>
          <t>ด้านการปฏิบัติการ (Operational 2.5)</t>
        </is>
      </c>
      <c r="L5" s="22" t="inlineStr">
        <is>
          <t>ด้านการปฏิบัติการ (Operational 2.5)</t>
        </is>
      </c>
      <c r="M5" s="22" t="inlineStr">
        <is>
          <t>ด้านการปฏิบัติการ (Operational 2.5)</t>
        </is>
      </c>
      <c r="N5" s="22" t="inlineStr">
        <is>
          <t>ด้านเวลา (Schedule 2.6)</t>
        </is>
      </c>
      <c r="O5" s="22" t="inlineStr">
        <is>
          <t>ด้านเวลา (Schedule 2.6)</t>
        </is>
      </c>
      <c r="P5" s="22" t="inlineStr">
        <is>
          <t>ด้านเวลา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โครงสร้างทางกายภาพและกลไกยึดจับภายนอกของระบบ สามารถออกแบบ ผลิต และประกอบขึ้นได้จริงด้วยเครื่องมือกลที่เข้าถึงได้ และทนทานต่อสภาวะแวดล้อมจริงของ กทม. (ลมมรสุม ละอองน้ำ ไอสารเคมี การกัดกร่อน) อย่างต่อเนื่องหรือไม่?</t>
        </is>
      </c>
      <c r="C6" s="24" t="inlineStr">
        <is>
          <t>สถาปัตยกรรมวงจรอิเล็กทรอนิกส์ การจ่ายพลังงาน และการเชื่อมต่อเซนเซอร์ สามารถทำงานได้อย่างต่อเนื่อง 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      </is>
      </c>
      <c r="D6" s="24" t="inlineStr">
        <is>
      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      </is>
      </c>
      <c r="E6" s="24" t="inlineStr">
        <is>
          <t>ระบบสามารถรักษาความถูกต้องของสัญญาณตรวจวัด และทนทานต่อสิ่งรบกวนทางกายภาพในพื้นที่จริง (คราบไขมัน ตะกอน ก๊าซกัดกร่อน ฝุ่นละออง คลื่นผิวน้ำ) โดยไม่เกิดความล้มเหลวหรือส่งข้อมูลหลอก (False Alarms) หรือไม่?</t>
        </is>
      </c>
      <c r="F6" s="24" t="inlineStr">
        <is>
      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      </is>
      </c>
      <c r="G6" s="24" t="inlineStr">
        <is>
      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 (ค่าน้ำมันรถปฏิบัติการ ค่าแรงเจ้าหน้าที่ ค่าบำรุงรักษายานพาหนะ) ได้คุ้มค่ากว่าภาระค่าใช้จ่ายในการติดตั้งและดูแลรักษาระบบ (OpEx) หรือไม่?</t>
        </is>
      </c>
      <c r="I6" s="24" t="inlineStr">
        <is>
      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โดยไม่ก่อให้เกิดความเสี่ยงต่อการถูกฟ้องร้องหรืออุบัติเหตุบนท้องถนนหรือไม่?</t>
        </is>
      </c>
      <c r="J6" s="24" t="inlineStr">
        <is>
          <t>อุปกรณ์สื่อสารไร้สายผ่านเกณฑ์รับรองมาตรฐานคลื่นความถี่ของ กสทช. และมีช่องทางหรือศักยภาพในการประสานงานเพื่อขออนุญาตเข้าใช้พื้นที่โครงสร้างพื้นฐานเมืองกับหน่วยงานรัฐอย่างเป็นทางการหรือไม่?</t>
        </is>
      </c>
      <c r="K6" s="24" t="inlineStr">
        <is>
          <t>ระบบสามารถสร้างหลักฐานดิจิทัลเชิงประจักษ์ (Digital Evidence Card / Audit Trail) เช่น ข้อมูลแนวโน้ม พิกัดเวลา และสถานะการทำงาน เพื่อสนับสนุนการปิดงานหรือตัดสินใจของเจ้าหน้าที่ตามระเบียบขั้นตอน (SOP) โดยไม่สร้างภาระงานซ้ำซ้อนหรือไม่?</t>
        </is>
      </c>
      <c r="L6" s="24" t="inlineStr">
        <is>
          <t>ขั้นตอนการติดตั้ง การบำรุงรักษา และการใช้งานโดยเจ้าหน้าที่หน้างาน มีความสะดวก ไม่สร้างภาระงานส่วนเกิน และสอดคล้องกับสภาพการทำงานจริงของบุคลากรภาคสนามหรือไม่?</t>
        </is>
      </c>
      <c r="M6" s="24" t="inlineStr">
        <is>
          <t>ขั้นตอนการติดตั้ง ตรวจสอบ และซ่อมบำรุงอุปกรณ์หน้างาน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หรือประชาชนผู้สัญจรหรือไม่?</t>
        </is>
      </c>
      <c r="N6" s="24" t="inlineStr">
        <is>
      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      </is>
      </c>
      <c r="O6" s="24" t="inlineStr">
        <is>
          <t>ความก้าวหน้าของโครงการสามารถบรรลุการบูรณาการฮาร์ดแวร์และซอฟต์แวร์ให้ทำงานร่วมกันได้จริง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และโครงสร้างพื้นฐานของเมืองจากภัยพิบัติน้ำท่วมขังหรือสภาพอากาศแปรปรวน สอดคล้องกับเป้าหมาย SDG 11.5 และ SDG 13.1 อย่างเป็นรูปธรรมหรือไม่?</t>
        </is>
      </c>
      <c r="R6" s="24" t="inlineStr">
        <is>
          <t>ชิ้นส่วน วัสดุ และอุปกรณ์ที่ติดตั้ง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ปลอดสารพิษ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หากโครงสร้างบังคับใช้วิธีผลิตระดับอุตสาหกรรมหนักที่ทีมเข้าไม่ถึง โครงงานจะล้มเหลว และหากไม่ทนต่อสภาพอากาศกลางแจ้ง อุปกรณ์จะเสียหายก่อนส่งมอบงาน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การทดสอบหน้างานมีความเสี่ยงสูงที่จะเกิดการลัดวงจร ตกกระแทก หรือน้ำเข้า หากไม่มีอะไหล่สำรอง เมื่อชิ้นส่วนเสียหายโครงการจะต้องหยุดรอการสั่งซื้อใหม่เป็นเวลาหลายสัปดาห์</t>
        </is>
      </c>
      <c r="H7" s="24" t="inlineStr">
        <is>
          <t>ระบบที่พัฒนาขึ้นต้องสร้างผลตอบแทนทางเศรษฐศาสตร์สาธารณะที่คุ้มค่า หากค่าใช้จ่ายในการบำรุงรักษาสูงกว่ามูลค่าทรัพยากรที่ประหยัดได้ ภาครัฐจะยกเลิกการใช้งานหลังสิ้นสุดการทดสอบ</t>
        </is>
      </c>
      <c r="I7" s="24" t="inlineStr">
        <is>
          <t>การทดสอบและติดตั้งอุปกรณ์ในพื้นที่สาธารณะของเมืองต้องเคารพกฎหมายสิทธิส่วนบุคคลและความปลอดภัยในการสัญจร หากละเมิดกฎหมาย โครงการจะถูกระงับการทำงานและถูกดำเนินคดีทันที</t>
        </is>
      </c>
      <c r="J7" s="24" t="inlineStr">
        <is>
          <t>การใช้คลื่นวิทยุที่ไม่ผ่านการรับรองถือเป็นความผิดทางอาญา และการเข้าถึงท่อระบายน้ำ สะพาน หรือทางระบายน้ำสาธารณะจำเป็นต้องมีหนังสือขออนุญาตและช่องทางประสานงานกับหน่วยงานท้องถิ่น</t>
        </is>
      </c>
      <c r="K7" s="24" t="inlineStr">
        <is>
          <t>เจ้าหน้าที่หน้างานมีระเบียบปฏิบัติราชการที่ต้องมีหลักฐานชัดเจนในการปิดงาน หากระบบส่งเฉพาะข้อความเตือนโดยไม่มีกราฟแนวโน้มและบันทึกเวลา เจ้าหน้าที่จะไม่สามารถนำไปใช้ปิดงานตามระเบียบได้</t>
        </is>
      </c>
      <c r="L7" s="24" t="inlineStr">
        <is>
          <t>หากระบบใช้งานยาก ต้องใช้เครื่องมือพิเศษหรือช่างเทคนิคขั้นสูงในการบำรุงรักษา ระบบจะถูกละเลยและกลายเป็นขยะอิเล็กทรอนิกส์ในเวลาไม่นาน</t>
        </is>
      </c>
      <c r="M7" s="24" t="inlineStr">
        <is>
          <t>ความปลอดภัยต่อชีวิตเป็นเรื่องสำคัญที่สุด การทำงานในพื้นที่อับอากาศที่มีก๊าซพิษสะสม หรือบนทางสัญจรที่ไม่มีการกั้นพื้นที่ อาจนำไปสู่อุบัติเหตุร้ายแรงถึงแก่ชีวิต</t>
        </is>
      </c>
      <c r="N7" s="24" t="inlineStr">
        <is>
          <t>ตารางสอบกลางภาคและปลายภาคของมหาวิทยาลัยจะดึงเวลาของสมาชิกไปเต็มที่ 1-2 สัปดาห์ หากไม่มี Buffer Time โครงงานจะล้มเหลวด้านเวลาทันที</t>
        </is>
      </c>
      <c r="O7" s="24" t="inlineStr">
        <is>
          <t>สัปดาห์ที่ 9 เป็น Milestone สำคัญในการประเมินความก้าวหน้า หากฮาร์ดแวร์และซอฟต์แวร์ยังไม่สามารถเชื่อมต่อกันได้จริง โครงงานจะถูกจัดอยู่ในกลุ่มเสี่ยงสูง</t>
        </is>
      </c>
      <c r="P7" s="24" t="inlineStr">
        <is>
          <t>การรอคอยชิ้นส่วนเป็นคอขวดที่พบบ่อยที่สุดในโครงงานวิศวกรรม หากอุปกรณ์ต้องรอสั่งจากต่างประเทศนานเกินไป จะทำให้เวลาในการพัฒนาและการทดสอบจริงไม่เพียงพอ</t>
        </is>
      </c>
      <c r="Q7" s="24" t="inlineStr">
        <is>
          <t>โครงงานวิศวกรรมต้องตอบสนองต่อเป้าหมายการพัฒนาที่ยั่งยืนของสหประชาชาติ โดยเฉพาะการลดผลกระทบจากภัยพิบัติเมืองและการเปลี่ยนแปลงสภาพภูมิอากาศ</t>
        </is>
      </c>
      <c r="R7" s="24" t="inlineStr">
        <is>
          <t>อุปกรณ์ที่ติดตั้งในทางน้ำต้องไม่กลายเป็นสาเหตุของมลพิษ หรือหลุดลอยไปสร้างปัญหาการอุดตันในระบบระบายน้ำเสียเอง</t>
        </is>
      </c>
      <c r="S7" s="24" t="inlineStr">
        <is>
          <t>ระบบสนับสนุนการตัดสินใจของรัฐต้องมีความเป็นธรรม ไม่เลือกปฏิบัติในการจัดสรรทรัพยากรและสามารถตรวจสอบความถูกต้องย้อนหลังได้ทุกขั้นตอน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      </is>
      </c>
      <c r="C8" s="24" t="inlineStr">
        <is>
      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      </is>
      </c>
      <c r="D8" s="24" t="inlineStr">
        <is>
      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      </is>
      </c>
      <c r="E8" s="24" t="inlineStr">
        <is>
      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      </is>
      </c>
      <c r="F8" s="24" t="inlineStr">
        <is>
      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      </is>
      </c>
      <c r="H8" s="24" t="inlineStr">
        <is>
      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      </is>
      </c>
      <c r="I8" s="24" t="inlineStr">
        <is>
      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      </is>
      </c>
      <c r="J8" s="24" t="inlineStr">
        <is>
      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      </is>
      </c>
      <c r="K8" s="24" t="inlineStr">
        <is>
      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      </is>
      </c>
      <c r="L8" s="24" t="inlineStr">
        <is>
      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      </is>
      </c>
      <c r="M8" s="24" t="inlineStr">
        <is>
          <t>1: บังคับให้คนต้องมุดลงในพื้นที่อับอากาศที่มีก๊าซพิษสะสม (Confined Space) หรือลงไปในทางน้ำเชี่ยวลึกโดยไม่มีอุปกรณ์นิรภัยมาตรฐาน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ขั้นสูงสุดและต้องมีเจ้าหน้าที่กู้ภัยกำกับดูแลตลอดเวลา
3: มีความปลอดภัยปานกลาง ปฏิบัติงานได้เฉพาะจุดที่มีแนวกั้นชัดเจนหรือบนทางเท้าที่มีการปิดกั้นพื้นที่สัญจร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ออกแบบให้ติดตั้งและบำรุงรักษาจากบนผิวทางเท้าหรือสะพาน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      </is>
      </c>
      <c r="O8" s="24" t="inlineStr">
        <is>
      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 หรืออาจส่งผลกระทบเชิงลบต่อระบบระบายน้ำและความปลอดภัยของเมือง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ช่วยลดระยะเวลาและผลกระทบของปัญหาน้ำท่วมบนถนนสายหลัก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      </is>
      </c>
      <c r="R8" s="24" t="inlineStr">
        <is>
          <t>1: อุปกรณ์มีความเสี่ยงสูงที่จะหลุดลอยกลายเป็นขยะอุดตันท่อ หรือปล่อยสารเคมี/โลหะหนักลงสู่แหล่งน้ำสาธารณะ (Fatal Flaw)
2: ใช้วัสดุที่เสื่อมสภาพและแตกหักง่าย เสี่ยงต่อการตกค้างในสภาพแวดล้อมหากเจอน้ำหลาก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4</v>
      </c>
      <c r="C9" s="27" t="n">
        <v>4</v>
      </c>
      <c r="D9" s="27" t="n">
        <v>4</v>
      </c>
      <c r="E9" s="27" t="n">
        <v>2</v>
      </c>
      <c r="F9" s="27" t="n">
        <v>4</v>
      </c>
      <c r="G9" s="27" t="n">
        <v>4</v>
      </c>
      <c r="H9" s="27" t="n">
        <v>4</v>
      </c>
      <c r="I9" s="27" t="n">
        <v>4</v>
      </c>
      <c r="J9" s="27" t="n">
        <v>4</v>
      </c>
      <c r="K9" s="27" t="n">
        <v>4</v>
      </c>
      <c r="L9" s="27" t="n">
        <v>4</v>
      </c>
      <c r="M9" s="27" t="n">
        <v>4</v>
      </c>
      <c r="N9" s="27" t="n">
        <v>4</v>
      </c>
      <c r="O9" s="27" t="n">
        <v>4</v>
      </c>
      <c r="P9" s="27" t="n">
        <v>4</v>
      </c>
      <c r="Q9" s="27" t="n">
        <v>5</v>
      </c>
      <c r="R9" s="27" t="n">
        <v>4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0.0667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0.0667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0.0333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ใช้กล่องมาตรฐานกันน้ำระดับ IP68 พร้อมแคลมป์ยึดสแตนเลสกับผนังท่อ ทนทานต่อแรงกระแทก</t>
        </is>
      </c>
      <c r="C12" s="24" t="inlineStr">
        <is>
          <t>วงจรจัดการพลังงานจากโซลาร์เซลล์พร้อมแบตเตอรี่สำรองและ Custom PCB ของ Due มีระบบตรวจวัดแรงดัน</t>
        </is>
      </c>
      <c r="D12" s="24" t="inlineStr">
        <is>
          <t>คำนวณความลาดชันชลศาสตร์ (Hydraulic Gradient) และประมวลผลเสร็จสิ้นบน Edge Node ในเวลาไม่เกิน 5 วินาที</t>
        </is>
      </c>
      <c r="E12" s="24" t="inlineStr">
        <is>
          <t>อ้างอิง solution-4.md Constraints a: การติดตั้งเซนเซอร์ใต้ฝาท่อพักน้ำจะถูกไอระเหยของก๊าซ H2S กัดกร่อนแผงวงจรและมีคราบไขมันเกาะหัววัดอย่างรวดเร็ว ต้องเข้าบำรุงรักษาบ่อยครั้ง ได้คะแนนระดับ 2</t>
        </is>
      </c>
      <c r="F12" s="24" t="inlineStr">
        <is>
          <t>งบประมาณ BOM เซนเซอร์และระบบพลังงานโซลาร์ประมาณ 4,200 บาท อยู่ในกรอบงบประมาณโครงงาน</t>
        </is>
      </c>
      <c r="G12" s="24" t="inlineStr">
        <is>
          <t>มีงบสำรองเซนเซอร์อัลตราโซนิกและโมดูลควบคุม 80%</t>
        </is>
      </c>
      <c r="H12" s="24" t="inlineStr">
        <is>
          <t>ช่วยจัดลำดับการส่งรถดูดโคลนไปยังท่อที่อุดตันจริง ลดการสิ้นเปลืองทรัพยากร คืนทุนได้ใน 1 ปี</t>
        </is>
      </c>
      <c r="I12" s="24" t="inlineStr">
        <is>
          <t>ติดตั้งใต้ฝาท่อพักน้ำ ปลอดภัย ไม่มีการจัดเก็บข้อมูลส่วนบุคคล (Zero PII)</t>
        </is>
      </c>
      <c r="J12" s="24" t="inlineStr">
        <is>
          <t>ใช้คลื่นความถี่ 433MHz/LoRa ที่ได้รับอนุญาตจาก กสทช. และมีขั้นตอนประสานงานขอพื้นที่ทดสอบ</t>
        </is>
      </c>
      <c r="K12" s="24" t="inlineStr">
        <is>
          <t>สร้างแดชบอร์ดแสดงผลความเร่งด่วนและประวัติการไหลของน้ำในแต่ละท่อ</t>
        </is>
      </c>
      <c r="L12" s="24" t="inlineStr">
        <is>
          <t>ติดตั้งจากปากท่อโดยใช้ขากลไกยึดผนัง บำรุงรักษาได้โดยไม่ต้องลงไปในบ่อพัก</t>
        </is>
      </c>
      <c r="M12" s="24" t="inlineStr">
        <is>
          <t>มีความปลอดภัยสูง ออกแบบให้ติดตั้งและถอดบำรุงรักษาจากด้านบนปากท่อ ไม่มีการให้บุคลากรลงไปในบ่อพัก (Zero Confined Space)</t>
        </is>
      </c>
      <c r="N12" s="24" t="inlineStr">
        <is>
          <t>มีเวลาสำรอง 3 สัปดาห์ สถาปัตยกรรมฮาร์ดแวร์และคลาวด์แยกจากกัน</t>
        </is>
      </c>
      <c r="O12" s="24" t="inlineStr">
        <is>
          <t>บูรณาการเซนเซอร์ ระบบส่งสัญญาณ และแดชบอร์ดแสดงผลได้ภายในสัปดาห์ที่ 9</t>
        </is>
      </c>
      <c r="P12" s="24" t="inlineStr">
        <is>
          <t>เซนเซอร์และแผงโซลาร์ขนาดเล็กจัดซื้อได้จากร้านค้าในประเทศ ได้รับของใน 5-7 วัน</t>
        </is>
      </c>
      <c r="Q12" s="24" t="inlineStr">
        <is>
          <t>สนับสนุนการบริหารจัดการระบบระบายน้ำเมืองอย่างมีประสิทธิภาพ สอดคล้องกับ SDG 11.5</t>
        </is>
      </c>
      <c r="R12" s="24" t="inlineStr">
        <is>
          <t>กล่อง IP68 ป้องกันวงจรสัมผัสน้ำ ไม่ปล่อยสารพิษลงท่อ สอดคล้องกับ SDG 6.3</t>
        </is>
      </c>
      <c r="S12" s="24" t="inlineStr">
        <is>
          <t>จัดสรรคิวรถล้างท่อตามข้อมูลชลศาสตร์ที่แท้จริง ไม่เลือกปฏิบัติ สอดคล้องกับ SDG 10.2 และ 16.6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ใช้ท่อร้อยสายไฟกันน้ำหุ้มสายสัญญาณทั้งหมด</t>
        </is>
      </c>
      <c r="C13" s="24" t="inlineStr">
        <is>
          <t>ใช้บอร์ดชาร์จแบตเตอรี่สำเร็จรูป COTS</t>
        </is>
      </c>
      <c r="D13" s="24" t="inlineStr">
        <is>
          <t>ส่งข้อมูลดิบขึ้นคลาวด์เพื่อลดภาระการประมวลผลบนโหนด</t>
        </is>
      </c>
      <c r="E13" s="24" t="inlineStr">
        <is>
          <t>พ่นสารเคลือบกันก๊าซกัดกร่อน (Conformal Coating) บนแผงวงจร</t>
        </is>
      </c>
      <c r="F13" s="24" t="inlineStr">
        <is>
          <t>เลือกใช้แผงโซลาร์เซลล์ขนาดเล็ก 5W ประหยัดต้นทุน</t>
        </is>
      </c>
      <c r="G13" s="24" t="inlineStr">
        <is>
          <t>สำรองเซนเซอร์อัลตราโซนิก 1 ชุด</t>
        </is>
      </c>
      <c r="H13" s="24" t="inlineStr">
        <is>
          <t>เปรียบเทียบชั่วโมงการทำงานของรถดูดโคลน</t>
        </is>
      </c>
      <c r="I13" s="24" t="inlineStr">
        <is>
          <t>ยืนยันการไม่ส่งคลื่นรบกวนสัญญาณวิทยุสาธารณะ</t>
        </is>
      </c>
      <c r="J13" s="24" t="inlineStr">
        <is>
          <t>ใช้โมดูลสื่อสารที่ผ่านการรับรองมาตรฐาน กสทช. แล้ว</t>
        </is>
      </c>
      <c r="K13" s="24" t="inlineStr">
        <is>
          <t>สร้างการแจ้งเตือนระดับน้ำวิกฤตผ่าน LINE Notify</t>
        </is>
      </c>
      <c r="L13" s="24" t="inlineStr">
        <is>
          <t>ออกแบบก้านยึดแบบปรับระดับได้ตามขนาดบ่อพัก</t>
        </is>
      </c>
      <c r="M13" s="24" t="inlineStr">
        <is>
          <t>ห้ามเจ้าหน้าที่ลงไปในบ่อพักน้ำโดยเด็ดขาด</t>
        </is>
      </c>
      <c r="N13" s="24" t="inlineStr">
        <is>
          <t>พัฒนาเฟิร์มแวร์วัดระดับน้ำให้เสร็จก่อนเริ่มทดสอบระบบส่งสัญญาณ</t>
        </is>
      </c>
      <c r="O13" s="24" t="inlineStr">
        <is>
          <t>ทดสอบการอ่านค่าเซนเซอร์บนโต๊ะทดลองให้เสร็จในสัปดาห์ที่ 6</t>
        </is>
      </c>
      <c r="P13" s="24" t="inlineStr">
        <is>
          <t>สั่งซื้อเซนเซอร์อัลตราโซนิกกันน้ำตั้งแต่เริ่มโครงการ</t>
        </is>
      </c>
      <c r="Q13" s="24" t="inlineStr">
        <is>
          <t>บันทึกข้อมูลการไหลของน้ำเพื่อวางแผนแก้ปัญหาระยะยาว</t>
        </is>
      </c>
      <c r="R13" s="24" t="inlineStr">
        <is>
          <t>ตรวจสอบการซีลกันน้ำของกล่องอุปกรณ์ก่อนติดตั้งทุกครั้ง</t>
        </is>
      </c>
      <c r="S13" s="24" t="inlineStr">
        <is>
          <t>จัดทำรายงานการจัดคิวงานที่ตรวจสอบได้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6.5</v>
      </c>
      <c r="C28" s="24" t="inlineStr">
        <is>
          <t>เซนเซอร์วัดระดับน้ำและอัตราการไหลในท่อระบายน้ำด้วยคลื่นอัลตราโซนิกและแรงดันน้ำ เชื่อมต่อผ่าน RS485/Modbus</t>
        </is>
      </c>
      <c r="D28" s="24" t="inlineStr">
        <is>
          <t>การประมวลผลคำนวณ Hydraulic Gradient บน Edge Node และจัดลำดับความเร่งด่วนของการล้างท่ออัตโนมัติ</t>
        </is>
      </c>
      <c r="E28" s="24" t="inlineStr">
        <is>
          <t>มีระบบพลังงานแสงอาทิตย์ (BMS &amp; MPPT), Custom PCB ของ Due, และขายึดกลไกปรับระดับได้ แต่การล้างท่อหน้างานยังพึ่งพารถดูดโคลนของมนุษย์ (ไม่มีระบบล้างกลไกอัตโนมัติ)</t>
        </is>
      </c>
      <c r="F28" s="24" t="inlineStr">
        <is>
      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2026-09-23T08:43:05Z</dcterms:created>
  <dcterms:modified xsi:type="dcterms:W3CDTF">2026-09-23T08:43:05Z</dcterms:modified>
</cp:coreProperties>
</file>