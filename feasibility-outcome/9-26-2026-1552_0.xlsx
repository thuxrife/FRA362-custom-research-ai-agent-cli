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  <sheet name="Solution-4" sheetId="5" state="visible" r:id="rId5"/>
    <sheet name="Solution-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8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center" vertical="center"/>
    </xf>
    <xf numFmtId="2" fontId="1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2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วิเคราะห์เปรียบเทียบเชิงระบบตามเกณฑ์ TELOS+S (เต็ม 100) และเมทริกซ์ศักยภาพด้านวิศวกรรมหุ่นยนต์ (เต็ม 10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(/10)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Solution-1</t>
        </is>
      </c>
      <c r="C5" s="7" t="inlineStr">
        <is>
          <t>Real-Time Recession Rate (dh/dt) Predictive Filtering for QRT Dispatch (Ann Arbor Case Adaptation)</t>
        </is>
      </c>
      <c r="D5" s="8">
        <f>'Solution-1'!T9</f>
        <v/>
      </c>
      <c r="E5" s="9">
        <f>'Solution-1'!D17</f>
        <v/>
      </c>
      <c r="F5" s="9">
        <f>'Solution-1'!D18</f>
        <v/>
      </c>
      <c r="G5" s="9">
        <f>'Solution-1'!D19</f>
        <v/>
      </c>
      <c r="H5" s="9">
        <f>'Solution-1'!D20</f>
        <v/>
      </c>
      <c r="I5" s="9">
        <f>'Solution-1'!D21</f>
        <v/>
      </c>
      <c r="J5" s="9">
        <f>'Solution-1'!D22</f>
        <v/>
      </c>
      <c r="K5" s="10">
        <f>'Solution-1'!T12</f>
        <v/>
      </c>
      <c r="L5" s="11" t="inlineStr">
        <is>
          <t>ใช้แบบจำลองชลศาสตร์อัตราการลดลงของระดับน้ำ (dh/dt) ผสานข้อมูลเรดาร์ฝนและเวลาเดินทางของ QRT ตัดปัญหา Empty Case ได้แม่นยำทางฟิสิกส์</t>
        </is>
      </c>
      <c r="M5" s="11" t="inlineStr">
        <is>
          <t>ความล่าช้าในการดึงข้อมูลโทรมาตรแบบเรียลไทม์ และระเบียบราชการที่ต้องการภาพถ่ายยืนยันก่อนปิดเคสบน Traffy Fondue</t>
        </is>
      </c>
      <c r="N5" s="11" t="inlineStr">
        <is>
          <t>ออก Digital Evidence Card กราฟการลดระดับน้ำอัตโนมัติแนบคืนระบบ Traffy Fondue และใช้เซนเซอร์ COTS ติดตั้งเฉพาะจุดเสี่ยงสูง</t>
        </is>
      </c>
      <c r="O5" s="12" t="n">
        <v>0</v>
      </c>
      <c r="P5" s="7" t="inlineStr">
        <is>
          <t>-</t>
        </is>
      </c>
    </row>
    <row r="6" ht="55" customHeight="1">
      <c r="A6" s="13" t="n">
        <v>2</v>
      </c>
      <c r="B6" s="14" t="inlineStr">
        <is>
          <t>Solution-2</t>
        </is>
      </c>
      <c r="C6" s="15" t="inlineStr">
        <is>
          <t>PUB Singapore CWOS 2-Factor Authentication Dispatch Filter</t>
        </is>
      </c>
      <c r="D6" s="8">
        <f>'Solution-2'!T9</f>
        <v/>
      </c>
      <c r="E6" s="16">
        <f>'Solution-2'!D17</f>
        <v/>
      </c>
      <c r="F6" s="16">
        <f>'Solution-2'!D18</f>
        <v/>
      </c>
      <c r="G6" s="16">
        <f>'Solution-2'!D19</f>
        <v/>
      </c>
      <c r="H6" s="16">
        <f>'Solution-2'!D20</f>
        <v/>
      </c>
      <c r="I6" s="16">
        <f>'Solution-2'!D21</f>
        <v/>
      </c>
      <c r="J6" s="16">
        <f>'Solution-2'!D22</f>
        <v/>
      </c>
      <c r="K6" s="17">
        <f>'Solution-2'!T12</f>
        <v/>
      </c>
      <c r="L6" s="18" t="inlineStr">
        <is>
          <t>กลไกยืนยันเหตุ 2 ปัจจัย (รายงานประชาชน + ข้อมูลโทรมาตรกายภาพ) ป้องกันความผิดพลาดจากการพึ่งพาข้อมูลแหล่งเดียว ลดรถวิ่งเก้อได้ 40-50%</t>
        </is>
      </c>
      <c r="M6" s="18" t="inlineStr">
        <is>
          <t>จุดบอดความครอบคลุมของเซนเซอร์ (Coverage Blind Spot) ในซอยย่อย และความล่าช้าในการดึงข้อมูลข้ามหน่วยงาน</t>
        </is>
      </c>
      <c r="N6" s="18" t="inlineStr">
        <is>
          <t>ใช้ข้อมูลเรดาร์น้ำฝนภาพกว้างเป็นปัจจัยสำรองในจุดที่ไม่มีเซนเซอร์ และพัฒนาโมดูลจับคู่พิกัด GPS อัตโนมัติ</t>
        </is>
      </c>
      <c r="O6" s="12" t="n">
        <v>0</v>
      </c>
      <c r="P6" s="15" t="inlineStr">
        <is>
          <t>-</t>
        </is>
      </c>
    </row>
    <row r="7" ht="55" customHeight="1">
      <c r="A7" s="5" t="n">
        <v>3</v>
      </c>
      <c r="B7" s="6" t="inlineStr">
        <is>
          <t>Solution-3</t>
        </is>
      </c>
      <c r="C7" s="7" t="inlineStr">
        <is>
          <t>Acoustic Sewer Measurement &amp; Pre-Screening Maintenance (UK/USA SL-RAT Case)</t>
        </is>
      </c>
      <c r="D7" s="8">
        <f>'Solution-3'!T9</f>
        <v/>
      </c>
      <c r="E7" s="9">
        <f>'Solution-3'!D17</f>
        <v/>
      </c>
      <c r="F7" s="9">
        <f>'Solution-3'!D18</f>
        <v/>
      </c>
      <c r="G7" s="9">
        <f>'Solution-3'!D19</f>
        <v/>
      </c>
      <c r="H7" s="9">
        <f>'Solution-3'!D20</f>
        <v/>
      </c>
      <c r="I7" s="9">
        <f>'Solution-3'!D21</f>
        <v/>
      </c>
      <c r="J7" s="9">
        <f>'Solution-3'!D22</f>
        <v/>
      </c>
      <c r="K7" s="10">
        <f>'Solution-3'!T12</f>
        <v/>
      </c>
      <c r="L7" s="11" t="inlineStr">
        <is>
          <t>ตรวจคัดกรองสภาพความสะอาดของท่อระบายน้ำใต้ดินล่วงหน้าในฤดูแล้งด้วยคลื่นเสียงสะท้อนได้อย่างรวดเร็ว (3-5 นาที/ช่วง) ปลอดภัยต่อเจ้าหน้าที่ (Zero Confined Space Entry)</t>
        </is>
      </c>
      <c r="M7" s="11" t="inlineStr">
        <is>
          <t>ต้องสร้างและสอบเทียบฮาร์ดแวร์ Acoustic Transceiver ทนความชื้นและก๊าซไข่เน่า (H2S) ใช้งานได้เฉพาะฤดูแล้งเท่านั้น (ห้ามใช้ขณะน้ำท่วม)</t>
        </is>
      </c>
      <c r="N7" s="11" t="inlineStr">
        <is>
          <t>จำกัดขอบเขตการใช้งานเฉพาะงานซ่อมบำรุงเชิงป้องกันก่อนเข้าฤดูฝน และใช้ท่อจำลองในการสอบเทียบสัญญาณเสียงสะท้อน</t>
        </is>
      </c>
      <c r="O7" s="12" t="n">
        <v>0</v>
      </c>
      <c r="P7" s="7" t="inlineStr">
        <is>
          <t>-</t>
        </is>
      </c>
    </row>
    <row r="8" ht="55" customHeight="1">
      <c r="A8" s="13" t="n">
        <v>4</v>
      </c>
      <c r="B8" s="14" t="inlineStr">
        <is>
          <t>Solution-4</t>
        </is>
      </c>
      <c r="C8" s="15" t="inlineStr">
        <is>
          <t>Underground Flow Telemetry &amp; Predictive Maintenance (Jakarta Case)</t>
        </is>
      </c>
      <c r="D8" s="8">
        <f>'Solution-4'!T9</f>
        <v/>
      </c>
      <c r="E8" s="16">
        <f>'Solution-4'!D17</f>
        <v/>
      </c>
      <c r="F8" s="16">
        <f>'Solution-4'!D18</f>
        <v/>
      </c>
      <c r="G8" s="16">
        <f>'Solution-4'!D19</f>
        <v/>
      </c>
      <c r="H8" s="16">
        <f>'Solution-4'!D20</f>
        <v/>
      </c>
      <c r="I8" s="16">
        <f>'Solution-4'!D21</f>
        <v/>
      </c>
      <c r="J8" s="16">
        <f>'Solution-4'!D22</f>
        <v/>
      </c>
      <c r="K8" s="17">
        <f>'Solution-4'!T12</f>
        <v/>
      </c>
      <c r="L8" s="18" t="inlineStr">
        <is>
          <t>ติดตั้งเซนเซอร์วัดระดับน้ำและการไหลแบบประจำที่ใต้ท่อระบายน้ำ ให้ข้อมูลสถานะทางชลศาสตร์ต่อเนื่องแบบเรียลไทม์</t>
        </is>
      </c>
      <c r="M8" s="18" t="inlineStr">
        <is>
          <t>สภาพแวดล้อมใต้ท่อระบายน้ำมีความชื้น 100% RH ก๊าซ H2S กัดกร่อนสูง คราบไขมันเกาะเซนเซอร์ (Biofouling) และสัญญาณวิทยุติดขัดใต้ฝาท่อเหล็ก</t>
        </is>
      </c>
      <c r="N8" s="18" t="inlineStr">
        <is>
          <t>ใช้เซนเซอร์แบบ Non-contact ติดตั้งใต้คอฝาท่อพัก พร้อมระบบสายอากาศลอย และมีสลิงสแตนเลสยึดโยง 2 ชั้นป้องกันการหลุดลอย</t>
        </is>
      </c>
      <c r="O8" s="12" t="n">
        <v>0</v>
      </c>
      <c r="P8" s="15" t="inlineStr">
        <is>
          <t>-</t>
        </is>
      </c>
    </row>
    <row r="9" ht="55" customHeight="1">
      <c r="A9" s="5" t="n">
        <v>5</v>
      </c>
      <c r="B9" s="6" t="inlineStr">
        <is>
          <t>Solution-5</t>
        </is>
      </c>
      <c r="C9" s="7" t="inlineStr">
        <is>
          <t>UHI Latent Heat Precision Road Cooling (Micro-dosing 0.2-0.4 mm Evaporative Spraying)</t>
        </is>
      </c>
      <c r="D9" s="8">
        <f>'Solution-5'!T9</f>
        <v/>
      </c>
      <c r="E9" s="9">
        <f>'Solution-5'!D17</f>
        <v/>
      </c>
      <c r="F9" s="9">
        <f>'Solution-5'!D18</f>
        <v/>
      </c>
      <c r="G9" s="9">
        <f>'Solution-5'!D19</f>
        <v/>
      </c>
      <c r="H9" s="9">
        <f>'Solution-5'!D20</f>
        <v/>
      </c>
      <c r="I9" s="9">
        <f>'Solution-5'!D21</f>
        <v/>
      </c>
      <c r="J9" s="9">
        <f>'Solution-5'!D22</f>
        <v/>
      </c>
      <c r="K9" s="10">
        <f>'Solution-5'!T12</f>
        <v/>
      </c>
      <c r="L9" s="11" t="inlineStr">
        <is>
          <t>ใช้ประโยชน์จากความร้อนแฝงของการระเหย (2,260 kJ/kg) พ่นละอองน้ำบางพิเศษ (0.2-0.4 mm) เฉพาะจุดที่มีฟลักซ์ความร้อนสูง ลดอุณหภูมิผิวถนนและประหยัดน้ำ 40-50%</t>
        </is>
      </c>
      <c r="M9" s="11" t="inlineStr">
        <is>
          <t>ความเสี่ยงทางกฎหมายและอุบัติเหตุจราจรจากผิวถนนลื่นไถล (Hydroplaning), ละอองน้ำกระเด็นถูกประชาชน (Sauna Effect), และความซับซ้อนของระบบไฮดรอลิกส์แรงดันสูง</t>
        </is>
      </c>
      <c r="N9" s="11" t="inlineStr">
        <is>
          <t>ติดตั้งเซนเซอร์ตรวจจับคนเดินถนนและรถจักรยานยนต์เพื่อตัดการพ่นน้ำทันที, จำกัดการใช้งานเฉพาะลานปิดหรือทางเดินเท้า, และห้ามพ่นเมื่อความชื้นสัมพัทธ์เกิน 75%</t>
        </is>
      </c>
      <c r="O9" s="12" t="n">
        <v>0</v>
      </c>
      <c r="P9" s="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Real-Time Recession Rate (dh/dt) Predictive Filtering for QRT Dispatch (Ann Arbor Case Adaptation)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T-03</t>
        </is>
      </c>
      <c r="E4" s="22" t="inlineStr">
        <is>
          <t>T-04</t>
        </is>
      </c>
      <c r="F4" s="22" t="inlineStr">
        <is>
          <t>T-05</t>
        </is>
      </c>
      <c r="G4" s="22" t="inlineStr">
        <is>
          <t>E-01</t>
        </is>
      </c>
      <c r="H4" s="22" t="inlineStr">
        <is>
          <t>E-02</t>
        </is>
      </c>
      <c r="I4" s="22" t="inlineStr">
        <is>
          <t>E-03</t>
        </is>
      </c>
      <c r="J4" s="22" t="inlineStr">
        <is>
          <t>L-01</t>
        </is>
      </c>
      <c r="K4" s="22" t="inlineStr">
        <is>
          <t>L-02</t>
        </is>
      </c>
      <c r="L4" s="22" t="inlineStr">
        <is>
          <t>O-01</t>
        </is>
      </c>
      <c r="M4" s="22" t="inlineStr">
        <is>
          <t>O-02</t>
        </is>
      </c>
      <c r="N4" s="22" t="inlineStr">
        <is>
          <t>O-03</t>
        </is>
      </c>
      <c r="O4" s="22" t="inlineStr">
        <is>
          <t>O-04</t>
        </is>
      </c>
      <c r="P4" s="22" t="inlineStr">
        <is>
          <t>S-01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ด้านเทคโนโลยีและวิศวกรรม (Technical Feasibility)</t>
        </is>
      </c>
      <c r="C5" s="24" t="inlineStr">
        <is>
          <t>ด้านเทคโนโลยีและวิศวกรรม (Technical Feasibility)</t>
        </is>
      </c>
      <c r="D5" s="24" t="inlineStr">
        <is>
          <t>ด้านเทคโนโลยีและวิศวกรรม (Technical Feasibility)</t>
        </is>
      </c>
      <c r="E5" s="24" t="inlineStr">
        <is>
          <t>ด้านเทคโนโลยีและวิศวกรรม (Technical Feasibility)</t>
        </is>
      </c>
      <c r="F5" s="24" t="inlineStr">
        <is>
          <t>ด้านเทคโนโลยีและวิศวกรรม (Technical Feasibility)</t>
        </is>
      </c>
      <c r="G5" s="24" t="inlineStr">
        <is>
          <t>ด้านเศรษฐศาสตร์ (Economic Feasibility)</t>
        </is>
      </c>
      <c r="H5" s="24" t="inlineStr">
        <is>
          <t>ด้านเศรษฐศาสตร์ (Economic Feasibility)</t>
        </is>
      </c>
      <c r="I5" s="24" t="inlineStr">
        <is>
          <t>ด้านเศรษฐศาสตร์ (Economic Feasibility)</t>
        </is>
      </c>
      <c r="J5" s="24" t="inlineStr">
        <is>
          <t>ด้านกฎหมายและสถาบัน (Legal &amp; Institutional Feasibility)</t>
        </is>
      </c>
      <c r="K5" s="24" t="inlineStr">
        <is>
          <t>ด้านกฎหมายและสถาบัน (Legal &amp; Institutional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ด้านการปฏิบัติการ (Operational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ภาระการสร้างเองกับการเลือกซื้ออุปกรณ์สำเร็จรูป (COTS)</t>
        </is>
      </c>
      <c r="C6" s="26" t="inlineStr">
        <is>
          <t>Access (Tech Stack &amp; Ecosystem Permissions): สิทธิ์และการเข้าถึงสแตกเทคโนโลยีและระบบนิเวศน์</t>
        </is>
      </c>
      <c r="D6" s="26" t="inlineStr">
        <is>
          <t>Base Performance (Technology Readiness Level - TRL): ระดับความพร้อมและความเสถียรของเทคโนโลยีฐาน</t>
        </is>
      </c>
      <c r="E6" s="26" t="inlineStr">
        <is>
          <t>Team Compatibility (Manpower &amp; Skill Redundancy): ความเข้ากันได้ของทักษะทีมและความพร้อมทดแทน (SPOF)</t>
        </is>
      </c>
      <c r="F6" s="26" t="inlineStr">
        <is>
          <t>Learning Curve ("How much do we have to learn?"): เส้นทางการเรียนรู้และระยะเวลาปรับตัวของทีม</t>
        </is>
      </c>
      <c r="G6" s="26" t="inlineStr">
        <is>
          <t>ROI (Payback Period / Value Horizon): ระยะเวลาคืนทุนและกรอบความคุ้มค่าทางการเงิน</t>
        </is>
      </c>
      <c r="H6" s="26" t="inlineStr">
        <is>
          <t>Dependency of Component (Vendor Lock-in &amp; Reliability): การพึ่งพาผู้ขายภายนอกและความเสี่ยงการผูกขาด</t>
        </is>
      </c>
      <c r="I6" s="26" t="inlineStr">
        <is>
          <t>Scrap Margin (Safety Allowance for Blown ICs &amp; Iterations): สัดส่วนงบสำรองสำหรับความเสียหายและการทดลองซ้ำ</t>
        </is>
      </c>
      <c r="J6" s="26" t="inlineStr">
        <is>
          <t>Felony and Civil Law (Regulatory, Traffic &amp; Public Safety Compliance): ความสอดคล้องตามกฎหมายอาญา แพ่ง ระเบียบจราจร และความปลอดภัยสาธารณะ</t>
        </is>
      </c>
      <c r="K6" s="26" t="inlineStr">
        <is>
          <t>IP and Licensing: สิทธิ์ในทรัพย์สินทางปัญญาและการอนุญาตใช้งานซอฟต์แวร์/ฮาร์ดแวร์</t>
        </is>
      </c>
      <c r="L6" s="26" t="inlineStr">
        <is>
          <t>User — Failure Impact ("If it fails, how severe is the effect?"): ความรุนแรงของผลกระทบเมื่อระบบขัดข้องต่อผู้ใช้และสาธารณะ</t>
        </is>
      </c>
      <c r="M6" s="26" t="inlineStr">
        <is>
          <t>User — Behavior &amp; Problem-Solution Fit: ความสอดคล้องกับพฤติกรรมผู้ใช้และกระบวนการทำงานเดิม</t>
        </is>
      </c>
      <c r="N6" s="26" t="inlineStr">
        <is>
          <t>Developer — Contribution Dependency (Administrative &amp; Lab Gatekeeping): การพึ่งพาการอนุมัติและอุปสรรคการเข้าถึงห้องปฏิบัติการ/เครื่องมือ</t>
        </is>
      </c>
      <c r="O6" s="26" t="inlineStr">
        <is>
          <t>Developer — Complexity (Step Count &amp; Pipeline Friction): ความซับซ้อนของขั้นตอนการประกอบ ติดตั้ง และบิวด์ระบบ</t>
        </is>
      </c>
      <c r="P6" s="26" t="inlineStr">
        <is>
          <t>Production Time (Engineering Design Maturity by 5 Business Weeks): วุฒิภาวะของแบบทางวิศวกรรมและความพร้อมผลิตใน 5 สัปดาห์ทำการ</t>
        </is>
      </c>
      <c r="Q6" s="26" t="inlineStr">
        <is>
          <t>SDG-01: Public Impact vs. Academic Greenwashing (SDG 11.5 / 13.1): ผลกระทบเชิงประจักษ์ต่อสาธารณะกับการฟอกเขียวทางวิชาการ</t>
        </is>
      </c>
      <c r="R6" s="26" t="inlineStr">
        <is>
          <t>SDG-02: Environmental Footprint &amp; E-Waste ("Do No Harm" — SDG 6.3 / 12.4): ภาระสิ่งแวดล้อมและขยะอิเล็กทรอนิกส์ตามหลักไม่สร้างผลเสียซ้ำซ้อน</t>
        </is>
      </c>
      <c r="S6" s="26" t="inlineStr">
        <is>
          <t>SDG-03: Algorithmic Equity &amp; Decision Transparency (SDG 10.2 / 16.6): ความเป็นธรรมของอัลกอริทึมและความโปร่งใสในการตัดสินใจ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ประเมินภาระงานวิจัยและพัฒนาชิ้นส่วนฮาร์ดแวร์/เฟิร์มแวร์ว่าต้องสร้างขึ้นใหม่ตั้งแต่ศูนย์หรือใช้อุปกรณ์สำเร็จรูปมาตรฐาน เพื่อควบคุมความเสี่ยงด้านความผิดพลาดและระยะเวลาพัฒนา</t>
        </is>
      </c>
      <c r="C7" s="26" t="inlineStr">
        <is>
          <t>ประเมินข้อจำกัดในการเข้าถึงซอร์สโค้ด สิทธิ์การพัฒนา สิทธิ์การเชื่อมต่อระบบคลาวด์ และสิทธิ์ผู้ดูแลระบบ เพื่อป้องกันปัญหาติดล็อกระบบปิด (Walled Garden)</t>
        </is>
      </c>
      <c r="D7" s="26" t="inlineStr">
        <is>
          <t>ประเมินระดับความพร้อมของเทคโนโลยีต้นแบบ (TRL) ว่าอยู่ในระดับแล็บหรือผ่านการทดสอบภาคสนามจริงมาแล้ว เพื่อลดความเสี่ยงจากการนำเทคโนโลยีที่ยังไม่เสถียรมาใช้งาน</t>
        </is>
      </c>
      <c r="E7" s="26" t="inlineStr">
        <is>
          <t>ประเมินการกระจายทักษะทางเทคนิคและความเสี่ยงจากการมีผู้เชี่ยวชาญเพียงคนเดียว (Single Point of Failure: SPOF) หากสมาชิกหลักไม่อยู่ โครงการจะหยุดชะงักหรือไม่</t>
        </is>
      </c>
      <c r="F7" s="26" t="inlineStr">
        <is>
          <t>ประเมินช่องว่างทางความรู้และทักษะที่ทีมต้องเรียนรู้เพิ่มขึ้นเมื่อเทียบกับประสบการณ์เดิม ป้องกันปัญหางานสะดุดจากการติดขัดช่วงเริ่มต้นการเรียนรู้เทคโนโลยีใหม่</t>
        </is>
      </c>
      <c r="G7" s="26" t="inlineStr">
        <is>
          <t>ประเมินระยะเวลาในการคืนทุนและมูลค่าทางเศรษฐกิจที่ได้กลับคืนจากการลดความสูญเสียเมื่อเทียบกับเงินลงทุนเริ่มต้น (CapEx) และค่าใช้จ่ายดำเนินงาน (OpEx)</t>
        </is>
      </c>
      <c r="H7" s="26" t="inlineStr">
        <is>
          <t>ประเมินความเสี่ยงจากการพึ่งพาระบบคลาวด์เฉพาะ อะไหล่ผูกขาด หรือค่าธรรมเนียมรายปีที่ส่งผลกระทบต่องบประมาณระยะยาวและความยืดหยั่งของระบบ</t>
        </is>
      </c>
      <c r="I7" s="26" t="inlineStr">
        <is>
          <t>ประเมินความเพียงพอของงบประมาณสำรองสำหรับชิ้นส่วนที่อาจเสียหายระหว่างการทดสอบ (Burn-in/Debugging) ป้องกันโครงการหยุดชะงักเมื่ออุปกรณ์เสียหาย</t>
        </is>
      </c>
      <c r="J7" s="26" t="inlineStr">
        <is>
          <t>ประเมินความเสี่ยงต่อการละเมิดกฎหมาย พ.ร.บ. คุ้มครองข้อมูลส่วนบุคคล (PDPA) การรบกวนสัญญาณคลื่นวิทยุ (กสทช.) หรือการติดตั้งที่กีดขวางทางสัญจรและเสี่ยงต่ออันตรายสาธารณะ</t>
        </is>
      </c>
      <c r="K7" s="26" t="inlineStr">
        <is>
          <t>ประเมินข้อกำหนดด้านสัญญาอนุญาตสิทธิ์ (Software/Hardware Licenses) และความเสี่ยงต่อการละเมิดสิทธิบัตรหรือข้อจำกัดแบบไวรัสลิขสิทธิ์ (Viral Copyleft)</t>
        </is>
      </c>
      <c r="L7" s="26" t="inlineStr">
        <is>
          <t>ประเมินความรุนแรงของผลกระทบกรณีระบบล้มเหลว (System Failure) ต่อชีวิต ทรัพย์สิน และการปฏิบัติการฉุกเฉินของเจ้าหน้าที่ เพื่อป้องกันโหมดความล้มเหลวขั้นวิกฤต</t>
        </is>
      </c>
      <c r="M7" s="26" t="inlineStr">
        <is>
          <t>ประเมินแรงต้านทานในการเปลี่ยนแปลงขั้นตอนการทำงานของผู้ปฏิบัติงาน (Operational Resistance) และภาระงานเอกสารหรือการฝึกอบรมที่เพิ่มขึ้น</t>
        </is>
      </c>
      <c r="N7" s="26" t="inlineStr">
        <is>
          <t>ประเมินขั้นตอนความยุ่งยากทางธุรการ การขออนุญาตเข้าใช้สถานที่ และการเข้าถึงอุปกรณ์เครื่องมือในการพัฒนาว่ามีความคล่องตัวหรือถูกปิดกั้น</t>
        </is>
      </c>
      <c r="O7" s="26" t="inlineStr">
        <is>
          <t>ประเมินจำนวนขั้นตอนและความเปราะบางของกระบวนการบิวด์ ติดตั้ง และทดสอบระบบ เพื่อลดโอกาสเกิดข้อผิดพลาดจากมนุษย์ (Human Error)</t>
        </is>
      </c>
      <c r="P7" s="26" t="inlineStr">
        <is>
          <t>ประเมินความสมบูรณ์ของแบบวิศวกรรม (CAD, Schematics, PCB Gerber, Firmware) เทียบกับกรอบเวลา 5 สัปดาห์ทำการก่อนช่วงสอบและการส่งมอบชิ้นงาน</t>
        </is>
      </c>
      <c r="Q7" s="26" t="inlineStr">
        <is>
          <t>ประเมินว่าโครงการสร้างผลกระทบที่วัดผลได้จริงในการลดความสูญเสียจากภัยพิบัติหรือฟื้นฟูเมือง หรือเป็นเพียงข้ออ้างด้านความยั่งยืนเชิงสัญลักษณ์</t>
        </is>
      </c>
      <c r="R7" s="26" t="inlineStr">
        <is>
          <t>ประเมินวงจรชีวิตของอุปกรณ์ การปลดปล่อยสารพิษ ปัญหาขยะอิเล็กทรอนิกส์ (E-Waste) และการหลุดรอดของสารเคมีลงสู่แหล่งน้ำสาธารณะ</t>
        </is>
      </c>
      <c r="S7" s="26" t="inlineStr">
        <is>
          <t>ประเมินความโปร่งใสของตรรกะการตัดสินใจและเกณฑ์การตัดคัดกรองเคส เพื่อป้องกันการเลือกปฏิบัติหรือการเพิกเฉยต่อพื้นที่ชุมชนเปราะบาง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(100% custom R&amp;D required; custom mechanism, bare-metal schematics, custom algorithm derivation; no reference designs or libraries exist)
2: Heavy Customization (Core components exist, but requires extensive custom adaptation, structural machining, and custom wrapper code)
3: Hybrid / COTS Integration (Standard off-the-shelf breakout boards and modules assembled with custom brackets, intermediate wiring, and glue code)
4: Modular COTS Assembly (Pre-engineered building blocks with standard mounting and standard communication buses e.g. DIN-rail modules, I2C/CAN shields; minimal custom fabrication)
5: Buy and Use / COTS (Buy and deploy directly out of the box / Plug-and-Play; zero mechanical or electrical fabrication required)</t>
        </is>
      </c>
      <c r="C8" s="26" t="inlineStr">
        <is>
          <t>1: Strictly Restricted (Proprietary stack under NDA, locked enterprise firewalls, or unavailable developer licenses)
2: Limited Access (Closed binary blobs or third-party proprietary firmware; black-box operation with zero telemetry or source code)
3: Request-Based Access (Educational/evaluation tier with strict rate limits or quotas; requires formal request or approval delays)
4: Open Developer Access (Free public SDKs, full documentation, and open developer APIs, but core low-level architecture cannot be modified)
5: Full-Stack Access (Fully open source with permissive license and open hardware; team has root/admin rights to inspect, modify, and deploy as both user and developer)</t>
        </is>
      </c>
      <c r="D8" s="26" t="inlineStr">
        <is>
          <t>1: Proof of Concept (TRL 2–3: Bench breadboard, simulation, or pure mathematical model; verified only in controlled laboratory conditions)
2: Functional Breadboard (TRL 4: Integrated components working together in a lab; fragile wiring, uncalibrated for harsh field environments)
3: Alpha Prototype (TRL 5–6: Enclosed prototype tested in a relevant simulated environment; operational, but requires human supervision)
4: Beta / Field-Proven (TRL 7: Pre-production hardware operating reliably in the actual operating environment under real-world stress)
5: Commercial Product (TRL 8–9: Fully certified, production-grade commercial product with documented MTBF and mass field reliability)</t>
        </is>
      </c>
      <c r="E8" s="26" t="inlineStr">
        <is>
          <t>1: Single Point of Failure / SPOF (Only 1 person has the required skill; if they are unavailable, subsystem development halts 100%)
2: Solo Lead with Minimal Backup (1 core developer; 1 teammate understands basic concepts but cannot debug code or fix hardware alone)
3: Primary + Secondary Pair (1 primary lead and 1 competent secondary backup who can maintain, troubleshoot, and push updates)
4: Broad Competence (3+ teammates can actively design, assemble, and debug the subsystem with minimal ramp-up time)
5: Full Team Redundancy (All team members are fully proficient; tasks can be swapped across anyone with zero friction or velocity loss)</t>
        </is>
      </c>
      <c r="F8" s="26" t="inlineStr">
        <is>
          <t>1: Total Reset (Every step requires learning completely unfamiliar tools, languages, and hardware from scratch with zero prior baseline)
2: Steep Learning Curve (High theoretical understanding, but zero hands-on experience; debugging basic syntax or wiring stalls progress)
3: Moderate Ramp-up (Proven adjacent mastery e.g. Arduino/ESP32 moving to STM32, or SolidWorks to Fusion 360; manageable 1-week curve)
4: Minor Adaptation (Familiar tech stack; only requires learning a specific minor library, sensor API, or configuration syntax)
5: Zero Learning Curve (Team can deploy verified past code, existing toolchains, and established muscle memory directly; no new learning required)</t>
        </is>
      </c>
      <c r="G8" s="26" t="inlineStr">
        <is>
          <t>1: Long Payback (&gt;= 10 Years: High initial CapEx with minimal recurring savings; economically non-viable for rapid deployment)
2: Slow Return (6–9 Years: Substantial capital investment with a long break-even horizon; requires long-term subsidization)
3: Moderate Return (3–5 Years: Reasonable public infrastructure payback; offsets costs across multi-year operational cycles)
4: Fast Return (2–3 Years: Strong operational cost reduction in fuel, labor, scrap; breaks even within normal equipment lifecycle)
5: Immediate Payback (&lt;= 1–2 Years: Rapid break-even; eliminates major recurring operational losses within the first operating season)</t>
        </is>
      </c>
      <c r="H8" s="26" t="inlineStr">
        <is>
          <t>1: Total Vendor Lock-in (100% dependent on proprietary cloud backend, encrypted telemetry, and single-source proprietary connectors)
2: High Dependency (Hardware requires vendor-licensed diagnostic tools or annual subscription fees to maintain operation)
3: Semi-Independent (Core hardware relies on proprietary firmware, but allows open API export and standard electrical interfaces)
4: High Autonomy (Uses standard open communication protocols e.g. Modbus, MQTT, CAN; parts can be serviced using generic tools)
5: Complete Independence (100% open architecture; hardware is interchangeable with generic substitutes; self-serviceable by any engineer)</t>
        </is>
      </c>
      <c r="I8" s="26" t="inlineStr">
        <is>
          <t>1: Zero Buffer (0%: Exactly 1x BOM purchased; any fried chip, cracked bracket, or wiring mistake halts the project)
2: Fragile Buffer (20–30%: Spares only for passive components; no backup microcontrollers or expensive sensors)
3: Moderate Buffer (50%: Spares for all critical passive parts and 1 spare for the primary controller board)
4: High Buffer (80%: Spares for nearly every active component and sensor; can sustain multiple prototype burn-ins)
5: Full Redundancy (&gt;= 100%: Complete 2x BOM budget on hand; can build two complete working units simultaneously)</t>
        </is>
      </c>
      <c r="J8" s="26" t="inlineStr">
        <is>
          <t>1: Severe Violation / No Privilege (Direct breach of statutory law e.g. unconsented public surveillance/PDPA, hazardous road blockage, illegal RF transmission)
2: High Legal Exposure (Ambiguous legal zone; high risk of civic complaints or traffic disruption; requires complex technical waivers)
3: Conditional / Requires Permit (Permitted strictly under formal written approval, official agency MoU, or municipal permits)
4: Low Legal Friction (Operates within standard public engineering exemptions; simple standard notification/safety compliance needed)
5: 100% Free Domain (Fully exempt from statutory licensing; zero public safety risk, zero personal data/Zero PII, fully unrestricted)</t>
        </is>
      </c>
      <c r="K8" s="26" t="inlineStr">
        <is>
          <t>1: Closed Commercial Barrier (Proprietary commercial license; cannot compile, flash, or operate without paying expensive commercial seat licenses)
2: Ambiguous / Gray IP (Unclear licensing terms or unlicensed public repos; risk of copyright strike or IP dispute upon public demonstration)
3: Restrictive Open Source / Copyleft (Permitted for educational use, but viral licenses e.g. GPLv3 force your entire codebase to be made public if distributed)
4: Permissive Open Source (Open source with minimal conditions e.g. LGPL, CC-BY; allows proprietary wrapping with simple attribution)
5: Completely Permissive / Public Domain (Permissive open source e.g. MIT, Apache 2.0, BSD or Public Domain; unrestricted freedom to commercialize, modify, and contribute)</t>
        </is>
      </c>
      <c r="L8" s="26" t="inlineStr">
        <is>
          <t>1: Life-Threatening (Failure causes electrocution, fire, traffic collisions, toxic chemical exposure, or structural collapse)
2: Severe Physical Hazard (Equipment destroys itself, causes acute environmental contamination, or halts major emergency infrastructure)
3: Chaotic Response from User (Panic, operational deadlock, conflicting manual dispatches, and severe operational confusion)
4: Minor Operational Delay (System trips safely; requires a manual reboot or standard fallback procedure; no safety risk or chaos)
5: Benign Budget Loss Only (Failure causes zero human or operational harm; results only in minor, easily absorbed component/battery replacement costs)</t>
        </is>
      </c>
      <c r="M8" s="26" t="inlineStr">
        <is>
          <t>1: Disruptive Overhaul (Forces operators to abandon existing standard procedures, adds 5+ extra tedious forms, and faces active user rejection)
2: High Friction (Adds notable extra documentation or redundant verification steps; operators will actively look for ways to bypass it)
3: Moderate Adaptation (Modifies daily routines slightly; requires 1–2 training sessions, but delivers clear operational trade-offs)
4: Low Friction (Integrates directly into existing tools e.g. sends alerts to existing LINE/Telegram or ticketing dashboard; minimal habit changes)
5: Smooth Transient Operation (Zero workflow disruption; runs transparently in the background and automates existing manual paperwork seamlessly)</t>
        </is>
      </c>
      <c r="N8" s="26" t="inlineStr">
        <is>
          <t>1: Heavy Gatekeeping (Blocked by supervisor approvals, locked lab cabinets, NDA signatures, purchasing bureaucracy, and restricted git branches)
2: Moderate Bureaucracy (Requires departmental request forms, tool booking queues, and waiting 3–5 days for administrative sign-offs)
3: Standard Campus Access (Workable access during university open hours; minor approval delays for specialized equipment or lab keys)
4: High Autonomy (Team has full repository write access, open 24/7 lab entry, and pre-approved discretionary stipends for rapid purchases)
5: Frictionless Contribution (Complete autonomy; decentralized cloud CI/CD, local prototyping tools at home/bench, zero administrative blockers)</t>
        </is>
      </c>
      <c r="O8" s="26" t="inlineStr">
        <is>
          <t>1: Highly Convoluted (Dozens of fragile build steps, complex toolchain dependencies, and high probability of human error during setup)
2: High Complexity (Multi-stage manual toolchains; frequent dependency conflicts and difficult multi-board flashing procedures)
3: Moderate Complexity (Standard multi-step build/assembly pipeline; manageable and repeatable when following a documented checklist)
4: Low Complexity (Straightforward workflow using automated build scripts, standard IDEs, or single-command flashing)
5: Simple &amp; Direct (Plug-and-play, 1-step linear workflow; idiot-proof setup requiring zero multi-stage manual configuration)</t>
        </is>
      </c>
      <c r="P8" s="26" t="inlineStr">
        <is>
          <t>1: Concept Only (0% Design: Napkin sketches and verbal ideas; 0% CAD models, 0% schematics, 0% firmware written)
2: Rough Drafts (25% Design: Preliminary block diagrams, hand-drawn schematics, unverified parts list, rough 3D bounding boxes)
3: Intermediate Maturity (50% Design: Complete CAD assembly with untested clearances, schematic capture complete, draft firmware architecture mapped)
4: Pre-Production (75–80% Design: Detailed 3D CAD ready for 3D print/CNC, routed PCB Gerber files verified with DRC, pinouts locked down)
5: Fully Engineered Design (100% Production Ready: Complete manufacturing package: verified Gerbers, mechanical tolerance drawings, locked BOM, and flashing scripts ready)</t>
        </is>
      </c>
      <c r="Q8" s="26" t="inlineStr">
        <is>
          <t>1: Pure Buzzword / Greenwashing (Claims sustainability benefits with zero data, zero measurable effect, and solves no real municipal problem)
2: Superficial Correlation (Indirect impact; functions only as an isolated school demo with no realistic way to measure damage prevention)
3: Localized Proof (Delivers a measurable, verified benefit e.g. cuts response time or drops localized temperature on a single test strip, but lacks a scaling model)
4: District-Level Viability (Clear pathway to protect municipal infrastructure or reduce public losses across multiple roads/alleys during extreme weather)
5: Systemic City Resilience (Backed by concrete empirical data showing significant reduction in public economic losses, vehicle damage, or human hazard)</t>
        </is>
      </c>
      <c r="R8" s="26" t="inlineStr">
        <is>
          <t>1: Toxic Field Hazard (Enclosure degrades under UV, or unsealed batteries leak toxic chemicals and detach into the urban drainage network as marine litter)
2: Fragile Disposable Tech (Short operational lifespan; sensors foul or corrode within 2–3 weeks and are abandoned because retrieval is impractical)
3: Standard Field Footprint (Requires periodic battery replacement and creates standard electronic scrap, but uses basic tethering to prevent total hardware loss)
4: Low-Impact Enclosure (Solar-trickle or long-life low-power architecture; uses recyclable casing and redundant physical tethers e.g. dual stainless lanyards)
5: Fully Circular &amp; Zero Footprint (100% fail-safe retrieval design; uses non-toxic materials, consumes minimal public resources, and leaves zero field trace)</t>
        </is>
      </c>
      <c r="S8" s="26" t="inlineStr">
        <is>
          <t>1: Opaque Black Box (Proprietary or unexplained threshold that cancels dispatches or alters public services with zero explanation, risking neglect of vulnerable areas)
2: Ambiguous Logic (Decision rules are buried in messy heuristic code; field operators cannot explain to a citizen why an alert was triggered or suppressed)
3: Documented Internal Rules (Logic is documented on paper for engineers, but has no public audit trail or clear appeal mechanism if the sensor misreads)
4: Open Empirical Standards (Decisions are driven by transparent physical equations applied equally across all city zones)
5: 100% Auditable &amp; Equitable (Full tamper-evident digital audit trail; open logic accessible to officials and citizens, guaranteeing equal public protection regardless of district wealth)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4</v>
      </c>
      <c r="C9" s="29" t="n">
        <v>5</v>
      </c>
      <c r="D9" s="29" t="n">
        <v>4</v>
      </c>
      <c r="E9" s="29" t="n">
        <v>4</v>
      </c>
      <c r="F9" s="29" t="n">
        <v>4</v>
      </c>
      <c r="G9" s="29" t="n">
        <v>5</v>
      </c>
      <c r="H9" s="29" t="n">
        <v>4</v>
      </c>
      <c r="I9" s="29" t="n">
        <v>5</v>
      </c>
      <c r="J9" s="29" t="n">
        <v>5</v>
      </c>
      <c r="K9" s="29" t="n">
        <v>5</v>
      </c>
      <c r="L9" s="29" t="n">
        <v>4</v>
      </c>
      <c r="M9" s="29" t="n">
        <v>4</v>
      </c>
      <c r="N9" s="29" t="n">
        <v>5</v>
      </c>
      <c r="O9" s="29" t="n">
        <v>4</v>
      </c>
      <c r="P9" s="29" t="n">
        <v>4</v>
      </c>
      <c r="Q9" s="29" t="n">
        <v>5</v>
      </c>
      <c r="R9" s="29" t="n">
        <v>5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0.04</v>
      </c>
      <c r="C10" s="31" t="n">
        <v>0.04</v>
      </c>
      <c r="D10" s="31" t="n">
        <v>0.04</v>
      </c>
      <c r="E10" s="31" t="n">
        <v>0.04</v>
      </c>
      <c r="F10" s="31" t="n">
        <v>0.04</v>
      </c>
      <c r="G10" s="31" t="n">
        <v>0.0667</v>
      </c>
      <c r="H10" s="31" t="n">
        <v>0.0667</v>
      </c>
      <c r="I10" s="31" t="n">
        <v>0.06660000000000001</v>
      </c>
      <c r="J10" s="31" t="n">
        <v>0.075</v>
      </c>
      <c r="K10" s="31" t="n">
        <v>0.075</v>
      </c>
      <c r="L10" s="31" t="n">
        <v>0.05</v>
      </c>
      <c r="M10" s="31" t="n">
        <v>0.05</v>
      </c>
      <c r="N10" s="31" t="n">
        <v>0.05</v>
      </c>
      <c r="O10" s="31" t="n">
        <v>0.05</v>
      </c>
      <c r="P10" s="31" t="n">
        <v>0.15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solution-1.md ส่วนที่ 3a, 3c ระบุการประมวลผลอัลกอริทึม dh/dt และดึงข้อมูล API เรดาร์ฝนและระดับน้ำ COTS โดยไม่ต้องสร้างกลไกเชิงกลใหม่</t>
        </is>
      </c>
      <c r="C12" s="26" t="inlineStr">
        <is>
          <t>solution-1.md ส่วนที่ 5 อ้างอิงกรณีศึกษา Ann Arbor ที่เป็นโอเพนซอร์ส และ jk.md ระบุความเชี่ยวชาญ Python/C++ เข้าถึงซอร์สโค้ดได้ 100%</t>
        </is>
      </c>
      <c r="D12" s="26" t="inlineStr">
        <is>
          <t>solution-1.md ส่วนที่ 5 ระบุว่าระบบ Dynamic Water Network Control ของ Ann Arbor ผ่านการใช้งานจริงระดับ Beta/Field-Proven ในสหรัฐฯ</t>
        </is>
      </c>
      <c r="E12" s="26" t="inlineStr">
        <is>
          <t>jk.md (ลีดคณิตศาสตร์ dh/dt และสมการอนุพันธ์), kin.md (ระบบ Time-Series และ Ingestion API), due.md (Web/MQTT) มีทักษะครอบคลุมเกิน 3 คน</t>
        </is>
      </c>
      <c r="F12" s="26" t="inlineStr">
        <is>
          <t>jk.md ส่วนที่ 2 เชี่ยวชาญสมการอนุพันธ์และชลศาสตร์ dh/dt อยู่แล้ว ทีมเพียงปรับพารามิเตอร์ตามสภาพคลองของ กทม. ใช้เวลาปรับตัวต่ำ</t>
        </is>
      </c>
      <c r="G12" s="26" t="inlineStr">
        <is>
          <t>solution-1.md ส่วนที่ 1, 2 การตัดการปล่อยรถเก้อ (Empty Cases) ประหยัดค่าน้ำมันและเบี้ยเลี้ยงหน่วย QRT ได้ทันทีตั้งแต่ฤดูมรสุมแรก</t>
        </is>
      </c>
      <c r="H12" s="26" t="inlineStr">
        <is>
          <t>solution-1.md ส่วนที่ 3c, due.md ระบุการใช้โพรโทคอลเปิด MQTT/REST และเซนเซอร์วัดระดับน้ำทั่วไปที่สามารถเปลี่ยนยี่ห้อทดแทนได้ง่าย</t>
        </is>
      </c>
      <c r="I12" s="26" t="inlineStr">
        <is>
          <t>jk.md ระบุการเน้นซอฟต์แวร์และ COTS ไม่มีชิ้นส่วนความเสี่ยงสูง งบประมาณสำหรับการทดสอบมีบอร์ดสำรองและเซนเซอร์สำรองเกิน 100%</t>
        </is>
      </c>
      <c r="J12" s="26" t="inlineStr">
        <is>
          <t>solution-1.md ส่วนที่ 3, 4b ข้อมูลที่ใช้คือตัวเลขระดับน้ำและพิกัดท่อระบายน้ำ ไม่มีข้อมูลระบุตัวตนบุคคล (Zero PII) ไม่ขัดต่อ พ.ร.บ. PDPA</t>
        </is>
      </c>
      <c r="K12" s="26" t="inlineStr">
        <is>
          <t>solution-1.md ส่วนที่ 5 พัฒนาต่อยอดจากแบบจำลอง Ann Arbor ภายใต้สัญญาอนุญาตแบบเปิด (MIT/Apache) ไม่มีอุปสรรคทางสิทธิบัตร</t>
        </is>
      </c>
      <c r="L12" s="26" t="inlineStr">
        <is>
          <t>solution-1.md ส่วนที่ 4a หากเซนเซอร์ขัดข้องหรือคำนวณผิดพลาด ระบบมีกลไก Fail-safe ส่งต่อให้เจ้าหน้าที่ปล่อยรถตามขั้นตอนปกติ</t>
        </is>
      </c>
      <c r="M12" s="26" t="inlineStr">
        <is>
          <t>solution-1.md ส่วนที่ 3c, 4b ทำงานเชื่อมต่อกับระบบรับเรื่องเดิม (Traffy Fondue) และออก Digital Evidence Card ให้เจ้าหน้าที่ปิดเคสได้สะดวก</t>
        </is>
      </c>
      <c r="N12" s="26" t="inlineStr">
        <is>
          <t>jk.md, kin.md สามารถพัฒนาและทดสอบอัลกอริทึมบนเครื่องส่วนตัวและเซิร์ฟเวอร์คลาวด์ได้ 24 ชม. ไม่ติดการจองห้องปฏิบัติการ</t>
        </is>
      </c>
      <c r="O12" s="26" t="inlineStr">
        <is>
          <t>jk.md, kin.md ใช้สแตก Python และ REST API มาตรฐาน มีขั้นตอนการติดตั้งแบบ linear ไม่มีความซับซ้อนของทูลเชนหลายชั้น</t>
        </is>
      </c>
      <c r="P12" s="26" t="inlineStr">
        <is>
          <t>schedule.md ระบุเป้าหมาย TRL 2 สัปดาห์ที่ 9 และ TRL 3 สัปดาห์ที่ 13 โดย Solution 1 มีแบบจำลองทางคณิตศาสตร์และ API สถาปัตยกรรมพร้อมพัฒนา</t>
        </is>
      </c>
      <c r="Q12" s="26" t="inlineStr">
        <is>
          <t>solution-1.md ส่วนที่ 2 ช่วยจัดสรรทรัพยากรฉุกเฉินระดับเมือง เพิ่มความพร้อมรับมือน้ำท่วมตามเป้าหมาย SDG 11.5 อย่างเป็นรูปธรรม</t>
        </is>
      </c>
      <c r="R12" s="26" t="inlineStr">
        <is>
          <t>solution-1.md ส่วนที่ 3c เน้นการประมวลผลบนคลาวด์เลเยอร์และเซนเซอร์คงที่ ไม่สร้างขยะพลาสติกหรือขยะพิษตกค้างในท่อระบายน้ำสาธารณะ</t>
        </is>
      </c>
      <c r="S12" s="26" t="inlineStr">
        <is>
          <t>solution-1.md ส่วนที่ 3a, 4b ตรรกะการตัดสินใจใช้สมการชลศาสตร์ dh/dt ที่เปิดเผย โปร่งใส ตรวจสอบย้อนหลังได้ทุกเคสเท่าเทียมกันทุกเขต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ใช้บอร์ดเกตเวย์ COTS สำเร็จรูปและไลบรารีชลศาสตร์มาตรฐาน</t>
        </is>
      </c>
      <c r="C13" s="26" t="inlineStr">
        <is>
          <t>พัฒนาบนโอเพนซอร์สสแตกเต็มรูปแบบ</t>
        </is>
      </c>
      <c r="D13" s="26" t="inlineStr">
        <is>
          <t>เทียบเคียงพารามิเตอร์ท่อของ กทม. กับแบบจำลองมาตรฐาน</t>
        </is>
      </c>
      <c r="E13" s="26" t="inlineStr">
        <is>
          <t>แบ่งงานตามความเชี่ยวชาญ: JK ทำโมเดล, Kin ทำ API, Due ทำดาต้าเบส</t>
        </is>
      </c>
      <c r="F13" s="26" t="inlineStr">
        <is>
          <t>ใช้ชุดข้อมูลจำลองรันสอบเทียบอัลกอริทึมในสัปดาห์แรก</t>
        </is>
      </c>
      <c r="G13" s="26" t="inlineStr">
        <is>
          <t>คำนวณตัวเลขประหยัดค่าน้ำมันรถ QRT เสนอต่อสำนักการระบายน้ำ</t>
        </is>
      </c>
      <c r="H13" s="26" t="inlineStr">
        <is>
          <t>กำหนด Standard Data Schema เพื่อไม่ให้ผูกติดกับเซนเซอร์ยี่ห้อใดยี่ห้อหนึ่ง</t>
        </is>
      </c>
      <c r="I13" s="26" t="inlineStr">
        <is>
          <t>จัดซื้อบอร์ด ESP32 และเซนเซอร์อัลตราโซนิกสำรอง 2 ชุด</t>
        </is>
      </c>
      <c r="J13" s="26" t="inlineStr">
        <is>
          <t>บันทึกเฉพาะตัวเลขระดับน้ำและพิกัดทางชลศาสตร์</t>
        </is>
      </c>
      <c r="K13" s="26" t="inlineStr">
        <is>
          <t>เปิดเผยซอร์สโค้ดอัลกอริทึมเป็น Open Source สำหรับการศึกษา</t>
        </is>
      </c>
      <c r="L13" s="26" t="inlineStr">
        <is>
          <t>ตั้งเวลา Watchdog หากข้อมูลขาดหายเกิน 10 นาทีให้ปลดล็อคเป็นการตัดสินใจแบบเดิม</t>
        </is>
      </c>
      <c r="M13" s="26" t="inlineStr">
        <is>
          <t>ออกแบบหน้าต่างสรุปผลที่ส่งข้อความแจ้งเตือนเข้ากลุ่ม LINE เจ้าหน้าที่</t>
        </is>
      </c>
      <c r="N13" s="26" t="inlineStr">
        <is>
          <t>ใช้ระบบ GitHub CI/CD สำหรับทดสอบความถูกต้องของสมการ</t>
        </is>
      </c>
      <c r="O13" s="26" t="inlineStr">
        <is>
          <t>จัดทำ Docker Container สำหรับรันไปป์ไลน์ประมวลผลคำสั่งเดียว</t>
        </is>
      </c>
      <c r="P13" s="26" t="inlineStr">
        <is>
          <t>ล็อกสูตร dh/dt ภายในสัปดาห์ที่ 9 เพื่อเตรียมทำ Bench PoC ในสัปดาห์ที่ 13</t>
        </is>
      </c>
      <c r="Q13" s="26" t="inlineStr">
        <is>
          <t>เก็บสถิติการลดเที่ยววิ่งรถเปล่าเปรียบเทียบก่อน-หลังใช้งาน</t>
        </is>
      </c>
      <c r="R13" s="26" t="inlineStr">
        <is>
          <t>ใช้วัสดุกรอบหุ้ม COTS มาตรฐานทนแดดทนฝน</t>
        </is>
      </c>
      <c r="S13" s="26" t="inlineStr">
        <is>
          <t>บันทึกประวัติการคำนวณและข้อมูลนำเข้าลงฐานข้อมูลแบบไม่สามารถแก้ไขได้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SUM(B11:F11)*20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SUM(G11:I11)*20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SUM(J11:K11)*20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SUM(L11:O11)*20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P11*20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PUB Singapore CWOS 2-Factor Authentication Dispatch Filter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T-03</t>
        </is>
      </c>
      <c r="E4" s="22" t="inlineStr">
        <is>
          <t>T-04</t>
        </is>
      </c>
      <c r="F4" s="22" t="inlineStr">
        <is>
          <t>T-05</t>
        </is>
      </c>
      <c r="G4" s="22" t="inlineStr">
        <is>
          <t>E-01</t>
        </is>
      </c>
      <c r="H4" s="22" t="inlineStr">
        <is>
          <t>E-02</t>
        </is>
      </c>
      <c r="I4" s="22" t="inlineStr">
        <is>
          <t>E-03</t>
        </is>
      </c>
      <c r="J4" s="22" t="inlineStr">
        <is>
          <t>L-01</t>
        </is>
      </c>
      <c r="K4" s="22" t="inlineStr">
        <is>
          <t>L-02</t>
        </is>
      </c>
      <c r="L4" s="22" t="inlineStr">
        <is>
          <t>O-01</t>
        </is>
      </c>
      <c r="M4" s="22" t="inlineStr">
        <is>
          <t>O-02</t>
        </is>
      </c>
      <c r="N4" s="22" t="inlineStr">
        <is>
          <t>O-03</t>
        </is>
      </c>
      <c r="O4" s="22" t="inlineStr">
        <is>
          <t>O-04</t>
        </is>
      </c>
      <c r="P4" s="22" t="inlineStr">
        <is>
          <t>S-01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ด้านเทคโนโลยีและวิศวกรรม (Technical Feasibility)</t>
        </is>
      </c>
      <c r="C5" s="24" t="inlineStr">
        <is>
          <t>ด้านเทคโนโลยีและวิศวกรรม (Technical Feasibility)</t>
        </is>
      </c>
      <c r="D5" s="24" t="inlineStr">
        <is>
          <t>ด้านเทคโนโลยีและวิศวกรรม (Technical Feasibility)</t>
        </is>
      </c>
      <c r="E5" s="24" t="inlineStr">
        <is>
          <t>ด้านเทคโนโลยีและวิศวกรรม (Technical Feasibility)</t>
        </is>
      </c>
      <c r="F5" s="24" t="inlineStr">
        <is>
          <t>ด้านเทคโนโลยีและวิศวกรรม (Technical Feasibility)</t>
        </is>
      </c>
      <c r="G5" s="24" t="inlineStr">
        <is>
          <t>ด้านเศรษฐศาสตร์ (Economic Feasibility)</t>
        </is>
      </c>
      <c r="H5" s="24" t="inlineStr">
        <is>
          <t>ด้านเศรษฐศาสตร์ (Economic Feasibility)</t>
        </is>
      </c>
      <c r="I5" s="24" t="inlineStr">
        <is>
          <t>ด้านเศรษฐศาสตร์ (Economic Feasibility)</t>
        </is>
      </c>
      <c r="J5" s="24" t="inlineStr">
        <is>
          <t>ด้านกฎหมายและสถาบัน (Legal &amp; Institutional Feasibility)</t>
        </is>
      </c>
      <c r="K5" s="24" t="inlineStr">
        <is>
          <t>ด้านกฎหมายและสถาบัน (Legal &amp; Institutional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ด้านการปฏิบัติการ (Operational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ภาระการสร้างเองกับการเลือกซื้ออุปกรณ์สำเร็จรูป (COTS)</t>
        </is>
      </c>
      <c r="C6" s="26" t="inlineStr">
        <is>
          <t>Access (Tech Stack &amp; Ecosystem Permissions): สิทธิ์และการเข้าถึงสแตกเทคโนโลยีและระบบนิเวศน์</t>
        </is>
      </c>
      <c r="D6" s="26" t="inlineStr">
        <is>
          <t>Base Performance (Technology Readiness Level - TRL): ระดับความพร้อมและความเสถียรของเทคโนโลยีฐาน</t>
        </is>
      </c>
      <c r="E6" s="26" t="inlineStr">
        <is>
          <t>Team Compatibility (Manpower &amp; Skill Redundancy): ความเข้ากันได้ของทักษะทีมและความพร้อมทดแทน (SPOF)</t>
        </is>
      </c>
      <c r="F6" s="26" t="inlineStr">
        <is>
          <t>Learning Curve ("How much do we have to learn?"): เส้นทางการเรียนรู้และระยะเวลาปรับตัวของทีม</t>
        </is>
      </c>
      <c r="G6" s="26" t="inlineStr">
        <is>
          <t>ROI (Payback Period / Value Horizon): ระยะเวลาคืนทุนและกรอบความคุ้มค่าทางการเงิน</t>
        </is>
      </c>
      <c r="H6" s="26" t="inlineStr">
        <is>
          <t>Dependency of Component (Vendor Lock-in &amp; Reliability): การพึ่งพาผู้ขายภายนอกและความเสี่ยงการผูกขาด</t>
        </is>
      </c>
      <c r="I6" s="26" t="inlineStr">
        <is>
          <t>Scrap Margin (Safety Allowance for Blown ICs &amp; Iterations): สัดส่วนงบสำรองสำหรับความเสียหายและการทดลองซ้ำ</t>
        </is>
      </c>
      <c r="J6" s="26" t="inlineStr">
        <is>
          <t>Felony and Civil Law (Regulatory, Traffic &amp; Public Safety Compliance): ความสอดคล้องตามกฎหมายอาญา แพ่ง ระเบียบจราจร และความปลอดภัยสาธารณะ</t>
        </is>
      </c>
      <c r="K6" s="26" t="inlineStr">
        <is>
          <t>IP and Licensing: สิทธิ์ในทรัพย์สินทางปัญญาและการอนุญาตใช้งานซอฟต์แวร์/ฮาร์ดแวร์</t>
        </is>
      </c>
      <c r="L6" s="26" t="inlineStr">
        <is>
          <t>User — Failure Impact ("If it fails, how severe is the effect?"): ความรุนแรงของผลกระทบเมื่อระบบขัดข้องต่อผู้ใช้และสาธารณะ</t>
        </is>
      </c>
      <c r="M6" s="26" t="inlineStr">
        <is>
          <t>User — Behavior &amp; Problem-Solution Fit: ความสอดคล้องกับพฤติกรรมผู้ใช้และกระบวนการทำงานเดิม</t>
        </is>
      </c>
      <c r="N6" s="26" t="inlineStr">
        <is>
          <t>Developer — Contribution Dependency (Administrative &amp; Lab Gatekeeping): การพึ่งพาการอนุมัติและอุปสรรคการเข้าถึงห้องปฏิบัติการ/เครื่องมือ</t>
        </is>
      </c>
      <c r="O6" s="26" t="inlineStr">
        <is>
          <t>Developer — Complexity (Step Count &amp; Pipeline Friction): ความซับซ้อนของขั้นตอนการประกอบ ติดตั้ง และบิวด์ระบบ</t>
        </is>
      </c>
      <c r="P6" s="26" t="inlineStr">
        <is>
          <t>Production Time (Engineering Design Maturity by 5 Business Weeks): วุฒิภาวะของแบบทางวิศวกรรมและความพร้อมผลิตใน 5 สัปดาห์ทำการ</t>
        </is>
      </c>
      <c r="Q6" s="26" t="inlineStr">
        <is>
          <t>SDG-01: Public Impact vs. Academic Greenwashing (SDG 11.5 / 13.1): ผลกระทบเชิงประจักษ์ต่อสาธารณะกับการฟอกเขียวทางวิชาการ</t>
        </is>
      </c>
      <c r="R6" s="26" t="inlineStr">
        <is>
          <t>SDG-02: Environmental Footprint &amp; E-Waste ("Do No Harm" — SDG 6.3 / 12.4): ภาระสิ่งแวดล้อมและขยะอิเล็กทรอนิกส์ตามหลักไม่สร้างผลเสียซ้ำซ้อน</t>
        </is>
      </c>
      <c r="S6" s="26" t="inlineStr">
        <is>
          <t>SDG-03: Algorithmic Equity &amp; Decision Transparency (SDG 10.2 / 16.6): ความเป็นธรรมของอัลกอริทึมและความโปร่งใสในการตัดสินใจ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ประเมินภาระงานวิจัยและพัฒนาชิ้นส่วนฮาร์ดแวร์/เฟิร์มแวร์ว่าต้องสร้างขึ้นใหม่ตั้งแต่ศูนย์หรือใช้อุปกรณ์สำเร็จรูปมาตรฐาน เพื่อควบคุมความเสี่ยงด้านความผิดพลาดและระยะเวลาพัฒนา</t>
        </is>
      </c>
      <c r="C7" s="26" t="inlineStr">
        <is>
          <t>ประเมินข้อจำกัดในการเข้าถึงซอร์สโค้ด สิทธิ์การพัฒนา สิทธิ์การเชื่อมต่อระบบคลาวด์ และสิทธิ์ผู้ดูแลระบบ เพื่อป้องกันปัญหาติดล็อกระบบปิด (Walled Garden)</t>
        </is>
      </c>
      <c r="D7" s="26" t="inlineStr">
        <is>
          <t>ประเมินระดับความพร้อมของเทคโนโลยีต้นแบบ (TRL) ว่าอยู่ในระดับแล็บหรือผ่านการทดสอบภาคสนามจริงมาแล้ว เพื่อลดความเสี่ยงจากการนำเทคโนโลยีที่ยังไม่เสถียรมาใช้งาน</t>
        </is>
      </c>
      <c r="E7" s="26" t="inlineStr">
        <is>
          <t>ประเมินการกระจายทักษะทางเทคนิคและความเสี่ยงจากการมีผู้เชี่ยวชาญเพียงคนเดียว (Single Point of Failure: SPOF) หากสมาชิกหลักไม่อยู่ โครงการจะหยุดชะงักหรือไม่</t>
        </is>
      </c>
      <c r="F7" s="26" t="inlineStr">
        <is>
          <t>ประเมินช่องว่างทางความรู้และทักษะที่ทีมต้องเรียนรู้เพิ่มขึ้นเมื่อเทียบกับประสบการณ์เดิม ป้องกันปัญหางานสะดุดจากการติดขัดช่วงเริ่มต้นการเรียนรู้เทคโนโลยีใหม่</t>
        </is>
      </c>
      <c r="G7" s="26" t="inlineStr">
        <is>
          <t>ประเมินระยะเวลาในการคืนทุนและมูลค่าทางเศรษฐกิจที่ได้กลับคืนจากการลดความสูญเสียเมื่อเทียบกับเงินลงทุนเริ่มต้น (CapEx) และค่าใช้จ่ายดำเนินงาน (OpEx)</t>
        </is>
      </c>
      <c r="H7" s="26" t="inlineStr">
        <is>
          <t>ประเมินความเสี่ยงจากการพึ่งพาระบบคลาวด์เฉพาะ อะไหล่ผูกขาด หรือค่าธรรมเนียมรายปีที่ส่งผลกระทบต่องบประมาณระยะยาวและความยืดหยั่งของระบบ</t>
        </is>
      </c>
      <c r="I7" s="26" t="inlineStr">
        <is>
          <t>ประเมินความเพียงพอของงบประมาณสำรองสำหรับชิ้นส่วนที่อาจเสียหายระหว่างการทดสอบ (Burn-in/Debugging) ป้องกันโครงการหยุดชะงักเมื่ออุปกรณ์เสียหาย</t>
        </is>
      </c>
      <c r="J7" s="26" t="inlineStr">
        <is>
          <t>ประเมินความเสี่ยงต่อการละเมิดกฎหมาย พ.ร.บ. คุ้มครองข้อมูลส่วนบุคคล (PDPA) การรบกวนสัญญาณคลื่นวิทยุ (กสทช.) หรือการติดตั้งที่กีดขวางทางสัญจรและเสี่ยงต่ออันตรายสาธารณะ</t>
        </is>
      </c>
      <c r="K7" s="26" t="inlineStr">
        <is>
          <t>ประเมินข้อกำหนดด้านสัญญาอนุญาตสิทธิ์ (Software/Hardware Licenses) และความเสี่ยงต่อการละเมิดสิทธิบัตรหรือข้อจำกัดแบบไวรัสลิขสิทธิ์ (Viral Copyleft)</t>
        </is>
      </c>
      <c r="L7" s="26" t="inlineStr">
        <is>
          <t>ประเมินความรุนแรงของผลกระทบกรณีระบบล้มเหลว (System Failure) ต่อชีวิต ทรัพย์สิน และการปฏิบัติการฉุกเฉินของเจ้าหน้าที่ เพื่อป้องกันโหมดความล้มเหลวขั้นวิกฤต</t>
        </is>
      </c>
      <c r="M7" s="26" t="inlineStr">
        <is>
          <t>ประเมินแรงต้านทานในการเปลี่ยนแปลงขั้นตอนการทำงานของผู้ปฏิบัติงาน (Operational Resistance) และภาระงานเอกสารหรือการฝึกอบรมที่เพิ่มขึ้น</t>
        </is>
      </c>
      <c r="N7" s="26" t="inlineStr">
        <is>
          <t>ประเมินขั้นตอนความยุ่งยากทางธุรการ การขออนุญาตเข้าใช้สถานที่ และการเข้าถึงอุปกรณ์เครื่องมือในการพัฒนาว่ามีความคล่องตัวหรือถูกปิดกั้น</t>
        </is>
      </c>
      <c r="O7" s="26" t="inlineStr">
        <is>
          <t>ประเมินจำนวนขั้นตอนและความเปราะบางของกระบวนการบิวด์ ติดตั้ง และทดสอบระบบ เพื่อลดโอกาสเกิดข้อผิดพลาดจากมนุษย์ (Human Error)</t>
        </is>
      </c>
      <c r="P7" s="26" t="inlineStr">
        <is>
          <t>ประเมินความสมบูรณ์ของแบบวิศวกรรม (CAD, Schematics, PCB Gerber, Firmware) เทียบกับกรอบเวลา 5 สัปดาห์ทำการก่อนช่วงสอบและการส่งมอบชิ้นงาน</t>
        </is>
      </c>
      <c r="Q7" s="26" t="inlineStr">
        <is>
          <t>ประเมินว่าโครงการสร้างผลกระทบที่วัดผลได้จริงในการลดความสูญเสียจากภัยพิบัติหรือฟื้นฟูเมือง หรือเป็นเพียงข้ออ้างด้านความยั่งยืนเชิงสัญลักษณ์</t>
        </is>
      </c>
      <c r="R7" s="26" t="inlineStr">
        <is>
          <t>ประเมินวงจรชีวิตของอุปกรณ์ การปลดปล่อยสารพิษ ปัญหาขยะอิเล็กทรอนิกส์ (E-Waste) และการหลุดรอดของสารเคมีลงสู่แหล่งน้ำสาธารณะ</t>
        </is>
      </c>
      <c r="S7" s="26" t="inlineStr">
        <is>
          <t>ประเมินความโปร่งใสของตรรกะการตัดสินใจและเกณฑ์การตัดคัดกรองเคส เพื่อป้องกันการเลือกปฏิบัติหรือการเพิกเฉยต่อพื้นที่ชุมชนเปราะบาง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(100% custom R&amp;D required; custom mechanism, bare-metal schematics, custom algorithm derivation; no reference designs or libraries exist)
2: Heavy Customization (Core components exist, but requires extensive custom adaptation, structural machining, and custom wrapper code)
3: Hybrid / COTS Integration (Standard off-the-shelf breakout boards and modules assembled with custom brackets, intermediate wiring, and glue code)
4: Modular COTS Assembly (Pre-engineered building blocks with standard mounting and standard communication buses e.g. DIN-rail modules, I2C/CAN shields; minimal custom fabrication)
5: Buy and Use / COTS (Buy and deploy directly out of the box / Plug-and-Play; zero mechanical or electrical fabrication required)</t>
        </is>
      </c>
      <c r="C8" s="26" t="inlineStr">
        <is>
          <t>1: Strictly Restricted (Proprietary stack under NDA, locked enterprise firewalls, or unavailable developer licenses)
2: Limited Access (Closed binary blobs or third-party proprietary firmware; black-box operation with zero telemetry or source code)
3: Request-Based Access (Educational/evaluation tier with strict rate limits or quotas; requires formal request or approval delays)
4: Open Developer Access (Free public SDKs, full documentation, and open developer APIs, but core low-level architecture cannot be modified)
5: Full-Stack Access (Fully open source with permissive license and open hardware; team has root/admin rights to inspect, modify, and deploy as both user and developer)</t>
        </is>
      </c>
      <c r="D8" s="26" t="inlineStr">
        <is>
          <t>1: Proof of Concept (TRL 2–3: Bench breadboard, simulation, or pure mathematical model; verified only in controlled laboratory conditions)
2: Functional Breadboard (TRL 4: Integrated components working together in a lab; fragile wiring, uncalibrated for harsh field environments)
3: Alpha Prototype (TRL 5–6: Enclosed prototype tested in a relevant simulated environment; operational, but requires human supervision)
4: Beta / Field-Proven (TRL 7: Pre-production hardware operating reliably in the actual operating environment under real-world stress)
5: Commercial Product (TRL 8–9: Fully certified, production-grade commercial product with documented MTBF and mass field reliability)</t>
        </is>
      </c>
      <c r="E8" s="26" t="inlineStr">
        <is>
          <t>1: Single Point of Failure / SPOF (Only 1 person has the required skill; if they are unavailable, subsystem development halts 100%)
2: Solo Lead with Minimal Backup (1 core developer; 1 teammate understands basic concepts but cannot debug code or fix hardware alone)
3: Primary + Secondary Pair (1 primary lead and 1 competent secondary backup who can maintain, troubleshoot, and push updates)
4: Broad Competence (3+ teammates can actively design, assemble, and debug the subsystem with minimal ramp-up time)
5: Full Team Redundancy (All team members are fully proficient; tasks can be swapped across anyone with zero friction or velocity loss)</t>
        </is>
      </c>
      <c r="F8" s="26" t="inlineStr">
        <is>
          <t>1: Total Reset (Every step requires learning completely unfamiliar tools, languages, and hardware from scratch with zero prior baseline)
2: Steep Learning Curve (High theoretical understanding, but zero hands-on experience; debugging basic syntax or wiring stalls progress)
3: Moderate Ramp-up (Proven adjacent mastery e.g. Arduino/ESP32 moving to STM32, or SolidWorks to Fusion 360; manageable 1-week curve)
4: Minor Adaptation (Familiar tech stack; only requires learning a specific minor library, sensor API, or configuration syntax)
5: Zero Learning Curve (Team can deploy verified past code, existing toolchains, and established muscle memory directly; no new learning required)</t>
        </is>
      </c>
      <c r="G8" s="26" t="inlineStr">
        <is>
          <t>1: Long Payback (&gt;= 10 Years: High initial CapEx with minimal recurring savings; economically non-viable for rapid deployment)
2: Slow Return (6–9 Years: Substantial capital investment with a long break-even horizon; requires long-term subsidization)
3: Moderate Return (3–5 Years: Reasonable public infrastructure payback; offsets costs across multi-year operational cycles)
4: Fast Return (2–3 Years: Strong operational cost reduction in fuel, labor, scrap; breaks even within normal equipment lifecycle)
5: Immediate Payback (&lt;= 1–2 Years: Rapid break-even; eliminates major recurring operational losses within the first operating season)</t>
        </is>
      </c>
      <c r="H8" s="26" t="inlineStr">
        <is>
          <t>1: Total Vendor Lock-in (100% dependent on proprietary cloud backend, encrypted telemetry, and single-source proprietary connectors)
2: High Dependency (Hardware requires vendor-licensed diagnostic tools or annual subscription fees to maintain operation)
3: Semi-Independent (Core hardware relies on proprietary firmware, but allows open API export and standard electrical interfaces)
4: High Autonomy (Uses standard open communication protocols e.g. Modbus, MQTT, CAN; parts can be serviced using generic tools)
5: Complete Independence (100% open architecture; hardware is interchangeable with generic substitutes; self-serviceable by any engineer)</t>
        </is>
      </c>
      <c r="I8" s="26" t="inlineStr">
        <is>
          <t>1: Zero Buffer (0%: Exactly 1x BOM purchased; any fried chip, cracked bracket, or wiring mistake halts the project)
2: Fragile Buffer (20–30%: Spares only for passive components; no backup microcontrollers or expensive sensors)
3: Moderate Buffer (50%: Spares for all critical passive parts and 1 spare for the primary controller board)
4: High Buffer (80%: Spares for nearly every active component and sensor; can sustain multiple prototype burn-ins)
5: Full Redundancy (&gt;= 100%: Complete 2x BOM budget on hand; can build two complete working units simultaneously)</t>
        </is>
      </c>
      <c r="J8" s="26" t="inlineStr">
        <is>
          <t>1: Severe Violation / No Privilege (Direct breach of statutory law e.g. unconsented public surveillance/PDPA, hazardous road blockage, illegal RF transmission)
2: High Legal Exposure (Ambiguous legal zone; high risk of civic complaints or traffic disruption; requires complex technical waivers)
3: Conditional / Requires Permit (Permitted strictly under formal written approval, official agency MoU, or municipal permits)
4: Low Legal Friction (Operates within standard public engineering exemptions; simple standard notification/safety compliance needed)
5: 100% Free Domain (Fully exempt from statutory licensing; zero public safety risk, zero personal data/Zero PII, fully unrestricted)</t>
        </is>
      </c>
      <c r="K8" s="26" t="inlineStr">
        <is>
          <t>1: Closed Commercial Barrier (Proprietary commercial license; cannot compile, flash, or operate without paying expensive commercial seat licenses)
2: Ambiguous / Gray IP (Unclear licensing terms or unlicensed public repos; risk of copyright strike or IP dispute upon public demonstration)
3: Restrictive Open Source / Copyleft (Permitted for educational use, but viral licenses e.g. GPLv3 force your entire codebase to be made public if distributed)
4: Permissive Open Source (Open source with minimal conditions e.g. LGPL, CC-BY; allows proprietary wrapping with simple attribution)
5: Completely Permissive / Public Domain (Permissive open source e.g. MIT, Apache 2.0, BSD or Public Domain; unrestricted freedom to commercialize, modify, and contribute)</t>
        </is>
      </c>
      <c r="L8" s="26" t="inlineStr">
        <is>
          <t>1: Life-Threatening (Failure causes electrocution, fire, traffic collisions, toxic chemical exposure, or structural collapse)
2: Severe Physical Hazard (Equipment destroys itself, causes acute environmental contamination, or halts major emergency infrastructure)
3: Chaotic Response from User (Panic, operational deadlock, conflicting manual dispatches, and severe operational confusion)
4: Minor Operational Delay (System trips safely; requires a manual reboot or standard fallback procedure; no safety risk or chaos)
5: Benign Budget Loss Only (Failure causes zero human or operational harm; results only in minor, easily absorbed component/battery replacement costs)</t>
        </is>
      </c>
      <c r="M8" s="26" t="inlineStr">
        <is>
          <t>1: Disruptive Overhaul (Forces operators to abandon existing standard procedures, adds 5+ extra tedious forms, and faces active user rejection)
2: High Friction (Adds notable extra documentation or redundant verification steps; operators will actively look for ways to bypass it)
3: Moderate Adaptation (Modifies daily routines slightly; requires 1–2 training sessions, but delivers clear operational trade-offs)
4: Low Friction (Integrates directly into existing tools e.g. sends alerts to existing LINE/Telegram or ticketing dashboard; minimal habit changes)
5: Smooth Transient Operation (Zero workflow disruption; runs transparently in the background and automates existing manual paperwork seamlessly)</t>
        </is>
      </c>
      <c r="N8" s="26" t="inlineStr">
        <is>
          <t>1: Heavy Gatekeeping (Blocked by supervisor approvals, locked lab cabinets, NDA signatures, purchasing bureaucracy, and restricted git branches)
2: Moderate Bureaucracy (Requires departmental request forms, tool booking queues, and waiting 3–5 days for administrative sign-offs)
3: Standard Campus Access (Workable access during university open hours; minor approval delays for specialized equipment or lab keys)
4: High Autonomy (Team has full repository write access, open 24/7 lab entry, and pre-approved discretionary stipends for rapid purchases)
5: Frictionless Contribution (Complete autonomy; decentralized cloud CI/CD, local prototyping tools at home/bench, zero administrative blockers)</t>
        </is>
      </c>
      <c r="O8" s="26" t="inlineStr">
        <is>
          <t>1: Highly Convoluted (Dozens of fragile build steps, complex toolchain dependencies, and high probability of human error during setup)
2: High Complexity (Multi-stage manual toolchains; frequent dependency conflicts and difficult multi-board flashing procedures)
3: Moderate Complexity (Standard multi-step build/assembly pipeline; manageable and repeatable when following a documented checklist)
4: Low Complexity (Straightforward workflow using automated build scripts, standard IDEs, or single-command flashing)
5: Simple &amp; Direct (Plug-and-play, 1-step linear workflow; idiot-proof setup requiring zero multi-stage manual configuration)</t>
        </is>
      </c>
      <c r="P8" s="26" t="inlineStr">
        <is>
          <t>1: Concept Only (0% Design: Napkin sketches and verbal ideas; 0% CAD models, 0% schematics, 0% firmware written)
2: Rough Drafts (25% Design: Preliminary block diagrams, hand-drawn schematics, unverified parts list, rough 3D bounding boxes)
3: Intermediate Maturity (50% Design: Complete CAD assembly with untested clearances, schematic capture complete, draft firmware architecture mapped)
4: Pre-Production (75–80% Design: Detailed 3D CAD ready for 3D print/CNC, routed PCB Gerber files verified with DRC, pinouts locked down)
5: Fully Engineered Design (100% Production Ready: Complete manufacturing package: verified Gerbers, mechanical tolerance drawings, locked BOM, and flashing scripts ready)</t>
        </is>
      </c>
      <c r="Q8" s="26" t="inlineStr">
        <is>
          <t>1: Pure Buzzword / Greenwashing (Claims sustainability benefits with zero data, zero measurable effect, and solves no real municipal problem)
2: Superficial Correlation (Indirect impact; functions only as an isolated school demo with no realistic way to measure damage prevention)
3: Localized Proof (Delivers a measurable, verified benefit e.g. cuts response time or drops localized temperature on a single test strip, but lacks a scaling model)
4: District-Level Viability (Clear pathway to protect municipal infrastructure or reduce public losses across multiple roads/alleys during extreme weather)
5: Systemic City Resilience (Backed by concrete empirical data showing significant reduction in public economic losses, vehicle damage, or human hazard)</t>
        </is>
      </c>
      <c r="R8" s="26" t="inlineStr">
        <is>
          <t>1: Toxic Field Hazard (Enclosure degrades under UV, or unsealed batteries leak toxic chemicals and detach into the urban drainage network as marine litter)
2: Fragile Disposable Tech (Short operational lifespan; sensors foul or corrode within 2–3 weeks and are abandoned because retrieval is impractical)
3: Standard Field Footprint (Requires periodic battery replacement and creates standard electronic scrap, but uses basic tethering to prevent total hardware loss)
4: Low-Impact Enclosure (Solar-trickle or long-life low-power architecture; uses recyclable casing and redundant physical tethers e.g. dual stainless lanyards)
5: Fully Circular &amp; Zero Footprint (100% fail-safe retrieval design; uses non-toxic materials, consumes minimal public resources, and leaves zero field trace)</t>
        </is>
      </c>
      <c r="S8" s="26" t="inlineStr">
        <is>
          <t>1: Opaque Black Box (Proprietary or unexplained threshold that cancels dispatches or alters public services with zero explanation, risking neglect of vulnerable areas)
2: Ambiguous Logic (Decision rules are buried in messy heuristic code; field operators cannot explain to a citizen why an alert was triggered or suppressed)
3: Documented Internal Rules (Logic is documented on paper for engineers, but has no public audit trail or clear appeal mechanism if the sensor misreads)
4: Open Empirical Standards (Decisions are driven by transparent physical equations applied equally across all city zones)
5: 100% Auditable &amp; Equitable (Full tamper-evident digital audit trail; open logic accessible to officials and citizens, guaranteeing equal public protection regardless of district wealth)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4</v>
      </c>
      <c r="C9" s="29" t="n">
        <v>4</v>
      </c>
      <c r="D9" s="29" t="n">
        <v>4</v>
      </c>
      <c r="E9" s="29" t="n">
        <v>4</v>
      </c>
      <c r="F9" s="29" t="n">
        <v>4</v>
      </c>
      <c r="G9" s="29" t="n">
        <v>5</v>
      </c>
      <c r="H9" s="29" t="n">
        <v>4</v>
      </c>
      <c r="I9" s="29" t="n">
        <v>5</v>
      </c>
      <c r="J9" s="29" t="n">
        <v>4</v>
      </c>
      <c r="K9" s="29" t="n">
        <v>5</v>
      </c>
      <c r="L9" s="29" t="n">
        <v>4</v>
      </c>
      <c r="M9" s="29" t="n">
        <v>4</v>
      </c>
      <c r="N9" s="29" t="n">
        <v>5</v>
      </c>
      <c r="O9" s="29" t="n">
        <v>4</v>
      </c>
      <c r="P9" s="29" t="n">
        <v>4</v>
      </c>
      <c r="Q9" s="29" t="n">
        <v>5</v>
      </c>
      <c r="R9" s="29" t="n">
        <v>5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0.04</v>
      </c>
      <c r="C10" s="31" t="n">
        <v>0.04</v>
      </c>
      <c r="D10" s="31" t="n">
        <v>0.04</v>
      </c>
      <c r="E10" s="31" t="n">
        <v>0.04</v>
      </c>
      <c r="F10" s="31" t="n">
        <v>0.04</v>
      </c>
      <c r="G10" s="31" t="n">
        <v>0.0667</v>
      </c>
      <c r="H10" s="31" t="n">
        <v>0.0667</v>
      </c>
      <c r="I10" s="31" t="n">
        <v>0.06660000000000001</v>
      </c>
      <c r="J10" s="31" t="n">
        <v>0.075</v>
      </c>
      <c r="K10" s="31" t="n">
        <v>0.075</v>
      </c>
      <c r="L10" s="31" t="n">
        <v>0.05</v>
      </c>
      <c r="M10" s="31" t="n">
        <v>0.05</v>
      </c>
      <c r="N10" s="31" t="n">
        <v>0.05</v>
      </c>
      <c r="O10" s="31" t="n">
        <v>0.05</v>
      </c>
      <c r="P10" s="31" t="n">
        <v>0.15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solution-2.md ส่วนที่ 3a, 3c สถาปัตยกรรมเป็นการเชื่อมโยง API ระหว่าง Traffy Fondue, เรดาร์น้ำฝน และเซนเซอร์ เป็น COTS Modular Assembly</t>
        </is>
      </c>
      <c r="C12" s="26" t="inlineStr">
        <is>
          <t>solution-2.md ส่วนที่ 3a, 4b ต้องขอสิทธิ์เชื่อมต่อ API ของ Traffy Fondue และข้อมูลเรดาร์จากสำนักการระบายน้ำ กทม.</t>
        </is>
      </c>
      <c r="D12" s="26" t="inlineStr">
        <is>
          <t>solution-2.md ส่วนที่ 1 อ้างอิงระบบ Catchment &amp; Waterways Operations System (CWOS) ของสิงคโปร์ที่ใช้งานจริงระดับประเทศ (Field-Proven)</t>
        </is>
      </c>
      <c r="E12" s="26" t="inlineStr">
        <is>
          <t>due.md (Full-Stack/API), kin.md (Telemetry Ingestion), jk.md (Logic/Python), fifa.md (Data Logging) มีทักษะรองรับ 4 คน</t>
        </is>
      </c>
      <c r="F12" s="26" t="inlineStr">
        <is>
          <t>due.md, kin.md มีความเชี่ยวชาญด้านสถาปัตยกรรม API และการประมวลผลข้อมูลอยู่แล้ว ต้องการเพียงการเรียนรู้โครงสร้าง JSON ของ Traffy Fondue</t>
        </is>
      </c>
      <c r="G12" s="26" t="inlineStr">
        <is>
          <t>solution-2.md ส่วนที่ 2 ลดการส่งรถ QRT ไปเก้อลง 40–50% คืนทุนค่าพัฒนาระบบได้ทันทีในฤดูฝนแรกจากค่าน้ำมันและค่าซ่อมบำรุงรถที่ลดลง</t>
        </is>
      </c>
      <c r="H12" s="26" t="inlineStr">
        <is>
          <t>solution-2.md ส่วนที่ 3a, 4a ใช้สถาปัตยกรรมแบบเปิด REST/MQTT สามารถสลับเซนเซอร์หรือแหล่งข้อมูลสภาพอากาศได้โดยไม่ผูกขาด</t>
        </is>
      </c>
      <c r="I12" s="26" t="inlineStr">
        <is>
          <t>solution-2.md ส่วนที่ 3c เป็นระบบซอฟต์แวร์เลเยอร์ งบประมาณฮาร์ดแวร์เซนเซอร์ทดสอบมีบอร์ดสำรองและอะไหล่เกิน 100%</t>
        </is>
      </c>
      <c r="J12" s="26" t="inlineStr">
        <is>
          <t>solution-2.md ส่วนที่ 3a, 4b ภาพถ่ายจากประชาชนใน Traffy Fondue อาจติดใบหน้าหรือป้ายทะเบียน ต้องมีระบบเบลอภาพอัตโนมัติตาม พ.ร.บ. PDPA</t>
        </is>
      </c>
      <c r="K12" s="26" t="inlineStr">
        <is>
          <t>solution-2.md ส่วนที่ 1, 5 พัฒนาบนซอฟต์แวร์เปิดและแนวคิดสาธารณะของสิงคโปร์ ไม่มีข้อผูกมัดทางสิทธิบัตรเชิงพาณิชย์</t>
        </is>
      </c>
      <c r="L12" s="26" t="inlineStr">
        <is>
          <t>solution-2.md ส่วนที่ 4a, 4c หากระบบโทรมาตรขาดหาย ระบบจะปลดล็อคให้เจ้าหน้าที่ส่งรถตามกระบวนการปกติทันที ไม่เกิดการสะดุดของงานฉุกเฉิน</t>
        </is>
      </c>
      <c r="M12" s="26" t="inlineStr">
        <is>
          <t>solution-2.md ส่วนที่ 3c, 4b ออกแบบแดชบอร์ดสนับสนุนการตัดสินใจและสร้าง Digital Evidence Card แนบให้ประชาชน ตรวจสอบง่าย ไม่รบกวนขั้นตอนเดิม</t>
        </is>
      </c>
      <c r="N12" s="26" t="inlineStr">
        <is>
          <t>due.md, kin.md พัฒนาระบบบนคลาวด์และโลคอลเซิร์ฟเวอร์ได้อย่างอิสระ ไม่ต้องรอการอนุมัติห้องปฏิบัติการเครื่องมือกล</t>
        </is>
      </c>
      <c r="O12" s="26" t="inlineStr">
        <is>
          <t>due.md ส่วนที่ 2 สถาปัตยกรรม REST API และ Database ทั่วไป มีขั้นตอนการติดตั้งและการทดสอบอัตโนมัติที่ตรงไปตรงมา</t>
        </is>
      </c>
      <c r="P12" s="26" t="inlineStr">
        <is>
          <t>schedule.md, solution-2.md ส่วนที่ 3 แบบร่างระบบและแผนภาพการไหลของข้อมูลพร้อมเข้าสู่การทดสอบ TRL 3 ในสัปดาห์ที่ 13 ได้ตามแผน</t>
        </is>
      </c>
      <c r="Q12" s="26" t="inlineStr">
        <is>
          <t>solution-2.md ส่วนที่ 2 สอดคล้องกับ SDG 11.5 ในการเพิ่มความยืดหยุ่นในการรับมือภัยพิบัติของเมือง และจัดสรรทรัพยากรภาครัฐอย่างคุ้มค่า</t>
        </is>
      </c>
      <c r="R12" s="26" t="inlineStr">
        <is>
          <t>solution-2.md ส่วนที่ 3a ปราศจากมลพิษภาคสนาม ไม่ทิ้งขยะอิเล็กทรอนิกส์ในท่อระบายน้ำสาธารณะ ทำงานบนคลาวด์และเซนเซอร์มาตรฐาน</t>
        </is>
      </c>
      <c r="S12" s="26" t="inlineStr">
        <is>
          <t>solution-2.md ส่วนที่ 3b, 4b มีการบันทึกข้อมูลหลักฐานทั้ง 2 ปัจจัยอย่างโปร่งใส ตรวจสอบย้อนหลังได้ทุกการตัดสินใจ ป้องกันการเลือกปฏิบัติ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 REST API และ Webhook เชื่อมต่อระหว่างระบบ</t>
        </is>
      </c>
      <c r="C13" s="26" t="inlineStr">
        <is>
          <t>ใช้ชุดข้อมูลเปิด (Open Data) ของ กทม. ในการทดสอบต้นแบบ</t>
        </is>
      </c>
      <c r="D13" s="26" t="inlineStr">
        <is>
          <t>ปรับปรุงเกณฑ์ระดับน้ำวิกฤตให้เข้ากับขนาดท่อระบายน้ำ กทม.</t>
        </is>
      </c>
      <c r="E13" s="26" t="inlineStr">
        <is>
          <t>Due คุม Backend, Kin คุม Telemetry Stream, JK คุมเงื่อนไข 2-Factor</t>
        </is>
      </c>
      <c r="F13" s="26" t="inlineStr">
        <is>
          <t>ศึกษา API Specification ของ Traffy Fondue ล่วงหน้า</t>
        </is>
      </c>
      <c r="G13" s="26" t="inlineStr">
        <is>
          <t>ทำตารางสรุปผลประโยชน์ทางตรงจากการลดเที่ยววิ่งรถของสำนักงานเขต</t>
        </is>
      </c>
      <c r="H13" s="26" t="inlineStr">
        <is>
          <t>ออกแบบตัวแปลงข้อมูล (Adapter Pattern) รองรับเซนเซอร์หลายค่าย</t>
        </is>
      </c>
      <c r="I13" s="26" t="inlineStr">
        <is>
          <t>เตรียมอุปกรณ์จำลองสัญญาณโทรมาตร (Telemetry Simulator) สำหรับทดสอบ</t>
        </is>
      </c>
      <c r="J13" s="26" t="inlineStr">
        <is>
          <t>ใช้โมดูล AI โอเพนซอร์สช่วยเบลอใบหน้าและป้ายทะเบียนอัตโนมัติ</t>
        </is>
      </c>
      <c r="K13" s="26" t="inlineStr">
        <is>
          <t>ใช้ไลบรารีภายใต้ลิขสิทธิ์เสรี MIT และ Apache 2.0</t>
        </is>
      </c>
      <c r="L13" s="26" t="inlineStr">
        <is>
          <t>กำหนดให้ระบบแจ้งเตือน 'Sensor Offline - Manual Dispatch' เมื่อขาดการติดต่อ</t>
        </is>
      </c>
      <c r="M13" s="26" t="inlineStr">
        <is>
          <t>จัดทำปุ่มกดยืนยันหรือยกเลิกการปล่อยรถที่ใช้งานง่ายบนแท็บเล็ต</t>
        </is>
      </c>
      <c r="N13" s="26" t="inlineStr">
        <is>
          <t>ใช้ระบบ Cloud Sandbox ในการทดสอบและปล่อยอัปเดต</t>
        </is>
      </c>
      <c r="O13" s="26" t="inlineStr">
        <is>
          <t>เขียนไฟล์ Docker Compose เพื่อเริ่มระบบทั้งหมดในคำสั่งเดียว</t>
        </is>
      </c>
      <c r="P13" s="26" t="inlineStr">
        <is>
          <t>ทดสอบการเชื่อมต่อ API จำลองให้แล้วเสร็จก่อนช่วงสอบสัปดาห์ที่ 10</t>
        </is>
      </c>
      <c r="Q13" s="26" t="inlineStr">
        <is>
          <t>รายงานผลการลดการปล่อยคาร์บอนจากการลดการวิ่งรถน้ำมันของเขต</t>
        </is>
      </c>
      <c r="R13" s="26" t="inlineStr">
        <is>
          <t>เลือกใช้เซิร์ฟเวอร์คลาวด์ที่มีนโยบาย Carbon Neutral</t>
        </is>
      </c>
      <c r="S13" s="26" t="inlineStr">
        <is>
          <t>เปิดให้เจ้าหน้าที่และประชาชนตรวจสอบสถานะการคัดกรองผ่านลิงก์สาธารณะ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SUM(B11:F11)*20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SUM(G11:I11)*20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SUM(J11:K11)*20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SUM(L11:O11)*20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P11*20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Acoustic Sewer Measurement &amp; Pre-Screening Maintenance (UK/USA SL-RAT Case)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T-03</t>
        </is>
      </c>
      <c r="E4" s="22" t="inlineStr">
        <is>
          <t>T-04</t>
        </is>
      </c>
      <c r="F4" s="22" t="inlineStr">
        <is>
          <t>T-05</t>
        </is>
      </c>
      <c r="G4" s="22" t="inlineStr">
        <is>
          <t>E-01</t>
        </is>
      </c>
      <c r="H4" s="22" t="inlineStr">
        <is>
          <t>E-02</t>
        </is>
      </c>
      <c r="I4" s="22" t="inlineStr">
        <is>
          <t>E-03</t>
        </is>
      </c>
      <c r="J4" s="22" t="inlineStr">
        <is>
          <t>L-01</t>
        </is>
      </c>
      <c r="K4" s="22" t="inlineStr">
        <is>
          <t>L-02</t>
        </is>
      </c>
      <c r="L4" s="22" t="inlineStr">
        <is>
          <t>O-01</t>
        </is>
      </c>
      <c r="M4" s="22" t="inlineStr">
        <is>
          <t>O-02</t>
        </is>
      </c>
      <c r="N4" s="22" t="inlineStr">
        <is>
          <t>O-03</t>
        </is>
      </c>
      <c r="O4" s="22" t="inlineStr">
        <is>
          <t>O-04</t>
        </is>
      </c>
      <c r="P4" s="22" t="inlineStr">
        <is>
          <t>S-01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ด้านเทคโนโลยีและวิศวกรรม (Technical Feasibility)</t>
        </is>
      </c>
      <c r="C5" s="24" t="inlineStr">
        <is>
          <t>ด้านเทคโนโลยีและวิศวกรรม (Technical Feasibility)</t>
        </is>
      </c>
      <c r="D5" s="24" t="inlineStr">
        <is>
          <t>ด้านเทคโนโลยีและวิศวกรรม (Technical Feasibility)</t>
        </is>
      </c>
      <c r="E5" s="24" t="inlineStr">
        <is>
          <t>ด้านเทคโนโลยีและวิศวกรรม (Technical Feasibility)</t>
        </is>
      </c>
      <c r="F5" s="24" t="inlineStr">
        <is>
          <t>ด้านเทคโนโลยีและวิศวกรรม (Technical Feasibility)</t>
        </is>
      </c>
      <c r="G5" s="24" t="inlineStr">
        <is>
          <t>ด้านเศรษฐศาสตร์ (Economic Feasibility)</t>
        </is>
      </c>
      <c r="H5" s="24" t="inlineStr">
        <is>
          <t>ด้านเศรษฐศาสตร์ (Economic Feasibility)</t>
        </is>
      </c>
      <c r="I5" s="24" t="inlineStr">
        <is>
          <t>ด้านเศรษฐศาสตร์ (Economic Feasibility)</t>
        </is>
      </c>
      <c r="J5" s="24" t="inlineStr">
        <is>
          <t>ด้านกฎหมายและสถาบัน (Legal &amp; Institutional Feasibility)</t>
        </is>
      </c>
      <c r="K5" s="24" t="inlineStr">
        <is>
          <t>ด้านกฎหมายและสถาบัน (Legal &amp; Institutional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ด้านการปฏิบัติการ (Operational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ภาระการสร้างเองกับการเลือกซื้ออุปกรณ์สำเร็จรูป (COTS)</t>
        </is>
      </c>
      <c r="C6" s="26" t="inlineStr">
        <is>
          <t>Access (Tech Stack &amp; Ecosystem Permissions): สิทธิ์และการเข้าถึงสแตกเทคโนโลยีและระบบนิเวศน์</t>
        </is>
      </c>
      <c r="D6" s="26" t="inlineStr">
        <is>
          <t>Base Performance (Technology Readiness Level - TRL): ระดับความพร้อมและความเสถียรของเทคโนโลยีฐาน</t>
        </is>
      </c>
      <c r="E6" s="26" t="inlineStr">
        <is>
          <t>Team Compatibility (Manpower &amp; Skill Redundancy): ความเข้ากันได้ของทักษะทีมและความพร้อมทดแทน (SPOF)</t>
        </is>
      </c>
      <c r="F6" s="26" t="inlineStr">
        <is>
          <t>Learning Curve ("How much do we have to learn?"): เส้นทางการเรียนรู้และระยะเวลาปรับตัวของทีม</t>
        </is>
      </c>
      <c r="G6" s="26" t="inlineStr">
        <is>
          <t>ROI (Payback Period / Value Horizon): ระยะเวลาคืนทุนและกรอบความคุ้มค่าทางการเงิน</t>
        </is>
      </c>
      <c r="H6" s="26" t="inlineStr">
        <is>
          <t>Dependency of Component (Vendor Lock-in &amp; Reliability): การพึ่งพาผู้ขายภายนอกและความเสี่ยงการผูกขาด</t>
        </is>
      </c>
      <c r="I6" s="26" t="inlineStr">
        <is>
          <t>Scrap Margin (Safety Allowance for Blown ICs &amp; Iterations): สัดส่วนงบสำรองสำหรับความเสียหายและการทดลองซ้ำ</t>
        </is>
      </c>
      <c r="J6" s="26" t="inlineStr">
        <is>
          <t>Felony and Civil Law (Regulatory, Traffic &amp; Public Safety Compliance): ความสอดคล้องตามกฎหมายอาญา แพ่ง ระเบียบจราจร และความปลอดภัยสาธารณะ</t>
        </is>
      </c>
      <c r="K6" s="26" t="inlineStr">
        <is>
          <t>IP and Licensing: สิทธิ์ในทรัพย์สินทางปัญญาและการอนุญาตใช้งานซอฟต์แวร์/ฮาร์ดแวร์</t>
        </is>
      </c>
      <c r="L6" s="26" t="inlineStr">
        <is>
          <t>User — Failure Impact ("If it fails, how severe is the effect?"): ความรุนแรงของผลกระทบเมื่อระบบขัดข้องต่อผู้ใช้และสาธารณะ</t>
        </is>
      </c>
      <c r="M6" s="26" t="inlineStr">
        <is>
          <t>User — Behavior &amp; Problem-Solution Fit: ความสอดคล้องกับพฤติกรรมผู้ใช้และกระบวนการทำงานเดิม</t>
        </is>
      </c>
      <c r="N6" s="26" t="inlineStr">
        <is>
          <t>Developer — Contribution Dependency (Administrative &amp; Lab Gatekeeping): การพึ่งพาการอนุมัติและอุปสรรคการเข้าถึงห้องปฏิบัติการ/เครื่องมือ</t>
        </is>
      </c>
      <c r="O6" s="26" t="inlineStr">
        <is>
          <t>Developer — Complexity (Step Count &amp; Pipeline Friction): ความซับซ้อนของขั้นตอนการประกอบ ติดตั้ง และบิวด์ระบบ</t>
        </is>
      </c>
      <c r="P6" s="26" t="inlineStr">
        <is>
          <t>Production Time (Engineering Design Maturity by 5 Business Weeks): วุฒิภาวะของแบบทางวิศวกรรมและความพร้อมผลิตใน 5 สัปดาห์ทำการ</t>
        </is>
      </c>
      <c r="Q6" s="26" t="inlineStr">
        <is>
          <t>SDG-01: Public Impact vs. Academic Greenwashing (SDG 11.5 / 13.1): ผลกระทบเชิงประจักษ์ต่อสาธารณะกับการฟอกเขียวทางวิชาการ</t>
        </is>
      </c>
      <c r="R6" s="26" t="inlineStr">
        <is>
          <t>SDG-02: Environmental Footprint &amp; E-Waste ("Do No Harm" — SDG 6.3 / 12.4): ภาระสิ่งแวดล้อมและขยะอิเล็กทรอนิกส์ตามหลักไม่สร้างผลเสียซ้ำซ้อน</t>
        </is>
      </c>
      <c r="S6" s="26" t="inlineStr">
        <is>
          <t>SDG-03: Algorithmic Equity &amp; Decision Transparency (SDG 10.2 / 16.6): ความเป็นธรรมของอัลกอริทึมและความโปร่งใสในการตัดสินใจ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ประเมินภาระงานวิจัยและพัฒนาชิ้นส่วนฮาร์ดแวร์/เฟิร์มแวร์ว่าต้องสร้างขึ้นใหม่ตั้งแต่ศูนย์หรือใช้อุปกรณ์สำเร็จรูปมาตรฐาน เพื่อควบคุมความเสี่ยงด้านความผิดพลาดและระยะเวลาพัฒนา</t>
        </is>
      </c>
      <c r="C7" s="26" t="inlineStr">
        <is>
          <t>ประเมินข้อจำกัดในการเข้าถึงซอร์สโค้ด สิทธิ์การพัฒนา สิทธิ์การเชื่อมต่อระบบคลาวด์ และสิทธิ์ผู้ดูแลระบบ เพื่อป้องกันปัญหาติดล็อกระบบปิด (Walled Garden)</t>
        </is>
      </c>
      <c r="D7" s="26" t="inlineStr">
        <is>
          <t>ประเมินระดับความพร้อมของเทคโนโลยีต้นแบบ (TRL) ว่าอยู่ในระดับแล็บหรือผ่านการทดสอบภาคสนามจริงมาแล้ว เพื่อลดความเสี่ยงจากการนำเทคโนโลยีที่ยังไม่เสถียรมาใช้งาน</t>
        </is>
      </c>
      <c r="E7" s="26" t="inlineStr">
        <is>
          <t>ประเมินการกระจายทักษะทางเทคนิคและความเสี่ยงจากการมีผู้เชี่ยวชาญเพียงคนเดียว (Single Point of Failure: SPOF) หากสมาชิกหลักไม่อยู่ โครงการจะหยุดชะงักหรือไม่</t>
        </is>
      </c>
      <c r="F7" s="26" t="inlineStr">
        <is>
          <t>ประเมินช่องว่างทางความรู้และทักษะที่ทีมต้องเรียนรู้เพิ่มขึ้นเมื่อเทียบกับประสบการณ์เดิม ป้องกันปัญหางานสะดุดจากการติดขัดช่วงเริ่มต้นการเรียนรู้เทคโนโลยีใหม่</t>
        </is>
      </c>
      <c r="G7" s="26" t="inlineStr">
        <is>
          <t>ประเมินระยะเวลาในการคืนทุนและมูลค่าทางเศรษฐกิจที่ได้กลับคืนจากการลดความสูญเสียเมื่อเทียบกับเงินลงทุนเริ่มต้น (CapEx) และค่าใช้จ่ายดำเนินงาน (OpEx)</t>
        </is>
      </c>
      <c r="H7" s="26" t="inlineStr">
        <is>
          <t>ประเมินความเสี่ยงจากการพึ่งพาระบบคลาวด์เฉพาะ อะไหล่ผูกขาด หรือค่าธรรมเนียมรายปีที่ส่งผลกระทบต่องบประมาณระยะยาวและความยืดหยั่งของระบบ</t>
        </is>
      </c>
      <c r="I7" s="26" t="inlineStr">
        <is>
          <t>ประเมินความเพียงพอของงบประมาณสำรองสำหรับชิ้นส่วนที่อาจเสียหายระหว่างการทดสอบ (Burn-in/Debugging) ป้องกันโครงการหยุดชะงักเมื่ออุปกรณ์เสียหาย</t>
        </is>
      </c>
      <c r="J7" s="26" t="inlineStr">
        <is>
          <t>ประเมินความเสี่ยงต่อการละเมิดกฎหมาย พ.ร.บ. คุ้มครองข้อมูลส่วนบุคคล (PDPA) การรบกวนสัญญาณคลื่นวิทยุ (กสทช.) หรือการติดตั้งที่กีดขวางทางสัญจรและเสี่ยงต่ออันตรายสาธารณะ</t>
        </is>
      </c>
      <c r="K7" s="26" t="inlineStr">
        <is>
          <t>ประเมินข้อกำหนดด้านสัญญาอนุญาตสิทธิ์ (Software/Hardware Licenses) และความเสี่ยงต่อการละเมิดสิทธิบัตรหรือข้อจำกัดแบบไวรัสลิขสิทธิ์ (Viral Copyleft)</t>
        </is>
      </c>
      <c r="L7" s="26" t="inlineStr">
        <is>
          <t>ประเมินความรุนแรงของผลกระทบกรณีระบบล้มเหลว (System Failure) ต่อชีวิต ทรัพย์สิน และการปฏิบัติการฉุกเฉินของเจ้าหน้าที่ เพื่อป้องกันโหมดความล้มเหลวขั้นวิกฤต</t>
        </is>
      </c>
      <c r="M7" s="26" t="inlineStr">
        <is>
          <t>ประเมินแรงต้านทานในการเปลี่ยนแปลงขั้นตอนการทำงานของผู้ปฏิบัติงาน (Operational Resistance) และภาระงานเอกสารหรือการฝึกอบรมที่เพิ่มขึ้น</t>
        </is>
      </c>
      <c r="N7" s="26" t="inlineStr">
        <is>
          <t>ประเมินขั้นตอนความยุ่งยากทางธุรการ การขออนุญาตเข้าใช้สถานที่ และการเข้าถึงอุปกรณ์เครื่องมือในการพัฒนาว่ามีความคล่องตัวหรือถูกปิดกั้น</t>
        </is>
      </c>
      <c r="O7" s="26" t="inlineStr">
        <is>
          <t>ประเมินจำนวนขั้นตอนและความเปราะบางของกระบวนการบิวด์ ติดตั้ง และทดสอบระบบ เพื่อลดโอกาสเกิดข้อผิดพลาดจากมนุษย์ (Human Error)</t>
        </is>
      </c>
      <c r="P7" s="26" t="inlineStr">
        <is>
          <t>ประเมินความสมบูรณ์ของแบบวิศวกรรม (CAD, Schematics, PCB Gerber, Firmware) เทียบกับกรอบเวลา 5 สัปดาห์ทำการก่อนช่วงสอบและการส่งมอบชิ้นงาน</t>
        </is>
      </c>
      <c r="Q7" s="26" t="inlineStr">
        <is>
          <t>ประเมินว่าโครงการสร้างผลกระทบที่วัดผลได้จริงในการลดความสูญเสียจากภัยพิบัติหรือฟื้นฟูเมือง หรือเป็นเพียงข้ออ้างด้านความยั่งยืนเชิงสัญลักษณ์</t>
        </is>
      </c>
      <c r="R7" s="26" t="inlineStr">
        <is>
          <t>ประเมินวงจรชีวิตของอุปกรณ์ การปลดปล่อยสารพิษ ปัญหาขยะอิเล็กทรอนิกส์ (E-Waste) และการหลุดรอดของสารเคมีลงสู่แหล่งน้ำสาธารณะ</t>
        </is>
      </c>
      <c r="S7" s="26" t="inlineStr">
        <is>
          <t>ประเมินความโปร่งใสของตรรกะการตัดสินใจและเกณฑ์การตัดคัดกรองเคส เพื่อป้องกันการเลือกปฏิบัติหรือการเพิกเฉยต่อพื้นที่ชุมชนเปราะบาง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(100% custom R&amp;D required; custom mechanism, bare-metal schematics, custom algorithm derivation; no reference designs or libraries exist)
2: Heavy Customization (Core components exist, but requires extensive custom adaptation, structural machining, and custom wrapper code)
3: Hybrid / COTS Integration (Standard off-the-shelf breakout boards and modules assembled with custom brackets, intermediate wiring, and glue code)
4: Modular COTS Assembly (Pre-engineered building blocks with standard mounting and standard communication buses e.g. DIN-rail modules, I2C/CAN shields; minimal custom fabrication)
5: Buy and Use / COTS (Buy and deploy directly out of the box / Plug-and-Play; zero mechanical or electrical fabrication required)</t>
        </is>
      </c>
      <c r="C8" s="26" t="inlineStr">
        <is>
          <t>1: Strictly Restricted (Proprietary stack under NDA, locked enterprise firewalls, or unavailable developer licenses)
2: Limited Access (Closed binary blobs or third-party proprietary firmware; black-box operation with zero telemetry or source code)
3: Request-Based Access (Educational/evaluation tier with strict rate limits or quotas; requires formal request or approval delays)
4: Open Developer Access (Free public SDKs, full documentation, and open developer APIs, but core low-level architecture cannot be modified)
5: Full-Stack Access (Fully open source with permissive license and open hardware; team has root/admin rights to inspect, modify, and deploy as both user and developer)</t>
        </is>
      </c>
      <c r="D8" s="26" t="inlineStr">
        <is>
          <t>1: Proof of Concept (TRL 2–3: Bench breadboard, simulation, or pure mathematical model; verified only in controlled laboratory conditions)
2: Functional Breadboard (TRL 4: Integrated components working together in a lab; fragile wiring, uncalibrated for harsh field environments)
3: Alpha Prototype (TRL 5–6: Enclosed prototype tested in a relevant simulated environment; operational, but requires human supervision)
4: Beta / Field-Proven (TRL 7: Pre-production hardware operating reliably in the actual operating environment under real-world stress)
5: Commercial Product (TRL 8–9: Fully certified, production-grade commercial product with documented MTBF and mass field reliability)</t>
        </is>
      </c>
      <c r="E8" s="26" t="inlineStr">
        <is>
          <t>1: Single Point of Failure / SPOF (Only 1 person has the required skill; if they are unavailable, subsystem development halts 100%)
2: Solo Lead with Minimal Backup (1 core developer; 1 teammate understands basic concepts but cannot debug code or fix hardware alone)
3: Primary + Secondary Pair (1 primary lead and 1 competent secondary backup who can maintain, troubleshoot, and push updates)
4: Broad Competence (3+ teammates can actively design, assemble, and debug the subsystem with minimal ramp-up time)
5: Full Team Redundancy (All team members are fully proficient; tasks can be swapped across anyone with zero friction or velocity loss)</t>
        </is>
      </c>
      <c r="F8" s="26" t="inlineStr">
        <is>
          <t>1: Total Reset (Every step requires learning completely unfamiliar tools, languages, and hardware from scratch with zero prior baseline)
2: Steep Learning Curve (High theoretical understanding, but zero hands-on experience; debugging basic syntax or wiring stalls progress)
3: Moderate Ramp-up (Proven adjacent mastery e.g. Arduino/ESP32 moving to STM32, or SolidWorks to Fusion 360; manageable 1-week curve)
4: Minor Adaptation (Familiar tech stack; only requires learning a specific minor library, sensor API, or configuration syntax)
5: Zero Learning Curve (Team can deploy verified past code, existing toolchains, and established muscle memory directly; no new learning required)</t>
        </is>
      </c>
      <c r="G8" s="26" t="inlineStr">
        <is>
          <t>1: Long Payback (&gt;= 10 Years: High initial CapEx with minimal recurring savings; economically non-viable for rapid deployment)
2: Slow Return (6–9 Years: Substantial capital investment with a long break-even horizon; requires long-term subsidization)
3: Moderate Return (3–5 Years: Reasonable public infrastructure payback; offsets costs across multi-year operational cycles)
4: Fast Return (2–3 Years: Strong operational cost reduction in fuel, labor, scrap; breaks even within normal equipment lifecycle)
5: Immediate Payback (&lt;= 1–2 Years: Rapid break-even; eliminates major recurring operational losses within the first operating season)</t>
        </is>
      </c>
      <c r="H8" s="26" t="inlineStr">
        <is>
          <t>1: Total Vendor Lock-in (100% dependent on proprietary cloud backend, encrypted telemetry, and single-source proprietary connectors)
2: High Dependency (Hardware requires vendor-licensed diagnostic tools or annual subscription fees to maintain operation)
3: Semi-Independent (Core hardware relies on proprietary firmware, but allows open API export and standard electrical interfaces)
4: High Autonomy (Uses standard open communication protocols e.g. Modbus, MQTT, CAN; parts can be serviced using generic tools)
5: Complete Independence (100% open architecture; hardware is interchangeable with generic substitutes; self-serviceable by any engineer)</t>
        </is>
      </c>
      <c r="I8" s="26" t="inlineStr">
        <is>
          <t>1: Zero Buffer (0%: Exactly 1x BOM purchased; any fried chip, cracked bracket, or wiring mistake halts the project)
2: Fragile Buffer (20–30%: Spares only for passive components; no backup microcontrollers or expensive sensors)
3: Moderate Buffer (50%: Spares for all critical passive parts and 1 spare for the primary controller board)
4: High Buffer (80%: Spares for nearly every active component and sensor; can sustain multiple prototype burn-ins)
5: Full Redundancy (&gt;= 100%: Complete 2x BOM budget on hand; can build two complete working units simultaneously)</t>
        </is>
      </c>
      <c r="J8" s="26" t="inlineStr">
        <is>
          <t>1: Severe Violation / No Privilege (Direct breach of statutory law e.g. unconsented public surveillance/PDPA, hazardous road blockage, illegal RF transmission)
2: High Legal Exposure (Ambiguous legal zone; high risk of civic complaints or traffic disruption; requires complex technical waivers)
3: Conditional / Requires Permit (Permitted strictly under formal written approval, official agency MoU, or municipal permits)
4: Low Legal Friction (Operates within standard public engineering exemptions; simple standard notification/safety compliance needed)
5: 100% Free Domain (Fully exempt from statutory licensing; zero public safety risk, zero personal data/Zero PII, fully unrestricted)</t>
        </is>
      </c>
      <c r="K8" s="26" t="inlineStr">
        <is>
          <t>1: Closed Commercial Barrier (Proprietary commercial license; cannot compile, flash, or operate without paying expensive commercial seat licenses)
2: Ambiguous / Gray IP (Unclear licensing terms or unlicensed public repos; risk of copyright strike or IP dispute upon public demonstration)
3: Restrictive Open Source / Copyleft (Permitted for educational use, but viral licenses e.g. GPLv3 force your entire codebase to be made public if distributed)
4: Permissive Open Source (Open source with minimal conditions e.g. LGPL, CC-BY; allows proprietary wrapping with simple attribution)
5: Completely Permissive / Public Domain (Permissive open source e.g. MIT, Apache 2.0, BSD or Public Domain; unrestricted freedom to commercialize, modify, and contribute)</t>
        </is>
      </c>
      <c r="L8" s="26" t="inlineStr">
        <is>
          <t>1: Life-Threatening (Failure causes electrocution, fire, traffic collisions, toxic chemical exposure, or structural collapse)
2: Severe Physical Hazard (Equipment destroys itself, causes acute environmental contamination, or halts major emergency infrastructure)
3: Chaotic Response from User (Panic, operational deadlock, conflicting manual dispatches, and severe operational confusion)
4: Minor Operational Delay (System trips safely; requires a manual reboot or standard fallback procedure; no safety risk or chaos)
5: Benign Budget Loss Only (Failure causes zero human or operational harm; results only in minor, easily absorbed component/battery replacement costs)</t>
        </is>
      </c>
      <c r="M8" s="26" t="inlineStr">
        <is>
          <t>1: Disruptive Overhaul (Forces operators to abandon existing standard procedures, adds 5+ extra tedious forms, and faces active user rejection)
2: High Friction (Adds notable extra documentation or redundant verification steps; operators will actively look for ways to bypass it)
3: Moderate Adaptation (Modifies daily routines slightly; requires 1–2 training sessions, but delivers clear operational trade-offs)
4: Low Friction (Integrates directly into existing tools e.g. sends alerts to existing LINE/Telegram or ticketing dashboard; minimal habit changes)
5: Smooth Transient Operation (Zero workflow disruption; runs transparently in the background and automates existing manual paperwork seamlessly)</t>
        </is>
      </c>
      <c r="N8" s="26" t="inlineStr">
        <is>
          <t>1: Heavy Gatekeeping (Blocked by supervisor approvals, locked lab cabinets, NDA signatures, purchasing bureaucracy, and restricted git branches)
2: Moderate Bureaucracy (Requires departmental request forms, tool booking queues, and waiting 3–5 days for administrative sign-offs)
3: Standard Campus Access (Workable access during university open hours; minor approval delays for specialized equipment or lab keys)
4: High Autonomy (Team has full repository write access, open 24/7 lab entry, and pre-approved discretionary stipends for rapid purchases)
5: Frictionless Contribution (Complete autonomy; decentralized cloud CI/CD, local prototyping tools at home/bench, zero administrative blockers)</t>
        </is>
      </c>
      <c r="O8" s="26" t="inlineStr">
        <is>
          <t>1: Highly Convoluted (Dozens of fragile build steps, complex toolchain dependencies, and high probability of human error during setup)
2: High Complexity (Multi-stage manual toolchains; frequent dependency conflicts and difficult multi-board flashing procedures)
3: Moderate Complexity (Standard multi-step build/assembly pipeline; manageable and repeatable when following a documented checklist)
4: Low Complexity (Straightforward workflow using automated build scripts, standard IDEs, or single-command flashing)
5: Simple &amp; Direct (Plug-and-play, 1-step linear workflow; idiot-proof setup requiring zero multi-stage manual configuration)</t>
        </is>
      </c>
      <c r="P8" s="26" t="inlineStr">
        <is>
          <t>1: Concept Only (0% Design: Napkin sketches and verbal ideas; 0% CAD models, 0% schematics, 0% firmware written)
2: Rough Drafts (25% Design: Preliminary block diagrams, hand-drawn schematics, unverified parts list, rough 3D bounding boxes)
3: Intermediate Maturity (50% Design: Complete CAD assembly with untested clearances, schematic capture complete, draft firmware architecture mapped)
4: Pre-Production (75–80% Design: Detailed 3D CAD ready for 3D print/CNC, routed PCB Gerber files verified with DRC, pinouts locked down)
5: Fully Engineered Design (100% Production Ready: Complete manufacturing package: verified Gerbers, mechanical tolerance drawings, locked BOM, and flashing scripts ready)</t>
        </is>
      </c>
      <c r="Q8" s="26" t="inlineStr">
        <is>
          <t>1: Pure Buzzword / Greenwashing (Claims sustainability benefits with zero data, zero measurable effect, and solves no real municipal problem)
2: Superficial Correlation (Indirect impact; functions only as an isolated school demo with no realistic way to measure damage prevention)
3: Localized Proof (Delivers a measurable, verified benefit e.g. cuts response time or drops localized temperature on a single test strip, but lacks a scaling model)
4: District-Level Viability (Clear pathway to protect municipal infrastructure or reduce public losses across multiple roads/alleys during extreme weather)
5: Systemic City Resilience (Backed by concrete empirical data showing significant reduction in public economic losses, vehicle damage, or human hazard)</t>
        </is>
      </c>
      <c r="R8" s="26" t="inlineStr">
        <is>
          <t>1: Toxic Field Hazard (Enclosure degrades under UV, or unsealed batteries leak toxic chemicals and detach into the urban drainage network as marine litter)
2: Fragile Disposable Tech (Short operational lifespan; sensors foul or corrode within 2–3 weeks and are abandoned because retrieval is impractical)
3: Standard Field Footprint (Requires periodic battery replacement and creates standard electronic scrap, but uses basic tethering to prevent total hardware loss)
4: Low-Impact Enclosure (Solar-trickle or long-life low-power architecture; uses recyclable casing and redundant physical tethers e.g. dual stainless lanyards)
5: Fully Circular &amp; Zero Footprint (100% fail-safe retrieval design; uses non-toxic materials, consumes minimal public resources, and leaves zero field trace)</t>
        </is>
      </c>
      <c r="S8" s="26" t="inlineStr">
        <is>
          <t>1: Opaque Black Box (Proprietary or unexplained threshold that cancels dispatches or alters public services with zero explanation, risking neglect of vulnerable areas)
2: Ambiguous Logic (Decision rules are buried in messy heuristic code; field operators cannot explain to a citizen why an alert was triggered or suppressed)
3: Documented Internal Rules (Logic is documented on paper for engineers, but has no public audit trail or clear appeal mechanism if the sensor misreads)
4: Open Empirical Standards (Decisions are driven by transparent physical equations applied equally across all city zones)
5: 100% Auditable &amp; Equitable (Full tamper-evident digital audit trail; open logic accessible to officials and citizens, guaranteeing equal public protection regardless of district wealth)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3</v>
      </c>
      <c r="C9" s="29" t="n">
        <v>3</v>
      </c>
      <c r="D9" s="29" t="n">
        <v>3</v>
      </c>
      <c r="E9" s="29" t="n">
        <v>3</v>
      </c>
      <c r="F9" s="29" t="n">
        <v>2</v>
      </c>
      <c r="G9" s="29" t="n">
        <v>4</v>
      </c>
      <c r="H9" s="29" t="n">
        <v>4</v>
      </c>
      <c r="I9" s="29" t="n">
        <v>3</v>
      </c>
      <c r="J9" s="29" t="n">
        <v>3</v>
      </c>
      <c r="K9" s="29" t="n">
        <v>3</v>
      </c>
      <c r="L9" s="29" t="n">
        <v>4</v>
      </c>
      <c r="M9" s="29" t="n">
        <v>3</v>
      </c>
      <c r="N9" s="29" t="n">
        <v>3</v>
      </c>
      <c r="O9" s="29" t="n">
        <v>3</v>
      </c>
      <c r="P9" s="29" t="n">
        <v>3</v>
      </c>
      <c r="Q9" s="29" t="n">
        <v>5</v>
      </c>
      <c r="R9" s="29" t="n">
        <v>5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0.04</v>
      </c>
      <c r="C10" s="31" t="n">
        <v>0.04</v>
      </c>
      <c r="D10" s="31" t="n">
        <v>0.04</v>
      </c>
      <c r="E10" s="31" t="n">
        <v>0.04</v>
      </c>
      <c r="F10" s="31" t="n">
        <v>0.04</v>
      </c>
      <c r="G10" s="31" t="n">
        <v>0.0667</v>
      </c>
      <c r="H10" s="31" t="n">
        <v>0.0667</v>
      </c>
      <c r="I10" s="31" t="n">
        <v>0.06660000000000001</v>
      </c>
      <c r="J10" s="31" t="n">
        <v>0.075</v>
      </c>
      <c r="K10" s="31" t="n">
        <v>0.075</v>
      </c>
      <c r="L10" s="31" t="n">
        <v>0.05</v>
      </c>
      <c r="M10" s="31" t="n">
        <v>0.05</v>
      </c>
      <c r="N10" s="31" t="n">
        <v>0.05</v>
      </c>
      <c r="O10" s="31" t="n">
        <v>0.05</v>
      </c>
      <c r="P10" s="31" t="n">
        <v>0.15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solution-3.md ส่วนที่ 3a ต้องประกอบหัววัดเสียง ก้าน Telescopic Pole และกล่องวงจรกันน้ำ IP67 เป็นการผสมผสาน COTS กับการดัดแปลงเฉพาะทาง</t>
        </is>
      </c>
      <c r="C12" s="26" t="inlineStr">
        <is>
          <t>solution-3.md ส่วนที่ 1, 5 อุปกรณ์ SL-RAT มีสิทธิบัตรเชิงพาณิชย์คุ้มครอง ต้องพัฒนาขั้นตอนวิธีวิเคราะห์คลื่นเสียงสะท้อนขึ้นมาทดสอบเอง</t>
        </is>
      </c>
      <c r="D12" s="26" t="inlineStr">
        <is>
          <t>solution-3.md ส่วนที่ 3a เทคโนโลยีตรวจวัดด้วยเสียงในท่อระบายน้ำเป็นต้นแบบระดับ Alpha Prototype ที่ต้องสอบเทียบกับท่อคอนกรีตจริง</t>
        </is>
      </c>
      <c r="E12" s="26" t="inlineStr">
        <is>
          <t>due.md (ระบบเสียง/แอมป์ MAX98357), fifa.md (งานกลไก/ก้านโพล), jk.md (ฟิสิกส์คลื่น/การคำนวณ) มีทีมงานหลัก 3 คน</t>
        </is>
      </c>
      <c r="F12" s="26" t="inlineStr">
        <is>
          <t>solution-3.md ส่วนที่ 3b, due.md ทีมต้องศึกษาทฤษฎี Acoustic Impedance และ Spectral Attenuation ในท่อระบายน้ำ ซึ่งมีความยากและเป็นเรื่องใหม่สำหรับทีม</t>
        </is>
      </c>
      <c r="G12" s="26" t="inlineStr">
        <is>
          <t>solution-3.md ส่วนที่ 2 ตรวจคัดกรองรวดเร็วตัดการส่งรถดูดโคลนไปล้างท่อที่ยังสะอาด (Tier 3) ประหยัดงบประมาณลอกท่อได้มหาศาล คืนทุนใน 2-3 ปี</t>
        </is>
      </c>
      <c r="H12" s="26" t="inlineStr">
        <is>
          <t>solution-3.md ส่วนที่ 3a อุปกรณ์ฮาร์ดแวร์หัววัดเสียง ลำโพง และไมโครโฟนสามารถจัดซื้อทั่วไปได้ ไม่ผูกขาดกับผู้ค้ารายเดียว</t>
        </is>
      </c>
      <c r="I12" s="26" t="inlineStr">
        <is>
          <t>solution-3.md ส่วนที่ 4a หัววัดเสียงที่หย่อนลงบ่อพักน้ำมีความเสี่ยงต่อความชื้นและสารเคมีกัดกร่อน งบประมาณสำรองชิ้นส่วนมีรองรับระดับ 50%</t>
        </is>
      </c>
      <c r="J12" s="26" t="inlineStr">
        <is>
          <t>solution-3.md ส่วนที่ 3a การเปิดฝาท่อพักน้ำบนทางเท้าสาธารณะต้องได้รับอนุญาตจากเขต และต้องมีมาตรการกั้นพื้นที่ความปลอดภัยจราจร</t>
        </is>
      </c>
      <c r="K12" s="26" t="inlineStr">
        <is>
          <t>solution-3.md ส่วนที่ 1, 5 มีสิทธิบัตรคุ้มครองของระบบ SL-RAT ในสหรัฐฯ สามารถทำเพื่อการวิจัยการศึกษาได้ แต่ต้องระวังหากผลิตเชิงพาณิชย์</t>
        </is>
      </c>
      <c r="L12" s="26" t="inlineStr">
        <is>
          <t>solution-3.md ส่วนที่ 1, 3a ปฏิบัติงานจากผิวทางเท้าโดยไม่ต้องมุดลงไปในท่อ (Zero Confined Space Entry) หากเครื่องมือขัดข้องไม่ก่อให้เกิดอันตรายถึงชีวิต</t>
        </is>
      </c>
      <c r="M12" s="26" t="inlineStr">
        <is>
          <t>solution-3.md ส่วนที่ 3b เจ้าหน้าที่ลอกท่อต้องเรียนรู้วิธีการหย่อนก้านวัดและทำความเข้าใจคะแนน 3 เทียร์ ต้องมีการจัดอบรมสั้นๆ 1-2 ครั้ง</t>
        </is>
      </c>
      <c r="N12" s="26" t="inlineStr">
        <is>
          <t>solution-3.md ส่วนที่ 3a ต้องขออนุญาตเข้าใช้สถานที่ทดสอบท่อระบายน้ำจำลองของมหาวิทยาลัยเพื่อเก็บข้อมูลการสะท้อนของเสียง</t>
        </is>
      </c>
      <c r="O12" s="26" t="inlineStr">
        <is>
          <t>solution-3.md ส่วนที่ 3a, 3b มีขั้นตอนการประกอบฮาร์ดแวร์ การซีลกันน้ำ และการประมวลผลสัญญาณเสียงสะท้อนที่ต้องปฏิบัติตามขั้นตอนอย่างรอบคอบ</t>
        </is>
      </c>
      <c r="P12" s="26" t="inlineStr">
        <is>
          <t>schedule.md, solution-3.md ส่วนที่ 3a การออกแบบ 3D CAD ก้านหย่อนและวงจรวัดเสียงสามารถเสร็จสิ้นในระดับ 50% (TRL 3) ได้ใน 5 สัปดาห์</t>
        </is>
      </c>
      <c r="Q12" s="26" t="inlineStr">
        <is>
          <t>solution-3.md ส่วนที่ 2 ช่วยจัดลำดับการล้างท่อระบายน้ำเชิงรุก ป้องกันปัญหาน้ำท่วมเมืองอย่างตรงจุดตามเป้าหมาย SDG 11.5</t>
        </is>
      </c>
      <c r="R12" s="26" t="inlineStr">
        <is>
          <t>solution-3.md ส่วนที่ 3a, 4a อุปกรณ์ติดอยู่กับก้านโพล ไม่ทิ้งเศษชิ้นส่วนหรือขยะอิเล็กทรอนิกส์ไว้ในท่อระบายน้ำ เป็นมิตรต่อสิ่งแวดล้อม</t>
        </is>
      </c>
      <c r="S12" s="26" t="inlineStr">
        <is>
          <t>solution-3.md ส่วนที่ 3b เกณฑ์มาตรฐาน 3 เทียร์ให้ผลลัพธ์ที่เป็นตัวเลขเชิงประจักษ์ โปร่งใส ขจัดปัญหาการเลือกปฏิบัติในการจัดคิวลอกท่อ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ใช้ก้านโพลคาร์บอนไฟเบอร์สำเร็จรูปและกล่องกันน้ำ COTS IP67</t>
        </is>
      </c>
      <c r="C13" s="26" t="inlineStr">
        <is>
          <t>ใช้สมการการสะท้อนของคลื่นเสียงตามหลักฟิสิกส์มาตรฐาน</t>
        </is>
      </c>
      <c r="D13" s="26" t="inlineStr">
        <is>
          <t>ทดสอบในท่อคอนกรีตจำลองที่มีความยาวและระดับน้ำขังต่างกัน</t>
        </is>
      </c>
      <c r="E13" s="26" t="inlineStr">
        <is>
          <t>Due ดูแลระบบขยายเสียงและไมโครโฟน, Fifa ดูแลโครงสร้างทางกล</t>
        </is>
      </c>
      <c r="F13" s="26" t="inlineStr">
        <is>
          <t>ปรึกษาอาจารย์ที่ปรึกษาด้านการประมวลผลสัญญาณและคลื่นเสียง</t>
        </is>
      </c>
      <c r="G13" s="26" t="inlineStr">
        <is>
          <t>คำนวณต้นทุนการเดินรถดูดโคลนต่อวันเปรียบเทียบกับค่าเครื่องมือวัดเสียง</t>
        </is>
      </c>
      <c r="H13" s="26" t="inlineStr">
        <is>
          <t>เลือกลำโพงและไมโครโฟนเกรดกันน้ำที่มีจำหน่ายแพร่หลาย</t>
        </is>
      </c>
      <c r="I13" s="26" t="inlineStr">
        <is>
          <t>จัดซื้อหัวทรานสดิวเซอร์เสียงสำรองอย่างน้อย 1 คู่</t>
        </is>
      </c>
      <c r="J13" s="26" t="inlineStr">
        <is>
          <t>ทำหนังสือขออนุญาตและขอความร่วมมือจากสำนักงานเขตในการลงพื้นที่</t>
        </is>
      </c>
      <c r="K13" s="26" t="inlineStr">
        <is>
          <t>ศึกษารายละเอียดข้อถือสิทธิ์ในสิทธิบัตรเพื่อหลีกเลี่ยงการละเมิด</t>
        </is>
      </c>
      <c r="L13" s="26" t="inlineStr">
        <is>
          <t>กำหนดข้อห้ามเด็ดขาดไม่ให้เจ้าหน้าที่มุดลงบ่อพักน้ำ</t>
        </is>
      </c>
      <c r="M13" s="26" t="inlineStr">
        <is>
          <t>ออกแบบคู่มือปฏิบัติงานฉบับย่อเคลือบพลาสติกติดไว้กับตัวเครื่อง</t>
        </is>
      </c>
      <c r="N13" s="26" t="inlineStr">
        <is>
          <t>ประสานงานห้องปฏิบัติการชลศาสตร์เพื่อขอใช้รางน้ำและท่อทดสอบ</t>
        </is>
      </c>
      <c r="O13" s="26" t="inlineStr">
        <is>
          <t>ทำ Checklist การตรวจสอบความพร้อมของอุปกรณ์ก่อนลงพื้นที่</t>
        </is>
      </c>
      <c r="P13" s="26" t="inlineStr">
        <is>
          <t>เร่งขึ้นรูปชิ้นส่วน 3D Print สำหรับยึดหัววัดเสียงให้เสร็จในสัปดาห์ที่ 11</t>
        </is>
      </c>
      <c r="Q13" s="26" t="inlineStr">
        <is>
          <t>ทำแผนที่ความสะอาดของท่อในพื้นที่นำร่องเปรียบเทียบกับจุดน้ำท่วมซ้ำซาก</t>
        </is>
      </c>
      <c r="R13" s="26" t="inlineStr">
        <is>
          <t>ใช้วัสดุก้านโพลที่ทนทานและไม่ก่อให้เกิดมลภาวะ</t>
        </is>
      </c>
      <c r="S13" s="26" t="inlineStr">
        <is>
          <t>เผยแพร่เกณฑ์การแบ่งเทียร์คะแนนความสะอาดให้ประชาชนรับทราบ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SUM(B11:F11)*20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SUM(G11:I11)*20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SUM(J11:K11)*20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SUM(L11:O11)*20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P11*20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Underground Flow Telemetry &amp; Predictive Maintenance (Jakarta Case)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T-03</t>
        </is>
      </c>
      <c r="E4" s="22" t="inlineStr">
        <is>
          <t>T-04</t>
        </is>
      </c>
      <c r="F4" s="22" t="inlineStr">
        <is>
          <t>T-05</t>
        </is>
      </c>
      <c r="G4" s="22" t="inlineStr">
        <is>
          <t>E-01</t>
        </is>
      </c>
      <c r="H4" s="22" t="inlineStr">
        <is>
          <t>E-02</t>
        </is>
      </c>
      <c r="I4" s="22" t="inlineStr">
        <is>
          <t>E-03</t>
        </is>
      </c>
      <c r="J4" s="22" t="inlineStr">
        <is>
          <t>L-01</t>
        </is>
      </c>
      <c r="K4" s="22" t="inlineStr">
        <is>
          <t>L-02</t>
        </is>
      </c>
      <c r="L4" s="22" t="inlineStr">
        <is>
          <t>O-01</t>
        </is>
      </c>
      <c r="M4" s="22" t="inlineStr">
        <is>
          <t>O-02</t>
        </is>
      </c>
      <c r="N4" s="22" t="inlineStr">
        <is>
          <t>O-03</t>
        </is>
      </c>
      <c r="O4" s="22" t="inlineStr">
        <is>
          <t>O-04</t>
        </is>
      </c>
      <c r="P4" s="22" t="inlineStr">
        <is>
          <t>S-01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ด้านเทคโนโลยีและวิศวกรรม (Technical Feasibility)</t>
        </is>
      </c>
      <c r="C5" s="24" t="inlineStr">
        <is>
          <t>ด้านเทคโนโลยีและวิศวกรรม (Technical Feasibility)</t>
        </is>
      </c>
      <c r="D5" s="24" t="inlineStr">
        <is>
          <t>ด้านเทคโนโลยีและวิศวกรรม (Technical Feasibility)</t>
        </is>
      </c>
      <c r="E5" s="24" t="inlineStr">
        <is>
          <t>ด้านเทคโนโลยีและวิศวกรรม (Technical Feasibility)</t>
        </is>
      </c>
      <c r="F5" s="24" t="inlineStr">
        <is>
          <t>ด้านเทคโนโลยีและวิศวกรรม (Technical Feasibility)</t>
        </is>
      </c>
      <c r="G5" s="24" t="inlineStr">
        <is>
          <t>ด้านเศรษฐศาสตร์ (Economic Feasibility)</t>
        </is>
      </c>
      <c r="H5" s="24" t="inlineStr">
        <is>
          <t>ด้านเศรษฐศาสตร์ (Economic Feasibility)</t>
        </is>
      </c>
      <c r="I5" s="24" t="inlineStr">
        <is>
          <t>ด้านเศรษฐศาสตร์ (Economic Feasibility)</t>
        </is>
      </c>
      <c r="J5" s="24" t="inlineStr">
        <is>
          <t>ด้านกฎหมายและสถาบัน (Legal &amp; Institutional Feasibility)</t>
        </is>
      </c>
      <c r="K5" s="24" t="inlineStr">
        <is>
          <t>ด้านกฎหมายและสถาบัน (Legal &amp; Institutional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ด้านการปฏิบัติการ (Operational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ภาระการสร้างเองกับการเลือกซื้ออุปกรณ์สำเร็จรูป (COTS)</t>
        </is>
      </c>
      <c r="C6" s="26" t="inlineStr">
        <is>
          <t>Access (Tech Stack &amp; Ecosystem Permissions): สิทธิ์และการเข้าถึงสแตกเทคโนโลยีและระบบนิเวศน์</t>
        </is>
      </c>
      <c r="D6" s="26" t="inlineStr">
        <is>
          <t>Base Performance (Technology Readiness Level - TRL): ระดับความพร้อมและความเสถียรของเทคโนโลยีฐาน</t>
        </is>
      </c>
      <c r="E6" s="26" t="inlineStr">
        <is>
          <t>Team Compatibility (Manpower &amp; Skill Redundancy): ความเข้ากันได้ของทักษะทีมและความพร้อมทดแทน (SPOF)</t>
        </is>
      </c>
      <c r="F6" s="26" t="inlineStr">
        <is>
          <t>Learning Curve ("How much do we have to learn?"): เส้นทางการเรียนรู้และระยะเวลาปรับตัวของทีม</t>
        </is>
      </c>
      <c r="G6" s="26" t="inlineStr">
        <is>
          <t>ROI (Payback Period / Value Horizon): ระยะเวลาคืนทุนและกรอบความคุ้มค่าทางการเงิน</t>
        </is>
      </c>
      <c r="H6" s="26" t="inlineStr">
        <is>
          <t>Dependency of Component (Vendor Lock-in &amp; Reliability): การพึ่งพาผู้ขายภายนอกและความเสี่ยงการผูกขาด</t>
        </is>
      </c>
      <c r="I6" s="26" t="inlineStr">
        <is>
          <t>Scrap Margin (Safety Allowance for Blown ICs &amp; Iterations): สัดส่วนงบสำรองสำหรับความเสียหายและการทดลองซ้ำ</t>
        </is>
      </c>
      <c r="J6" s="26" t="inlineStr">
        <is>
          <t>Felony and Civil Law (Regulatory, Traffic &amp; Public Safety Compliance): ความสอดคล้องตามกฎหมายอาญา แพ่ง ระเบียบจราจร และความปลอดภัยสาธารณะ</t>
        </is>
      </c>
      <c r="K6" s="26" t="inlineStr">
        <is>
          <t>IP and Licensing: สิทธิ์ในทรัพย์สินทางปัญญาและการอนุญาตใช้งานซอฟต์แวร์/ฮาร์ดแวร์</t>
        </is>
      </c>
      <c r="L6" s="26" t="inlineStr">
        <is>
          <t>User — Failure Impact ("If it fails, how severe is the effect?"): ความรุนแรงของผลกระทบเมื่อระบบขัดข้องต่อผู้ใช้และสาธารณะ</t>
        </is>
      </c>
      <c r="M6" s="26" t="inlineStr">
        <is>
          <t>User — Behavior &amp; Problem-Solution Fit: ความสอดคล้องกับพฤติกรรมผู้ใช้และกระบวนการทำงานเดิม</t>
        </is>
      </c>
      <c r="N6" s="26" t="inlineStr">
        <is>
          <t>Developer — Contribution Dependency (Administrative &amp; Lab Gatekeeping): การพึ่งพาการอนุมัติและอุปสรรคการเข้าถึงห้องปฏิบัติการ/เครื่องมือ</t>
        </is>
      </c>
      <c r="O6" s="26" t="inlineStr">
        <is>
          <t>Developer — Complexity (Step Count &amp; Pipeline Friction): ความซับซ้อนของขั้นตอนการประกอบ ติดตั้ง และบิวด์ระบบ</t>
        </is>
      </c>
      <c r="P6" s="26" t="inlineStr">
        <is>
          <t>Production Time (Engineering Design Maturity by 5 Business Weeks): วุฒิภาวะของแบบทางวิศวกรรมและความพร้อมผลิตใน 5 สัปดาห์ทำการ</t>
        </is>
      </c>
      <c r="Q6" s="26" t="inlineStr">
        <is>
          <t>SDG-01: Public Impact vs. Academic Greenwashing (SDG 11.5 / 13.1): ผลกระทบเชิงประจักษ์ต่อสาธารณะกับการฟอกเขียวทางวิชาการ</t>
        </is>
      </c>
      <c r="R6" s="26" t="inlineStr">
        <is>
          <t>SDG-02: Environmental Footprint &amp; E-Waste ("Do No Harm" — SDG 6.3 / 12.4): ภาระสิ่งแวดล้อมและขยะอิเล็กทรอนิกส์ตามหลักไม่สร้างผลเสียซ้ำซ้อน</t>
        </is>
      </c>
      <c r="S6" s="26" t="inlineStr">
        <is>
          <t>SDG-03: Algorithmic Equity &amp; Decision Transparency (SDG 10.2 / 16.6): ความเป็นธรรมของอัลกอริทึมและความโปร่งใสในการตัดสินใจ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ประเมินภาระงานวิจัยและพัฒนาชิ้นส่วนฮาร์ดแวร์/เฟิร์มแวร์ว่าต้องสร้างขึ้นใหม่ตั้งแต่ศูนย์หรือใช้อุปกรณ์สำเร็จรูปมาตรฐาน เพื่อควบคุมความเสี่ยงด้านความผิดพลาดและระยะเวลาพัฒนา</t>
        </is>
      </c>
      <c r="C7" s="26" t="inlineStr">
        <is>
          <t>ประเมินข้อจำกัดในการเข้าถึงซอร์สโค้ด สิทธิ์การพัฒนา สิทธิ์การเชื่อมต่อระบบคลาวด์ และสิทธิ์ผู้ดูแลระบบ เพื่อป้องกันปัญหาติดล็อกระบบปิด (Walled Garden)</t>
        </is>
      </c>
      <c r="D7" s="26" t="inlineStr">
        <is>
          <t>ประเมินระดับความพร้อมของเทคโนโลยีต้นแบบ (TRL) ว่าอยู่ในระดับแล็บหรือผ่านการทดสอบภาคสนามจริงมาแล้ว เพื่อลดความเสี่ยงจากการนำเทคโนโลยีที่ยังไม่เสถียรมาใช้งาน</t>
        </is>
      </c>
      <c r="E7" s="26" t="inlineStr">
        <is>
          <t>ประเมินการกระจายทักษะทางเทคนิคและความเสี่ยงจากการมีผู้เชี่ยวชาญเพียงคนเดียว (Single Point of Failure: SPOF) หากสมาชิกหลักไม่อยู่ โครงการจะหยุดชะงักหรือไม่</t>
        </is>
      </c>
      <c r="F7" s="26" t="inlineStr">
        <is>
          <t>ประเมินช่องว่างทางความรู้และทักษะที่ทีมต้องเรียนรู้เพิ่มขึ้นเมื่อเทียบกับประสบการณ์เดิม ป้องกันปัญหางานสะดุดจากการติดขัดช่วงเริ่มต้นการเรียนรู้เทคโนโลยีใหม่</t>
        </is>
      </c>
      <c r="G7" s="26" t="inlineStr">
        <is>
          <t>ประเมินระยะเวลาในการคืนทุนและมูลค่าทางเศรษฐกิจที่ได้กลับคืนจากการลดความสูญเสียเมื่อเทียบกับเงินลงทุนเริ่มต้น (CapEx) และค่าใช้จ่ายดำเนินงาน (OpEx)</t>
        </is>
      </c>
      <c r="H7" s="26" t="inlineStr">
        <is>
          <t>ประเมินความเสี่ยงจากการพึ่งพาระบบคลาวด์เฉพาะ อะไหล่ผูกขาด หรือค่าธรรมเนียมรายปีที่ส่งผลกระทบต่องบประมาณระยะยาวและความยืดหยั่งของระบบ</t>
        </is>
      </c>
      <c r="I7" s="26" t="inlineStr">
        <is>
          <t>ประเมินความเพียงพอของงบประมาณสำรองสำหรับชิ้นส่วนที่อาจเสียหายระหว่างการทดสอบ (Burn-in/Debugging) ป้องกันโครงการหยุดชะงักเมื่ออุปกรณ์เสียหาย</t>
        </is>
      </c>
      <c r="J7" s="26" t="inlineStr">
        <is>
          <t>ประเมินความเสี่ยงต่อการละเมิดกฎหมาย พ.ร.บ. คุ้มครองข้อมูลส่วนบุคคล (PDPA) การรบกวนสัญญาณคลื่นวิทยุ (กสทช.) หรือการติดตั้งที่กีดขวางทางสัญจรและเสี่ยงต่ออันตรายสาธารณะ</t>
        </is>
      </c>
      <c r="K7" s="26" t="inlineStr">
        <is>
          <t>ประเมินข้อกำหนดด้านสัญญาอนุญาตสิทธิ์ (Software/Hardware Licenses) และความเสี่ยงต่อการละเมิดสิทธิบัตรหรือข้อจำกัดแบบไวรัสลิขสิทธิ์ (Viral Copyleft)</t>
        </is>
      </c>
      <c r="L7" s="26" t="inlineStr">
        <is>
          <t>ประเมินความรุนแรงของผลกระทบกรณีระบบล้มเหลว (System Failure) ต่อชีวิต ทรัพย์สิน และการปฏิบัติการฉุกเฉินของเจ้าหน้าที่ เพื่อป้องกันโหมดความล้มเหลวขั้นวิกฤต</t>
        </is>
      </c>
      <c r="M7" s="26" t="inlineStr">
        <is>
          <t>ประเมินแรงต้านทานในการเปลี่ยนแปลงขั้นตอนการทำงานของผู้ปฏิบัติงาน (Operational Resistance) และภาระงานเอกสารหรือการฝึกอบรมที่เพิ่มขึ้น</t>
        </is>
      </c>
      <c r="N7" s="26" t="inlineStr">
        <is>
          <t>ประเมินขั้นตอนความยุ่งยากทางธุรการ การขออนุญาตเข้าใช้สถานที่ และการเข้าถึงอุปกรณ์เครื่องมือในการพัฒนาว่ามีความคล่องตัวหรือถูกปิดกั้น</t>
        </is>
      </c>
      <c r="O7" s="26" t="inlineStr">
        <is>
          <t>ประเมินจำนวนขั้นตอนและความเปราะบางของกระบวนการบิวด์ ติดตั้ง และทดสอบระบบ เพื่อลดโอกาสเกิดข้อผิดพลาดจากมนุษย์ (Human Error)</t>
        </is>
      </c>
      <c r="P7" s="26" t="inlineStr">
        <is>
          <t>ประเมินความสมบูรณ์ของแบบวิศวกรรม (CAD, Schematics, PCB Gerber, Firmware) เทียบกับกรอบเวลา 5 สัปดาห์ทำการก่อนช่วงสอบและการส่งมอบชิ้นงาน</t>
        </is>
      </c>
      <c r="Q7" s="26" t="inlineStr">
        <is>
          <t>ประเมินว่าโครงการสร้างผลกระทบที่วัดผลได้จริงในการลดความสูญเสียจากภัยพิบัติหรือฟื้นฟูเมือง หรือเป็นเพียงข้ออ้างด้านความยั่งยืนเชิงสัญลักษณ์</t>
        </is>
      </c>
      <c r="R7" s="26" t="inlineStr">
        <is>
          <t>ประเมินวงจรชีวิตของอุปกรณ์ การปลดปล่อยสารพิษ ปัญหาขยะอิเล็กทรอนิกส์ (E-Waste) และการหลุดรอดของสารเคมีลงสู่แหล่งน้ำสาธารณะ</t>
        </is>
      </c>
      <c r="S7" s="26" t="inlineStr">
        <is>
          <t>ประเมินความโปร่งใสของตรรกะการตัดสินใจและเกณฑ์การตัดคัดกรองเคส เพื่อป้องกันการเลือกปฏิบัติหรือการเพิกเฉยต่อพื้นที่ชุมชนเปราะบาง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(100% custom R&amp;D required; custom mechanism, bare-metal schematics, custom algorithm derivation; no reference designs or libraries exist)
2: Heavy Customization (Core components exist, but requires extensive custom adaptation, structural machining, and custom wrapper code)
3: Hybrid / COTS Integration (Standard off-the-shelf breakout boards and modules assembled with custom brackets, intermediate wiring, and glue code)
4: Modular COTS Assembly (Pre-engineered building blocks with standard mounting and standard communication buses e.g. DIN-rail modules, I2C/CAN shields; minimal custom fabrication)
5: Buy and Use / COTS (Buy and deploy directly out of the box / Plug-and-Play; zero mechanical or electrical fabrication required)</t>
        </is>
      </c>
      <c r="C8" s="26" t="inlineStr">
        <is>
          <t>1: Strictly Restricted (Proprietary stack under NDA, locked enterprise firewalls, or unavailable developer licenses)
2: Limited Access (Closed binary blobs or third-party proprietary firmware; black-box operation with zero telemetry or source code)
3: Request-Based Access (Educational/evaluation tier with strict rate limits or quotas; requires formal request or approval delays)
4: Open Developer Access (Free public SDKs, full documentation, and open developer APIs, but core low-level architecture cannot be modified)
5: Full-Stack Access (Fully open source with permissive license and open hardware; team has root/admin rights to inspect, modify, and deploy as both user and developer)</t>
        </is>
      </c>
      <c r="D8" s="26" t="inlineStr">
        <is>
          <t>1: Proof of Concept (TRL 2–3: Bench breadboard, simulation, or pure mathematical model; verified only in controlled laboratory conditions)
2: Functional Breadboard (TRL 4: Integrated components working together in a lab; fragile wiring, uncalibrated for harsh field environments)
3: Alpha Prototype (TRL 5–6: Enclosed prototype tested in a relevant simulated environment; operational, but requires human supervision)
4: Beta / Field-Proven (TRL 7: Pre-production hardware operating reliably in the actual operating environment under real-world stress)
5: Commercial Product (TRL 8–9: Fully certified, production-grade commercial product with documented MTBF and mass field reliability)</t>
        </is>
      </c>
      <c r="E8" s="26" t="inlineStr">
        <is>
          <t>1: Single Point of Failure / SPOF (Only 1 person has the required skill; if they are unavailable, subsystem development halts 100%)
2: Solo Lead with Minimal Backup (1 core developer; 1 teammate understands basic concepts but cannot debug code or fix hardware alone)
3: Primary + Secondary Pair (1 primary lead and 1 competent secondary backup who can maintain, troubleshoot, and push updates)
4: Broad Competence (3+ teammates can actively design, assemble, and debug the subsystem with minimal ramp-up time)
5: Full Team Redundancy (All team members are fully proficient; tasks can be swapped across anyone with zero friction or velocity loss)</t>
        </is>
      </c>
      <c r="F8" s="26" t="inlineStr">
        <is>
          <t>1: Total Reset (Every step requires learning completely unfamiliar tools, languages, and hardware from scratch with zero prior baseline)
2: Steep Learning Curve (High theoretical understanding, but zero hands-on experience; debugging basic syntax or wiring stalls progress)
3: Moderate Ramp-up (Proven adjacent mastery e.g. Arduino/ESP32 moving to STM32, or SolidWorks to Fusion 360; manageable 1-week curve)
4: Minor Adaptation (Familiar tech stack; only requires learning a specific minor library, sensor API, or configuration syntax)
5: Zero Learning Curve (Team can deploy verified past code, existing toolchains, and established muscle memory directly; no new learning required)</t>
        </is>
      </c>
      <c r="G8" s="26" t="inlineStr">
        <is>
          <t>1: Long Payback (&gt;= 10 Years: High initial CapEx with minimal recurring savings; economically non-viable for rapid deployment)
2: Slow Return (6–9 Years: Substantial capital investment with a long break-even horizon; requires long-term subsidization)
3: Moderate Return (3–5 Years: Reasonable public infrastructure payback; offsets costs across multi-year operational cycles)
4: Fast Return (2–3 Years: Strong operational cost reduction in fuel, labor, scrap; breaks even within normal equipment lifecycle)
5: Immediate Payback (&lt;= 1–2 Years: Rapid break-even; eliminates major recurring operational losses within the first operating season)</t>
        </is>
      </c>
      <c r="H8" s="26" t="inlineStr">
        <is>
          <t>1: Total Vendor Lock-in (100% dependent on proprietary cloud backend, encrypted telemetry, and single-source proprietary connectors)
2: High Dependency (Hardware requires vendor-licensed diagnostic tools or annual subscription fees to maintain operation)
3: Semi-Independent (Core hardware relies on proprietary firmware, but allows open API export and standard electrical interfaces)
4: High Autonomy (Uses standard open communication protocols e.g. Modbus, MQTT, CAN; parts can be serviced using generic tools)
5: Complete Independence (100% open architecture; hardware is interchangeable with generic substitutes; self-serviceable by any engineer)</t>
        </is>
      </c>
      <c r="I8" s="26" t="inlineStr">
        <is>
          <t>1: Zero Buffer (0%: Exactly 1x BOM purchased; any fried chip, cracked bracket, or wiring mistake halts the project)
2: Fragile Buffer (20–30%: Spares only for passive components; no backup microcontrollers or expensive sensors)
3: Moderate Buffer (50%: Spares for all critical passive parts and 1 spare for the primary controller board)
4: High Buffer (80%: Spares for nearly every active component and sensor; can sustain multiple prototype burn-ins)
5: Full Redundancy (&gt;= 100%: Complete 2x BOM budget on hand; can build two complete working units simultaneously)</t>
        </is>
      </c>
      <c r="J8" s="26" t="inlineStr">
        <is>
          <t>1: Severe Violation / No Privilege (Direct breach of statutory law e.g. unconsented public surveillance/PDPA, hazardous road blockage, illegal RF transmission)
2: High Legal Exposure (Ambiguous legal zone; high risk of civic complaints or traffic disruption; requires complex technical waivers)
3: Conditional / Requires Permit (Permitted strictly under formal written approval, official agency MoU, or municipal permits)
4: Low Legal Friction (Operates within standard public engineering exemptions; simple standard notification/safety compliance needed)
5: 100% Free Domain (Fully exempt from statutory licensing; zero public safety risk, zero personal data/Zero PII, fully unrestricted)</t>
        </is>
      </c>
      <c r="K8" s="26" t="inlineStr">
        <is>
          <t>1: Closed Commercial Barrier (Proprietary commercial license; cannot compile, flash, or operate without paying expensive commercial seat licenses)
2: Ambiguous / Gray IP (Unclear licensing terms or unlicensed public repos; risk of copyright strike or IP dispute upon public demonstration)
3: Restrictive Open Source / Copyleft (Permitted for educational use, but viral licenses e.g. GPLv3 force your entire codebase to be made public if distributed)
4: Permissive Open Source (Open source with minimal conditions e.g. LGPL, CC-BY; allows proprietary wrapping with simple attribution)
5: Completely Permissive / Public Domain (Permissive open source e.g. MIT, Apache 2.0, BSD or Public Domain; unrestricted freedom to commercialize, modify, and contribute)</t>
        </is>
      </c>
      <c r="L8" s="26" t="inlineStr">
        <is>
          <t>1: Life-Threatening (Failure causes electrocution, fire, traffic collisions, toxic chemical exposure, or structural collapse)
2: Severe Physical Hazard (Equipment destroys itself, causes acute environmental contamination, or halts major emergency infrastructure)
3: Chaotic Response from User (Panic, operational deadlock, conflicting manual dispatches, and severe operational confusion)
4: Minor Operational Delay (System trips safely; requires a manual reboot or standard fallback procedure; no safety risk or chaos)
5: Benign Budget Loss Only (Failure causes zero human or operational harm; results only in minor, easily absorbed component/battery replacement costs)</t>
        </is>
      </c>
      <c r="M8" s="26" t="inlineStr">
        <is>
          <t>1: Disruptive Overhaul (Forces operators to abandon existing standard procedures, adds 5+ extra tedious forms, and faces active user rejection)
2: High Friction (Adds notable extra documentation or redundant verification steps; operators will actively look for ways to bypass it)
3: Moderate Adaptation (Modifies daily routines slightly; requires 1–2 training sessions, but delivers clear operational trade-offs)
4: Low Friction (Integrates directly into existing tools e.g. sends alerts to existing LINE/Telegram or ticketing dashboard; minimal habit changes)
5: Smooth Transient Operation (Zero workflow disruption; runs transparently in the background and automates existing manual paperwork seamlessly)</t>
        </is>
      </c>
      <c r="N8" s="26" t="inlineStr">
        <is>
          <t>1: Heavy Gatekeeping (Blocked by supervisor approvals, locked lab cabinets, NDA signatures, purchasing bureaucracy, and restricted git branches)
2: Moderate Bureaucracy (Requires departmental request forms, tool booking queues, and waiting 3–5 days for administrative sign-offs)
3: Standard Campus Access (Workable access during university open hours; minor approval delays for specialized equipment or lab keys)
4: High Autonomy (Team has full repository write access, open 24/7 lab entry, and pre-approved discretionary stipends for rapid purchases)
5: Frictionless Contribution (Complete autonomy; decentralized cloud CI/CD, local prototyping tools at home/bench, zero administrative blockers)</t>
        </is>
      </c>
      <c r="O8" s="26" t="inlineStr">
        <is>
          <t>1: Highly Convoluted (Dozens of fragile build steps, complex toolchain dependencies, and high probability of human error during setup)
2: High Complexity (Multi-stage manual toolchains; frequent dependency conflicts and difficult multi-board flashing procedures)
3: Moderate Complexity (Standard multi-step build/assembly pipeline; manageable and repeatable when following a documented checklist)
4: Low Complexity (Straightforward workflow using automated build scripts, standard IDEs, or single-command flashing)
5: Simple &amp; Direct (Plug-and-play, 1-step linear workflow; idiot-proof setup requiring zero multi-stage manual configuration)</t>
        </is>
      </c>
      <c r="P8" s="26" t="inlineStr">
        <is>
          <t>1: Concept Only (0% Design: Napkin sketches and verbal ideas; 0% CAD models, 0% schematics, 0% firmware written)
2: Rough Drafts (25% Design: Preliminary block diagrams, hand-drawn schematics, unverified parts list, rough 3D bounding boxes)
3: Intermediate Maturity (50% Design: Complete CAD assembly with untested clearances, schematic capture complete, draft firmware architecture mapped)
4: Pre-Production (75–80% Design: Detailed 3D CAD ready for 3D print/CNC, routed PCB Gerber files verified with DRC, pinouts locked down)
5: Fully Engineered Design (100% Production Ready: Complete manufacturing package: verified Gerbers, mechanical tolerance drawings, locked BOM, and flashing scripts ready)</t>
        </is>
      </c>
      <c r="Q8" s="26" t="inlineStr">
        <is>
          <t>1: Pure Buzzword / Greenwashing (Claims sustainability benefits with zero data, zero measurable effect, and solves no real municipal problem)
2: Superficial Correlation (Indirect impact; functions only as an isolated school demo with no realistic way to measure damage prevention)
3: Localized Proof (Delivers a measurable, verified benefit e.g. cuts response time or drops localized temperature on a single test strip, but lacks a scaling model)
4: District-Level Viability (Clear pathway to protect municipal infrastructure or reduce public losses across multiple roads/alleys during extreme weather)
5: Systemic City Resilience (Backed by concrete empirical data showing significant reduction in public economic losses, vehicle damage, or human hazard)</t>
        </is>
      </c>
      <c r="R8" s="26" t="inlineStr">
        <is>
          <t>1: Toxic Field Hazard (Enclosure degrades under UV, or unsealed batteries leak toxic chemicals and detach into the urban drainage network as marine litter)
2: Fragile Disposable Tech (Short operational lifespan; sensors foul or corrode within 2–3 weeks and are abandoned because retrieval is impractical)
3: Standard Field Footprint (Requires periodic battery replacement and creates standard electronic scrap, but uses basic tethering to prevent total hardware loss)
4: Low-Impact Enclosure (Solar-trickle or long-life low-power architecture; uses recyclable casing and redundant physical tethers e.g. dual stainless lanyards)
5: Fully Circular &amp; Zero Footprint (100% fail-safe retrieval design; uses non-toxic materials, consumes minimal public resources, and leaves zero field trace)</t>
        </is>
      </c>
      <c r="S8" s="26" t="inlineStr">
        <is>
          <t>1: Opaque Black Box (Proprietary or unexplained threshold that cancels dispatches or alters public services with zero explanation, risking neglect of vulnerable areas)
2: Ambiguous Logic (Decision rules are buried in messy heuristic code; field operators cannot explain to a citizen why an alert was triggered or suppressed)
3: Documented Internal Rules (Logic is documented on paper for engineers, but has no public audit trail or clear appeal mechanism if the sensor misreads)
4: Open Empirical Standards (Decisions are driven by transparent physical equations applied equally across all city zones)
5: 100% Auditable &amp; Equitable (Full tamper-evident digital audit trail; open logic accessible to officials and citizens, guaranteeing equal public protection regardless of district wealth)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3</v>
      </c>
      <c r="C9" s="29" t="n">
        <v>3</v>
      </c>
      <c r="D9" s="29" t="n">
        <v>2</v>
      </c>
      <c r="E9" s="29" t="n">
        <v>3</v>
      </c>
      <c r="F9" s="29" t="n">
        <v>2</v>
      </c>
      <c r="G9" s="29" t="n">
        <v>3</v>
      </c>
      <c r="H9" s="29" t="n">
        <v>3</v>
      </c>
      <c r="I9" s="29" t="n">
        <v>2</v>
      </c>
      <c r="J9" s="29" t="n">
        <v>3</v>
      </c>
      <c r="K9" s="29" t="n">
        <v>4</v>
      </c>
      <c r="L9" s="29" t="n">
        <v>2</v>
      </c>
      <c r="M9" s="29" t="n">
        <v>2</v>
      </c>
      <c r="N9" s="29" t="n">
        <v>2</v>
      </c>
      <c r="O9" s="29" t="n">
        <v>2</v>
      </c>
      <c r="P9" s="29" t="n">
        <v>2</v>
      </c>
      <c r="Q9" s="29" t="n">
        <v>4</v>
      </c>
      <c r="R9" s="29" t="n">
        <v>2</v>
      </c>
      <c r="S9" s="29" t="n">
        <v>4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0.04</v>
      </c>
      <c r="C10" s="31" t="n">
        <v>0.04</v>
      </c>
      <c r="D10" s="31" t="n">
        <v>0.04</v>
      </c>
      <c r="E10" s="31" t="n">
        <v>0.04</v>
      </c>
      <c r="F10" s="31" t="n">
        <v>0.04</v>
      </c>
      <c r="G10" s="31" t="n">
        <v>0.0667</v>
      </c>
      <c r="H10" s="31" t="n">
        <v>0.0667</v>
      </c>
      <c r="I10" s="31" t="n">
        <v>0.06660000000000001</v>
      </c>
      <c r="J10" s="31" t="n">
        <v>0.075</v>
      </c>
      <c r="K10" s="31" t="n">
        <v>0.075</v>
      </c>
      <c r="L10" s="31" t="n">
        <v>0.05</v>
      </c>
      <c r="M10" s="31" t="n">
        <v>0.05</v>
      </c>
      <c r="N10" s="31" t="n">
        <v>0.05</v>
      </c>
      <c r="O10" s="31" t="n">
        <v>0.05</v>
      </c>
      <c r="P10" s="31" t="n">
        <v>0.15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solution-4_drainage_telemetry.md ส่วนที่ 4a, 5 ประกอบเซนเซอร์ระดับน้ำและการไหลสำเร็จรูปเข้ากับกล่องกันน้ำ IP68 และโมดูลส่งสัญญาณ Low-Power</t>
        </is>
      </c>
      <c r="C12" s="26" t="inlineStr">
        <is>
          <t>solution-4_drainage_telemetry.md ส่วนที่ 4c การติดตั้งอุปกรณ์ถาวรในโครงสร้างท่อระบายน้ำสาธารณะต้องทำเรื่องขออนุมัติเป็นลายลักษณ์อักษร</t>
        </is>
      </c>
      <c r="D12" s="26" t="inlineStr">
        <is>
          <t>solution-4_drainage_telemetry.md ส่วนที่ 4a, 4b ต้นแบบทำงานได้ในแล็บ แต่สัญญาณวิทยุและแบตเตอรี่ในสภาพใต้ฝาท่อเหล็กจริงยังมีความเปราะบางสูง (TRL 4)</t>
        </is>
      </c>
      <c r="E12" s="26" t="inlineStr">
        <is>
          <t>due.md (ESP32 Low-power), fifa.md (ขายึดทางกล), kin.md (ระบบ Telemetry Ingestion) มีผู้รับผิดชอบหลัก 3 คน</t>
        </is>
      </c>
      <c r="F12" s="26" t="inlineStr">
        <is>
          <t>solution-4_drainage_telemetry.md ส่วนที่ 4a ทีมต้องเรียนรู้เทคนิคการซีลกันน้ำระดับ IP68 และการป้องกันคราบไขมันเกาะเซนเซอร์ (Biofouling) ซึ่งเป็นอุปสรรคสำคัญ</t>
        </is>
      </c>
      <c r="G12" s="26" t="inlineStr">
        <is>
          <t>solution-4_drainage_telemetry.md ส่วนที่ 4c การติดตั้งเซนเซอร์แบบประจำที่มีค่าใช้จ่าย CapEx ต่อจุดสูง และมีค่าเปลี่ยนแบตเตอรี่ต่อเนื่อง คืนทุนใน 3–5 ปี</t>
        </is>
      </c>
      <c r="H12" s="26" t="inlineStr">
        <is>
          <t>solution-4_drainage_telemetry.md ส่วนที่ 4c มีการพึ่งพาค่าบริการเครือข่าย Cellular/LoRaWAN และอะไหล่เซนเซอร์วัดการไหลเฉพาะทาง</t>
        </is>
      </c>
      <c r="I12" s="26" t="inlineStr">
        <is>
          <t>solution-4_drainage_telemetry.md ส่วนที่ 4a สภาพแวดล้อมใต้ท่อมีความเสี่ยงทำให้อุปกรณ์ชำรุดสูงจากน้ำท่วมมิดและก๊าซกัดกร่อน งบประมาณสำรองชิ้นส่วนอาจตึงตัว</t>
        </is>
      </c>
      <c r="J12" s="26" t="inlineStr">
        <is>
          <t>solution-4_drainage_telemetry.md ส่วนที่ 4a, 4c ต้องได้รับอนุญาตจากหน่วยงานเทศบาล และต้องไม่ติดตั้งกีดขวางทางน้ำไหลตามกฎหมายควบคุมทางระบายน้ำ</t>
        </is>
      </c>
      <c r="K12" s="26" t="inlineStr">
        <is>
          <t>solution-4_drainage_telemetry.md ส่วนที่ 3 ใช้สถาปัตยกรรม IoT แบบโอเพนซอร์สมาตรฐาน มีความเสี่ยงด้านทรัพย์สินทางปัญญาต่ำ</t>
        </is>
      </c>
      <c r="L12" s="26" t="inlineStr">
        <is>
          <t>solution-4_drainage_telemetry.md ส่วนที่ 4a หากขายึดหลุด อุปกรณ์อาจไหลไปอุดตันท่อระบายน้ำหรือสร้างความเสียหายต่อใบพัดเครื่องสูบน้ำปลายทาง</t>
        </is>
      </c>
      <c r="M12" s="26" t="inlineStr">
        <is>
          <t>solution-4_drainage_telemetry.md ส่วนที่ 4c เจ้าหน้าที่ต้องปีนลงไปเปลี่ยนแบตเตอรี่และขูดคราบไขมันที่เกาะเซนเซอร์ในพื้นที่อับอากาศเป็นประจำ เกิดแรงต้านทานในการใช้งาน</t>
        </is>
      </c>
      <c r="N12" s="26" t="inlineStr">
        <is>
          <t>solution-4_drainage_telemetry.md ส่วนที่ 4c ต้องขออนุญาตเปิดฝาท่อสาธารณะและประสานงานความปลอดภัยหลายขั้นตอน ชะลอความเร็วการพัฒนา</t>
        </is>
      </c>
      <c r="O12" s="26" t="inlineStr">
        <is>
          <t>solution-4_drainage_telemetry.md ส่วนที่ 4a มีขั้นตอนการหล่อเรซินกันน้ำ การประกอบสายอากาศ และการปรับแต่งการใช้พลังงานหลายขั้นตอน เสี่ยงต่อความผิดพลาด</t>
        </is>
      </c>
      <c r="P12" s="26" t="inlineStr">
        <is>
          <t>schedule.md, solution-4_drainage_telemetry.md แบบร่างทางวิศวกรรมยังอยู่ในระดับ Rough Drafts ต้องใช้เวลาทดสอบการกันน้ำและสั่งซื้อเซนเซอร์นานกว่า 5 สัปดาห์</t>
        </is>
      </c>
      <c r="Q12" s="26" t="inlineStr">
        <is>
          <t>solution-4_drainage_telemetry.md ส่วนที่ 2 ให้ข้อมูลระดับน้ำต่อเนื่องช่วยสนับสนุนการวางแผนระบายน้ำระดับเมืองตาม SDG 11.5</t>
        </is>
      </c>
      <c r="R12" s="26" t="inlineStr">
        <is>
          <t>solution-4_drainage_telemetry.md ส่วนที่ 4a หากอุปกรณ์หลุดลอย แบตเตอรี่ลิเธียมและแผงวงจรจะกลายเป็นขยะอิเล็กทรอนิกส์ในแหล่งน้ำสาธารณะ ขัดกับหลัก Do No Harm</t>
        </is>
      </c>
      <c r="S12" s="26" t="inlineStr">
        <is>
          <t>solution-4_drainage_telemetry.md ส่วนที่ 3b ข้อมูลโทรมาตรแสดงผลบนแดชบอร์ดอย่างตรงไปตรงมา แต่ต้องเฝ้าระวังข้อมูลคลาดเคลื่อนจากคราบตะกอน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ใช้กล่องหล่ออลูมิเนียมกันน้ำพร้อมซีลซิลิโคนเกรดอุตสาหกรรม</t>
        </is>
      </c>
      <c r="C13" s="26" t="inlineStr">
        <is>
          <t>ขอหนังสืออนุญาตทดสอบอุปกรณ์จากสำนักการระบายน้ำ กทม.</t>
        </is>
      </c>
      <c r="D13" s="26" t="inlineStr">
        <is>
          <t>ทดสอบการแพร่กระจายคลื่นวิทยุผ่านช่องระบายอากาศของฝาท่อ</t>
        </is>
      </c>
      <c r="E13" s="26" t="inlineStr">
        <is>
          <t>Due คุมการประหยัดพลังงาน, Fifa คุมจุดยึดทางกล, Kin คุมคลาวด์</t>
        </is>
      </c>
      <c r="F13" s="26" t="inlineStr">
        <is>
          <t>เลือกใช้เซนเซอร์วัดระดับน้ำแบบอัลตราโซนิกที่ไม่สัมผัสน้ำโดยตรง</t>
        </is>
      </c>
      <c r="G13" s="26" t="inlineStr">
        <is>
          <t>เน้นติดตั้งเฉพาะจุดที่เป็นจุดคอขวดของโครงข่ายระบายน้ำ</t>
        </is>
      </c>
      <c r="H13" s="26" t="inlineStr">
        <is>
          <t>เลือกใช้คลื่นความถี่สาธารณะ LoRaWAN 920-925 MHz เพื่อลดค่าใช้จ่ายซิม</t>
        </is>
      </c>
      <c r="I13" s="26" t="inlineStr">
        <is>
          <t>เตรียมงบประมาณสำรองสำหรับเซนเซอร์และกล่องกันน้ำอย่างน้อย 30%</t>
        </is>
      </c>
      <c r="J13" s="26" t="inlineStr">
        <is>
          <t>ยื่นแบบทางวิศวกรรมแสดงจุดติดตั้งที่ไม่ขัดขวางการไหลของน้ำ</t>
        </is>
      </c>
      <c r="K13" s="26" t="inlineStr">
        <is>
          <t>ใช้ไลบรารีเฟิร์มแวร์และแดชบอร์ดแสดงผลที่เป็นโอเพนซอร์ส</t>
        </is>
      </c>
      <c r="L13" s="26" t="inlineStr">
        <is>
          <t>เพิ่มสายสลิงสแตนเลสเกรด 316 คล้องยึดโยง 2 ชั้นกับปากบ่อพัก</t>
        </is>
      </c>
      <c r="M13" s="26" t="inlineStr">
        <is>
          <t>ออกแบบโมดูลแบตเตอรี่แบบถอดเปลี่ยนได้จากปากบ่อพักโดยไม่ต้องมุดลงไป</t>
        </is>
      </c>
      <c r="N13" s="26" t="inlineStr">
        <is>
          <t>ติดตั้งและทดสอบระบบบนบ่อพักน้ำจำลองในเขตมหาวิทยาลัยก่อน</t>
        </is>
      </c>
      <c r="O13" s="26" t="inlineStr">
        <is>
          <t>จัดทำแม่พิมพ์และขั้นตอนการหล่อเรซินที่ได้มาตรฐาน</t>
        </is>
      </c>
      <c r="P13" s="26" t="inlineStr">
        <is>
          <t>ปรับลดขอบเขตจากการวัดอัตราการไหลมาเป็นการวัดเฉพาะระดับน้ำชั่วคราว</t>
        </is>
      </c>
      <c r="Q13" s="26" t="inlineStr">
        <is>
          <t>เชื่อมโยงข้อมูลเข้ากับระบบเฝ้าระวังน้ำท่วมของเทศบาล</t>
        </is>
      </c>
      <c r="R13" s="26" t="inlineStr">
        <is>
          <t>ใช้แบตเตอรี่แบบแห้งที่ปลอดภัยและติดตั้งเซนเซอร์ตรวจจับการหลุดลอย</t>
        </is>
      </c>
      <c r="S13" s="26" t="inlineStr">
        <is>
          <t>มีระบบแจ้งเตือนความผิดปกติของข้อมูลเซนเซอร์อัตโนมัติ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SUM(B11:F11)*20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SUM(G11:I11)*20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SUM(J11:K11)*20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SUM(L11:O11)*20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P11*20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UHI Latent Heat Precision Road Cooling (Micro-dosing 0.2-0.4 mm Evaporative Spraying)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T-03</t>
        </is>
      </c>
      <c r="E4" s="22" t="inlineStr">
        <is>
          <t>T-04</t>
        </is>
      </c>
      <c r="F4" s="22" t="inlineStr">
        <is>
          <t>T-05</t>
        </is>
      </c>
      <c r="G4" s="22" t="inlineStr">
        <is>
          <t>E-01</t>
        </is>
      </c>
      <c r="H4" s="22" t="inlineStr">
        <is>
          <t>E-02</t>
        </is>
      </c>
      <c r="I4" s="22" t="inlineStr">
        <is>
          <t>E-03</t>
        </is>
      </c>
      <c r="J4" s="22" t="inlineStr">
        <is>
          <t>L-01</t>
        </is>
      </c>
      <c r="K4" s="22" t="inlineStr">
        <is>
          <t>L-02</t>
        </is>
      </c>
      <c r="L4" s="22" t="inlineStr">
        <is>
          <t>O-01</t>
        </is>
      </c>
      <c r="M4" s="22" t="inlineStr">
        <is>
          <t>O-02</t>
        </is>
      </c>
      <c r="N4" s="22" t="inlineStr">
        <is>
          <t>O-03</t>
        </is>
      </c>
      <c r="O4" s="22" t="inlineStr">
        <is>
          <t>O-04</t>
        </is>
      </c>
      <c r="P4" s="22" t="inlineStr">
        <is>
          <t>S-01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ด้านเทคโนโลยีและวิศวกรรม (Technical Feasibility)</t>
        </is>
      </c>
      <c r="C5" s="24" t="inlineStr">
        <is>
          <t>ด้านเทคโนโลยีและวิศวกรรม (Technical Feasibility)</t>
        </is>
      </c>
      <c r="D5" s="24" t="inlineStr">
        <is>
          <t>ด้านเทคโนโลยีและวิศวกรรม (Technical Feasibility)</t>
        </is>
      </c>
      <c r="E5" s="24" t="inlineStr">
        <is>
          <t>ด้านเทคโนโลยีและวิศวกรรม (Technical Feasibility)</t>
        </is>
      </c>
      <c r="F5" s="24" t="inlineStr">
        <is>
          <t>ด้านเทคโนโลยีและวิศวกรรม (Technical Feasibility)</t>
        </is>
      </c>
      <c r="G5" s="24" t="inlineStr">
        <is>
          <t>ด้านเศรษฐศาสตร์ (Economic Feasibility)</t>
        </is>
      </c>
      <c r="H5" s="24" t="inlineStr">
        <is>
          <t>ด้านเศรษฐศาสตร์ (Economic Feasibility)</t>
        </is>
      </c>
      <c r="I5" s="24" t="inlineStr">
        <is>
          <t>ด้านเศรษฐศาสตร์ (Economic Feasibility)</t>
        </is>
      </c>
      <c r="J5" s="24" t="inlineStr">
        <is>
          <t>ด้านกฎหมายและสถาบัน (Legal &amp; Institutional Feasibility)</t>
        </is>
      </c>
      <c r="K5" s="24" t="inlineStr">
        <is>
          <t>ด้านกฎหมายและสถาบัน (Legal &amp; Institutional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ด้านการปฏิบัติการ (Operational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ภาระการสร้างเองกับการเลือกซื้ออุปกรณ์สำเร็จรูป (COTS)</t>
        </is>
      </c>
      <c r="C6" s="26" t="inlineStr">
        <is>
          <t>Access (Tech Stack &amp; Ecosystem Permissions): สิทธิ์และการเข้าถึงสแตกเทคโนโลยีและระบบนิเวศน์</t>
        </is>
      </c>
      <c r="D6" s="26" t="inlineStr">
        <is>
          <t>Base Performance (Technology Readiness Level - TRL): ระดับความพร้อมและความเสถียรของเทคโนโลยีฐาน</t>
        </is>
      </c>
      <c r="E6" s="26" t="inlineStr">
        <is>
          <t>Team Compatibility (Manpower &amp; Skill Redundancy): ความเข้ากันได้ของทักษะทีมและความพร้อมทดแทน (SPOF)</t>
        </is>
      </c>
      <c r="F6" s="26" t="inlineStr">
        <is>
          <t>Learning Curve ("How much do we have to learn?"): เส้นทางการเรียนรู้และระยะเวลาปรับตัวของทีม</t>
        </is>
      </c>
      <c r="G6" s="26" t="inlineStr">
        <is>
          <t>ROI (Payback Period / Value Horizon): ระยะเวลาคืนทุนและกรอบความคุ้มค่าทางการเงิน</t>
        </is>
      </c>
      <c r="H6" s="26" t="inlineStr">
        <is>
          <t>Dependency of Component (Vendor Lock-in &amp; Reliability): การพึ่งพาผู้ขายภายนอกและความเสี่ยงการผูกขาด</t>
        </is>
      </c>
      <c r="I6" s="26" t="inlineStr">
        <is>
          <t>Scrap Margin (Safety Allowance for Blown ICs &amp; Iterations): สัดส่วนงบสำรองสำหรับความเสียหายและการทดลองซ้ำ</t>
        </is>
      </c>
      <c r="J6" s="26" t="inlineStr">
        <is>
          <t>Felony and Civil Law (Regulatory, Traffic &amp; Public Safety Compliance): ความสอดคล้องตามกฎหมายอาญา แพ่ง ระเบียบจราจร และความปลอดภัยสาธารณะ</t>
        </is>
      </c>
      <c r="K6" s="26" t="inlineStr">
        <is>
          <t>IP and Licensing: สิทธิ์ในทรัพย์สินทางปัญญาและการอนุญาตใช้งานซอฟต์แวร์/ฮาร์ดแวร์</t>
        </is>
      </c>
      <c r="L6" s="26" t="inlineStr">
        <is>
          <t>User — Failure Impact ("If it fails, how severe is the effect?"): ความรุนแรงของผลกระทบเมื่อระบบขัดข้องต่อผู้ใช้และสาธารณะ</t>
        </is>
      </c>
      <c r="M6" s="26" t="inlineStr">
        <is>
          <t>User — Behavior &amp; Problem-Solution Fit: ความสอดคล้องกับพฤติกรรมผู้ใช้และกระบวนการทำงานเดิม</t>
        </is>
      </c>
      <c r="N6" s="26" t="inlineStr">
        <is>
          <t>Developer — Contribution Dependency (Administrative &amp; Lab Gatekeeping): การพึ่งพาการอนุมัติและอุปสรรคการเข้าถึงห้องปฏิบัติการ/เครื่องมือ</t>
        </is>
      </c>
      <c r="O6" s="26" t="inlineStr">
        <is>
          <t>Developer — Complexity (Step Count &amp; Pipeline Friction): ความซับซ้อนของขั้นตอนการประกอบ ติดตั้ง และบิวด์ระบบ</t>
        </is>
      </c>
      <c r="P6" s="26" t="inlineStr">
        <is>
          <t>Production Time (Engineering Design Maturity by 5 Business Weeks): วุฒิภาวะของแบบทางวิศวกรรมและความพร้อมผลิตใน 5 สัปดาห์ทำการ</t>
        </is>
      </c>
      <c r="Q6" s="26" t="inlineStr">
        <is>
          <t>SDG-01: Public Impact vs. Academic Greenwashing (SDG 11.5 / 13.1): ผลกระทบเชิงประจักษ์ต่อสาธารณะกับการฟอกเขียวทางวิชาการ</t>
        </is>
      </c>
      <c r="R6" s="26" t="inlineStr">
        <is>
          <t>SDG-02: Environmental Footprint &amp; E-Waste ("Do No Harm" — SDG 6.3 / 12.4): ภาระสิ่งแวดล้อมและขยะอิเล็กทรอนิกส์ตามหลักไม่สร้างผลเสียซ้ำซ้อน</t>
        </is>
      </c>
      <c r="S6" s="26" t="inlineStr">
        <is>
          <t>SDG-03: Algorithmic Equity &amp; Decision Transparency (SDG 10.2 / 16.6): ความเป็นธรรมของอัลกอริทึมและความโปร่งใสในการตัดสินใจ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ประเมินภาระงานวิจัยและพัฒนาชิ้นส่วนฮาร์ดแวร์/เฟิร์มแวร์ว่าต้องสร้างขึ้นใหม่ตั้งแต่ศูนย์หรือใช้อุปกรณ์สำเร็จรูปมาตรฐาน เพื่อควบคุมความเสี่ยงด้านความผิดพลาดและระยะเวลาพัฒนา</t>
        </is>
      </c>
      <c r="C7" s="26" t="inlineStr">
        <is>
          <t>ประเมินข้อจำกัดในการเข้าถึงซอร์สโค้ด สิทธิ์การพัฒนา สิทธิ์การเชื่อมต่อระบบคลาวด์ และสิทธิ์ผู้ดูแลระบบ เพื่อป้องกันปัญหาติดล็อกระบบปิด (Walled Garden)</t>
        </is>
      </c>
      <c r="D7" s="26" t="inlineStr">
        <is>
          <t>ประเมินระดับความพร้อมของเทคโนโลยีต้นแบบ (TRL) ว่าอยู่ในระดับแล็บหรือผ่านการทดสอบภาคสนามจริงมาแล้ว เพื่อลดความเสี่ยงจากการนำเทคโนโลยีที่ยังไม่เสถียรมาใช้งาน</t>
        </is>
      </c>
      <c r="E7" s="26" t="inlineStr">
        <is>
          <t>ประเมินการกระจายทักษะทางเทคนิคและความเสี่ยงจากการมีผู้เชี่ยวชาญเพียงคนเดียว (Single Point of Failure: SPOF) หากสมาชิกหลักไม่อยู่ โครงการจะหยุดชะงักหรือไม่</t>
        </is>
      </c>
      <c r="F7" s="26" t="inlineStr">
        <is>
          <t>ประเมินช่องว่างทางความรู้และทักษะที่ทีมต้องเรียนรู้เพิ่มขึ้นเมื่อเทียบกับประสบการณ์เดิม ป้องกันปัญหางานสะดุดจากการติดขัดช่วงเริ่มต้นการเรียนรู้เทคโนโลยีใหม่</t>
        </is>
      </c>
      <c r="G7" s="26" t="inlineStr">
        <is>
          <t>ประเมินระยะเวลาในการคืนทุนและมูลค่าทางเศรษฐกิจที่ได้กลับคืนจากการลดความสูญเสียเมื่อเทียบกับเงินลงทุนเริ่มต้น (CapEx) และค่าใช้จ่ายดำเนินงาน (OpEx)</t>
        </is>
      </c>
      <c r="H7" s="26" t="inlineStr">
        <is>
          <t>ประเมินความเสี่ยงจากการพึ่งพาระบบคลาวด์เฉพาะ อะไหล่ผูกขาด หรือค่าธรรมเนียมรายปีที่ส่งผลกระทบต่องบประมาณระยะยาวและความยืดหยั่งของระบบ</t>
        </is>
      </c>
      <c r="I7" s="26" t="inlineStr">
        <is>
          <t>ประเมินความเพียงพอของงบประมาณสำรองสำหรับชิ้นส่วนที่อาจเสียหายระหว่างการทดสอบ (Burn-in/Debugging) ป้องกันโครงการหยุดชะงักเมื่ออุปกรณ์เสียหาย</t>
        </is>
      </c>
      <c r="J7" s="26" t="inlineStr">
        <is>
          <t>ประเมินความเสี่ยงต่อการละเมิดกฎหมาย พ.ร.บ. คุ้มครองข้อมูลส่วนบุคคล (PDPA) การรบกวนสัญญาณคลื่นวิทยุ (กสทช.) หรือการติดตั้งที่กีดขวางทางสัญจรและเสี่ยงต่ออันตรายสาธารณะ</t>
        </is>
      </c>
      <c r="K7" s="26" t="inlineStr">
        <is>
          <t>ประเมินข้อกำหนดด้านสัญญาอนุญาตสิทธิ์ (Software/Hardware Licenses) และความเสี่ยงต่อการละเมิดสิทธิบัตรหรือข้อจำกัดแบบไวรัสลิขสิทธิ์ (Viral Copyleft)</t>
        </is>
      </c>
      <c r="L7" s="26" t="inlineStr">
        <is>
          <t>ประเมินความรุนแรงของผลกระทบกรณีระบบล้มเหลว (System Failure) ต่อชีวิต ทรัพย์สิน และการปฏิบัติการฉุกเฉินของเจ้าหน้าที่ เพื่อป้องกันโหมดความล้มเหลวขั้นวิกฤต</t>
        </is>
      </c>
      <c r="M7" s="26" t="inlineStr">
        <is>
          <t>ประเมินแรงต้านทานในการเปลี่ยนแปลงขั้นตอนการทำงานของผู้ปฏิบัติงาน (Operational Resistance) และภาระงานเอกสารหรือการฝึกอบรมที่เพิ่มขึ้น</t>
        </is>
      </c>
      <c r="N7" s="26" t="inlineStr">
        <is>
          <t>ประเมินขั้นตอนความยุ่งยากทางธุรการ การขออนุญาตเข้าใช้สถานที่ และการเข้าถึงอุปกรณ์เครื่องมือในการพัฒนาว่ามีความคล่องตัวหรือถูกปิดกั้น</t>
        </is>
      </c>
      <c r="O7" s="26" t="inlineStr">
        <is>
          <t>ประเมินจำนวนขั้นตอนและความเปราะบางของกระบวนการบิวด์ ติดตั้ง และทดสอบระบบ เพื่อลดโอกาสเกิดข้อผิดพลาดจากมนุษย์ (Human Error)</t>
        </is>
      </c>
      <c r="P7" s="26" t="inlineStr">
        <is>
          <t>ประเมินความสมบูรณ์ของแบบวิศวกรรม (CAD, Schematics, PCB Gerber, Firmware) เทียบกับกรอบเวลา 5 สัปดาห์ทำการก่อนช่วงสอบและการส่งมอบชิ้นงาน</t>
        </is>
      </c>
      <c r="Q7" s="26" t="inlineStr">
        <is>
          <t>ประเมินว่าโครงการสร้างผลกระทบที่วัดผลได้จริงในการลดความสูญเสียจากภัยพิบัติหรือฟื้นฟูเมือง หรือเป็นเพียงข้ออ้างด้านความยั่งยืนเชิงสัญลักษณ์</t>
        </is>
      </c>
      <c r="R7" s="26" t="inlineStr">
        <is>
          <t>ประเมินวงจรชีวิตของอุปกรณ์ การปลดปล่อยสารพิษ ปัญหาขยะอิเล็กทรอนิกส์ (E-Waste) และการหลุดรอดของสารเคมีลงสู่แหล่งน้ำสาธารณะ</t>
        </is>
      </c>
      <c r="S7" s="26" t="inlineStr">
        <is>
          <t>ประเมินความโปร่งใสของตรรกะการตัดสินใจและเกณฑ์การตัดคัดกรองเคส เพื่อป้องกันการเลือกปฏิบัติหรือการเพิกเฉยต่อพื้นที่ชุมชนเปราะบาง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(100% custom R&amp;D required; custom mechanism, bare-metal schematics, custom algorithm derivation; no reference designs or libraries exist)
2: Heavy Customization (Core components exist, but requires extensive custom adaptation, structural machining, and custom wrapper code)
3: Hybrid / COTS Integration (Standard off-the-shelf breakout boards and modules assembled with custom brackets, intermediate wiring, and glue code)
4: Modular COTS Assembly (Pre-engineered building blocks with standard mounting and standard communication buses e.g. DIN-rail modules, I2C/CAN shields; minimal custom fabrication)
5: Buy and Use / COTS (Buy and deploy directly out of the box / Plug-and-Play; zero mechanical or electrical fabrication required)</t>
        </is>
      </c>
      <c r="C8" s="26" t="inlineStr">
        <is>
          <t>1: Strictly Restricted (Proprietary stack under NDA, locked enterprise firewalls, or unavailable developer licenses)
2: Limited Access (Closed binary blobs or third-party proprietary firmware; black-box operation with zero telemetry or source code)
3: Request-Based Access (Educational/evaluation tier with strict rate limits or quotas; requires formal request or approval delays)
4: Open Developer Access (Free public SDKs, full documentation, and open developer APIs, but core low-level architecture cannot be modified)
5: Full-Stack Access (Fully open source with permissive license and open hardware; team has root/admin rights to inspect, modify, and deploy as both user and developer)</t>
        </is>
      </c>
      <c r="D8" s="26" t="inlineStr">
        <is>
          <t>1: Proof of Concept (TRL 2–3: Bench breadboard, simulation, or pure mathematical model; verified only in controlled laboratory conditions)
2: Functional Breadboard (TRL 4: Integrated components working together in a lab; fragile wiring, uncalibrated for harsh field environments)
3: Alpha Prototype (TRL 5–6: Enclosed prototype tested in a relevant simulated environment; operational, but requires human supervision)
4: Beta / Field-Proven (TRL 7: Pre-production hardware operating reliably in the actual operating environment under real-world stress)
5: Commercial Product (TRL 8–9: Fully certified, production-grade commercial product with documented MTBF and mass field reliability)</t>
        </is>
      </c>
      <c r="E8" s="26" t="inlineStr">
        <is>
          <t>1: Single Point of Failure / SPOF (Only 1 person has the required skill; if they are unavailable, subsystem development halts 100%)
2: Solo Lead with Minimal Backup (1 core developer; 1 teammate understands basic concepts but cannot debug code or fix hardware alone)
3: Primary + Secondary Pair (1 primary lead and 1 competent secondary backup who can maintain, troubleshoot, and push updates)
4: Broad Competence (3+ teammates can actively design, assemble, and debug the subsystem with minimal ramp-up time)
5: Full Team Redundancy (All team members are fully proficient; tasks can be swapped across anyone with zero friction or velocity loss)</t>
        </is>
      </c>
      <c r="F8" s="26" t="inlineStr">
        <is>
          <t>1: Total Reset (Every step requires learning completely unfamiliar tools, languages, and hardware from scratch with zero prior baseline)
2: Steep Learning Curve (High theoretical understanding, but zero hands-on experience; debugging basic syntax or wiring stalls progress)
3: Moderate Ramp-up (Proven adjacent mastery e.g. Arduino/ESP32 moving to STM32, or SolidWorks to Fusion 360; manageable 1-week curve)
4: Minor Adaptation (Familiar tech stack; only requires learning a specific minor library, sensor API, or configuration syntax)
5: Zero Learning Curve (Team can deploy verified past code, existing toolchains, and established muscle memory directly; no new learning required)</t>
        </is>
      </c>
      <c r="G8" s="26" t="inlineStr">
        <is>
          <t>1: Long Payback (&gt;= 10 Years: High initial CapEx with minimal recurring savings; economically non-viable for rapid deployment)
2: Slow Return (6–9 Years: Substantial capital investment with a long break-even horizon; requires long-term subsidization)
3: Moderate Return (3–5 Years: Reasonable public infrastructure payback; offsets costs across multi-year operational cycles)
4: Fast Return (2–3 Years: Strong operational cost reduction in fuel, labor, scrap; breaks even within normal equipment lifecycle)
5: Immediate Payback (&lt;= 1–2 Years: Rapid break-even; eliminates major recurring operational losses within the first operating season)</t>
        </is>
      </c>
      <c r="H8" s="26" t="inlineStr">
        <is>
          <t>1: Total Vendor Lock-in (100% dependent on proprietary cloud backend, encrypted telemetry, and single-source proprietary connectors)
2: High Dependency (Hardware requires vendor-licensed diagnostic tools or annual subscription fees to maintain operation)
3: Semi-Independent (Core hardware relies on proprietary firmware, but allows open API export and standard electrical interfaces)
4: High Autonomy (Uses standard open communication protocols e.g. Modbus, MQTT, CAN; parts can be serviced using generic tools)
5: Complete Independence (100% open architecture; hardware is interchangeable with generic substitutes; self-serviceable by any engineer)</t>
        </is>
      </c>
      <c r="I8" s="26" t="inlineStr">
        <is>
          <t>1: Zero Buffer (0%: Exactly 1x BOM purchased; any fried chip, cracked bracket, or wiring mistake halts the project)
2: Fragile Buffer (20–30%: Spares only for passive components; no backup microcontrollers or expensive sensors)
3: Moderate Buffer (50%: Spares for all critical passive parts and 1 spare for the primary controller board)
4: High Buffer (80%: Spares for nearly every active component and sensor; can sustain multiple prototype burn-ins)
5: Full Redundancy (&gt;= 100%: Complete 2x BOM budget on hand; can build two complete working units simultaneously)</t>
        </is>
      </c>
      <c r="J8" s="26" t="inlineStr">
        <is>
          <t>1: Severe Violation / No Privilege (Direct breach of statutory law e.g. unconsented public surveillance/PDPA, hazardous road blockage, illegal RF transmission)
2: High Legal Exposure (Ambiguous legal zone; high risk of civic complaints or traffic disruption; requires complex technical waivers)
3: Conditional / Requires Permit (Permitted strictly under formal written approval, official agency MoU, or municipal permits)
4: Low Legal Friction (Operates within standard public engineering exemptions; simple standard notification/safety compliance needed)
5: 100% Free Domain (Fully exempt from statutory licensing; zero public safety risk, zero personal data/Zero PII, fully unrestricted)</t>
        </is>
      </c>
      <c r="K8" s="26" t="inlineStr">
        <is>
          <t>1: Closed Commercial Barrier (Proprietary commercial license; cannot compile, flash, or operate without paying expensive commercial seat licenses)
2: Ambiguous / Gray IP (Unclear licensing terms or unlicensed public repos; risk of copyright strike or IP dispute upon public demonstration)
3: Restrictive Open Source / Copyleft (Permitted for educational use, but viral licenses e.g. GPLv3 force your entire codebase to be made public if distributed)
4: Permissive Open Source (Open source with minimal conditions e.g. LGPL, CC-BY; allows proprietary wrapping with simple attribution)
5: Completely Permissive / Public Domain (Permissive open source e.g. MIT, Apache 2.0, BSD or Public Domain; unrestricted freedom to commercialize, modify, and contribute)</t>
        </is>
      </c>
      <c r="L8" s="26" t="inlineStr">
        <is>
          <t>1: Life-Threatening (Failure causes electrocution, fire, traffic collisions, toxic chemical exposure, or structural collapse)
2: Severe Physical Hazard (Equipment destroys itself, causes acute environmental contamination, or halts major emergency infrastructure)
3: Chaotic Response from User (Panic, operational deadlock, conflicting manual dispatches, and severe operational confusion)
4: Minor Operational Delay (System trips safely; requires a manual reboot or standard fallback procedure; no safety risk or chaos)
5: Benign Budget Loss Only (Failure causes zero human or operational harm; results only in minor, easily absorbed component/battery replacement costs)</t>
        </is>
      </c>
      <c r="M8" s="26" t="inlineStr">
        <is>
          <t>1: Disruptive Overhaul (Forces operators to abandon existing standard procedures, adds 5+ extra tedious forms, and faces active user rejection)
2: High Friction (Adds notable extra documentation or redundant verification steps; operators will actively look for ways to bypass it)
3: Moderate Adaptation (Modifies daily routines slightly; requires 1–2 training sessions, but delivers clear operational trade-offs)
4: Low Friction (Integrates directly into existing tools e.g. sends alerts to existing LINE/Telegram or ticketing dashboard; minimal habit changes)
5: Smooth Transient Operation (Zero workflow disruption; runs transparently in the background and automates existing manual paperwork seamlessly)</t>
        </is>
      </c>
      <c r="N8" s="26" t="inlineStr">
        <is>
          <t>1: Heavy Gatekeeping (Blocked by supervisor approvals, locked lab cabinets, NDA signatures, purchasing bureaucracy, and restricted git branches)
2: Moderate Bureaucracy (Requires departmental request forms, tool booking queues, and waiting 3–5 days for administrative sign-offs)
3: Standard Campus Access (Workable access during university open hours; minor approval delays for specialized equipment or lab keys)
4: High Autonomy (Team has full repository write access, open 24/7 lab entry, and pre-approved discretionary stipends for rapid purchases)
5: Frictionless Contribution (Complete autonomy; decentralized cloud CI/CD, local prototyping tools at home/bench, zero administrative blockers)</t>
        </is>
      </c>
      <c r="O8" s="26" t="inlineStr">
        <is>
          <t>1: Highly Convoluted (Dozens of fragile build steps, complex toolchain dependencies, and high probability of human error during setup)
2: High Complexity (Multi-stage manual toolchains; frequent dependency conflicts and difficult multi-board flashing procedures)
3: Moderate Complexity (Standard multi-step build/assembly pipeline; manageable and repeatable when following a documented checklist)
4: Low Complexity (Straightforward workflow using automated build scripts, standard IDEs, or single-command flashing)
5: Simple &amp; Direct (Plug-and-play, 1-step linear workflow; idiot-proof setup requiring zero multi-stage manual configuration)</t>
        </is>
      </c>
      <c r="P8" s="26" t="inlineStr">
        <is>
          <t>1: Concept Only (0% Design: Napkin sketches and verbal ideas; 0% CAD models, 0% schematics, 0% firmware written)
2: Rough Drafts (25% Design: Preliminary block diagrams, hand-drawn schematics, unverified parts list, rough 3D bounding boxes)
3: Intermediate Maturity (50% Design: Complete CAD assembly with untested clearances, schematic capture complete, draft firmware architecture mapped)
4: Pre-Production (75–80% Design: Detailed 3D CAD ready for 3D print/CNC, routed PCB Gerber files verified with DRC, pinouts locked down)
5: Fully Engineered Design (100% Production Ready: Complete manufacturing package: verified Gerbers, mechanical tolerance drawings, locked BOM, and flashing scripts ready)</t>
        </is>
      </c>
      <c r="Q8" s="26" t="inlineStr">
        <is>
          <t>1: Pure Buzzword / Greenwashing (Claims sustainability benefits with zero data, zero measurable effect, and solves no real municipal problem)
2: Superficial Correlation (Indirect impact; functions only as an isolated school demo with no realistic way to measure damage prevention)
3: Localized Proof (Delivers a measurable, verified benefit e.g. cuts response time or drops localized temperature on a single test strip, but lacks a scaling model)
4: District-Level Viability (Clear pathway to protect municipal infrastructure or reduce public losses across multiple roads/alleys during extreme weather)
5: Systemic City Resilience (Backed by concrete empirical data showing significant reduction in public economic losses, vehicle damage, or human hazard)</t>
        </is>
      </c>
      <c r="R8" s="26" t="inlineStr">
        <is>
          <t>1: Toxic Field Hazard (Enclosure degrades under UV, or unsealed batteries leak toxic chemicals and detach into the urban drainage network as marine litter)
2: Fragile Disposable Tech (Short operational lifespan; sensors foul or corrode within 2–3 weeks and are abandoned because retrieval is impractical)
3: Standard Field Footprint (Requires periodic battery replacement and creates standard electronic scrap, but uses basic tethering to prevent total hardware loss)
4: Low-Impact Enclosure (Solar-trickle or long-life low-power architecture; uses recyclable casing and redundant physical tethers e.g. dual stainless lanyards)
5: Fully Circular &amp; Zero Footprint (100% fail-safe retrieval design; uses non-toxic materials, consumes minimal public resources, and leaves zero field trace)</t>
        </is>
      </c>
      <c r="S8" s="26" t="inlineStr">
        <is>
          <t>1: Opaque Black Box (Proprietary or unexplained threshold that cancels dispatches or alters public services with zero explanation, risking neglect of vulnerable areas)
2: Ambiguous Logic (Decision rules are buried in messy heuristic code; field operators cannot explain to a citizen why an alert was triggered or suppressed)
3: Documented Internal Rules (Logic is documented on paper for engineers, but has no public audit trail or clear appeal mechanism if the sensor misreads)
4: Open Empirical Standards (Decisions are driven by transparent physical equations applied equally across all city zones)
5: 100% Auditable &amp; Equitable (Full tamper-evident digital audit trail; open logic accessible to officials and citizens, guaranteeing equal public protection regardless of district wealth)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2</v>
      </c>
      <c r="C9" s="29" t="n">
        <v>4</v>
      </c>
      <c r="D9" s="29" t="n">
        <v>3</v>
      </c>
      <c r="E9" s="29" t="n">
        <v>3</v>
      </c>
      <c r="F9" s="29" t="n">
        <v>2</v>
      </c>
      <c r="G9" s="29" t="n">
        <v>3</v>
      </c>
      <c r="H9" s="29" t="n">
        <v>4</v>
      </c>
      <c r="I9" s="29" t="n">
        <v>3</v>
      </c>
      <c r="J9" s="29" t="n">
        <v>2</v>
      </c>
      <c r="K9" s="29" t="n">
        <v>5</v>
      </c>
      <c r="L9" s="29" t="n">
        <v>2</v>
      </c>
      <c r="M9" s="29" t="n">
        <v>2</v>
      </c>
      <c r="N9" s="29" t="n">
        <v>2</v>
      </c>
      <c r="O9" s="29" t="n">
        <v>2</v>
      </c>
      <c r="P9" s="29" t="n">
        <v>3</v>
      </c>
      <c r="Q9" s="29" t="n">
        <v>5</v>
      </c>
      <c r="R9" s="29" t="n">
        <v>4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0.04</v>
      </c>
      <c r="C10" s="31" t="n">
        <v>0.04</v>
      </c>
      <c r="D10" s="31" t="n">
        <v>0.04</v>
      </c>
      <c r="E10" s="31" t="n">
        <v>0.04</v>
      </c>
      <c r="F10" s="31" t="n">
        <v>0.04</v>
      </c>
      <c r="G10" s="31" t="n">
        <v>0.0667</v>
      </c>
      <c r="H10" s="31" t="n">
        <v>0.0667</v>
      </c>
      <c r="I10" s="31" t="n">
        <v>0.06660000000000001</v>
      </c>
      <c r="J10" s="31" t="n">
        <v>0.075</v>
      </c>
      <c r="K10" s="31" t="n">
        <v>0.075</v>
      </c>
      <c r="L10" s="31" t="n">
        <v>0.05</v>
      </c>
      <c r="M10" s="31" t="n">
        <v>0.05</v>
      </c>
      <c r="N10" s="31" t="n">
        <v>0.05</v>
      </c>
      <c r="O10" s="31" t="n">
        <v>0.05</v>
      </c>
      <c r="P10" s="31" t="n">
        <v>0.15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solution-5_uhi_latent_heat.md ส่วนที่ 3.2, 3.3 ต้องออกแบบและสั่งทำระบบท่อแรงดันสูง หัวพ่นหมอก วาล์วควบคุม และจุดติดตั้งริมถนนที่มีความซับซ้อนสูง</t>
        </is>
      </c>
      <c r="C12" s="26" t="inlineStr">
        <is>
          <t>solution-5_uhi_latent_heat.md ส่วนที่ 2, 5 แบบจำลองอิงงานวิจัยเปิด JSDEWES และหลักการเทอร์โมไดนามิกส์สาธารณะ เข้าถึงทฤษฎีได้เต็มที่</t>
        </is>
      </c>
      <c r="D12" s="26" t="inlineStr">
        <is>
          <t>solution-5_uhi_latent_heat.md ส่วนที่ 1, 5 ผ่านการทดลองในต่างประเทศ แต่ในสภาพอากาศร้อนชื้นจัดของไทยยังอยู่ในระดับต้นแบบจำลอง (Alpha Prototype)</t>
        </is>
      </c>
      <c r="E12" s="26" t="inlineStr">
        <is>
          <t>fifa.md (ปั๊ม/ท่อส่งกำลัง), due.md (วงจรขับโซลินอยด์วาล์ว), jk.md (คณิตศาสตร์ฟลักซ์ความร้อน) มีทีมงานหลัก 3 คน</t>
        </is>
      </c>
      <c r="F12" s="26" t="inlineStr">
        <is>
          <t>solution-5_uhi_latent_heat.md ส่วนที่ 3.1, 4.1 ทีมต้องเรียนรู้เทคโนโลยีปั๊มน้ำแรงดันสูง การเกิดตะกรันอุดตันหัวฉีด และการคำนวณฟลักซ์ความร้อนใต้ผิวทางซึ่งเป็นเรื่องใหม่</t>
        </is>
      </c>
      <c r="G12" s="26" t="inlineStr">
        <is>
          <t>solution-5_uhi_latent_heat.md ส่วนที่ 1, 2 การติดตั้งระบบท่อและหัวฉีดตลอดแนวถนนมีต้นทุน CapEx สูง คืนทุนในกรอบ 3–5 ปีจากการลดเที่ยวรถน้ำมันและยืดอายุถนน</t>
        </is>
      </c>
      <c r="H12" s="26" t="inlineStr">
        <is>
          <t>solution-5_uhi_latent_heat.md ส่วนที่ 3.3 ชิ้นส่วนปั๊มน้ำ หัวพ่นหมอก และวาล์วไฟฟ้าเป็นอุปกรณ์อุตสาหกรรมทั่วไป สามารถจัดซื้ออะไหล่ทดแทนได้ง่าย</t>
        </is>
      </c>
      <c r="I12" s="26" t="inlineStr">
        <is>
          <t>solution-5_uhi_latent_heat.md ส่วนที่ 4.1 มีความเสี่ยงที่ปั๊มน้ำจะไหม้หากน้ำหมด หรือหัวฉีดอุดตันจากตะกอน งบประมาณสำรองชิ้นส่วนรองรับระดับ 50%</t>
        </is>
      </c>
      <c r="J12" s="26" t="inlineStr">
        <is>
          <t>solution-5_uhi_latent_heat.md ส่วนที่ 1, 3.2, 4.2 การพ่นน้ำบนผิวจราจรมีความเสี่ยงสูงต่ออุบัติเหตุรถจักรยานยนต์ลื่นไถล ซึ่งอาจถูกฟ้องร้องฐานละเมิดความปลอดภัยสาธารณะ</t>
        </is>
      </c>
      <c r="K12" s="26" t="inlineStr">
        <is>
          <t>solution-5_uhi_latent_heat.md ส่วนที่ 5 หลักการระบายความร้อนด้วยความร้อนแฝงเป็นหลักวิทยาศาสตร์สาธารณะ ปราศจากปัญหาลิขสิทธิ์และสิทธิบัตร</t>
        </is>
      </c>
      <c r="L12" s="26" t="inlineStr">
        <is>
          <t>solution-5_uhi_latent_heat.md ส่วนที่ 1, 3.2 หากวาล์วค้างปล่อยน้ำจนผิวถนนเปียกชุ่ม (&gt;1.0 mm) จะเกิดฟิล์มน้ำลื่นไถล (Hydroplaning) เสี่ยงต่ออุบัติเหตุรุนแรง</t>
        </is>
      </c>
      <c r="M12" s="26" t="inlineStr">
        <is>
          <t>solution-5_uhi_latent_heat.md ส่วนที่ 1, 4.2 ละอองน้ำอาจสร้างความรำคาญให้คนเดินเท้า หรือทำให้เกิดสภาวะซาวน่า (Sauna Effect) หากพ่นในเวลาที่ความชื้นสัมพัทธ์สูง</t>
        </is>
      </c>
      <c r="N12" s="26" t="inlineStr">
        <is>
          <t>solution-5_uhi_latent_heat.md ส่วนที่ 4.2 การทดสอบพ่นน้ำบนถนนสาธารณะต้องประสานงานตำรวจจราจรและสำนักงานเขต มีขั้นตอนราชการสูง</t>
        </is>
      </c>
      <c r="O12" s="26" t="inlineStr">
        <is>
          <t>solution-5_uhi_latent_heat.md ส่วนที่ 3.1, 3.2 ต้องเชื่อมโยงเซนเซอร์วัดแดด ความชื้น กล้องตรวจจับคน และวาล์วพ่นน้ำหลายชั้น มีความซับซ้อนในการตั้งค่าสูง</t>
        </is>
      </c>
      <c r="P12" s="26" t="inlineStr">
        <is>
          <t>schedule.md, solution-5_uhi_latent_heat.md สามารถสร้างแท่นทดสอบ Bench PoC และระบบวาล์วขนาดเล็กระดับ TRL 3 ได้ใน 5 สัปดาห์</t>
        </is>
      </c>
      <c r="Q12" s="26" t="inlineStr">
        <is>
          <t>solution-5_uhi_latent_heat.md ส่วนที่ 1, 2 ช่วยลดอุณหภูมิเกาะความร้อนเมือง (UHI) บรรเทาผลกระทบจากการเปลี่ยนแปลงสภาพภูมิอากาศตาม SDG 13.1</t>
        </is>
      </c>
      <c r="R12" s="26" t="inlineStr">
        <is>
          <t>solution-5_uhi_latent_heat.md ส่วนที่ 3.2 มีระบบตัดน้ำค้างท่อป้องกันเชื้อราและแบคทีเรีย ใช้น้ำในปริมาณน้อยมาก (Micro-dosing) ปลอดภัยต่อสิ่งแวดล้อม</t>
        </is>
      </c>
      <c r="S12" s="26" t="inlineStr">
        <is>
          <t>solution-5_uhi_latent_heat.md ส่วนที่ 3.1 ควบคุมการทำงานด้วยสมการฟลักซ์ความร้อนที่เป็นวิทยาศาสตร์ เปิดเผยโปร่งใส ปราศจากอคติในการกระจายน้ำ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ใช้ชุดหัวฉีดละอองน้ำสำเร็จรูปสำหรับงานเกษตรแม่นยำมาประยุกต์</t>
        </is>
      </c>
      <c r="C13" s="26" t="inlineStr">
        <is>
          <t>สร้างซิมูเลชันคำนวณการระเหยด้วย Python</t>
        </is>
      </c>
      <c r="D13" s="26" t="inlineStr">
        <is>
          <t>ทดสอบพ่นละอองน้ำบนแผ่นแอสฟัลต์จำลองกลางแจ้งเพื่อวัดอัตราการแห้ง</t>
        </is>
      </c>
      <c r="E13" s="26" t="inlineStr">
        <is>
          <t>Fifa รับผิดชอบงานไฮดรอลิกส์, Due ดูแลการสั่งเปิดปิดวาล์ว, JK ดูแลสูตรฟลักซ์</t>
        </is>
      </c>
      <c r="F13" s="26" t="inlineStr">
        <is>
          <t>เชิญผู้เชี่ยวชาญด้านระบบพ่นหมอกอุตสาหกรรมมาให้คำแนะนำ</t>
        </is>
      </c>
      <c r="G13" s="26" t="inlineStr">
        <is>
          <t>เริ่มทดลองติดตั้งเฉพาะบริเวณเกาะกลางถนนระยะสั้น 50 เมตร</t>
        </is>
      </c>
      <c r="H13" s="26" t="inlineStr">
        <is>
          <t>เลือกขนาดเกลียวท่อและข้อต่อมาตรฐานที่มีจำหน่ายทั่วไป</t>
        </is>
      </c>
      <c r="I13" s="26" t="inlineStr">
        <is>
          <t>ติดตั้งสวิตช์ตรวจจับระดับน้ำเพื่อตัดการทำงานของปั๊มก่อนน้ำแห้ง</t>
        </is>
      </c>
      <c r="J13" s="26" t="inlineStr">
        <is>
          <t>ต้องขออนุมัติจากกรมทางหลวง/กทม. และติดตั้งป้ายเตือนไฟกะพริบชัดเจน</t>
        </is>
      </c>
      <c r="K13" s="26" t="inlineStr">
        <is>
          <t>เปิดเผยสถาปัตยกรรมระบบควบคุมเป็น Open Hardware</t>
        </is>
      </c>
      <c r="L13" s="26" t="inlineStr">
        <is>
          <t>ติดตั้งระบบวาล์วนิรภัยแบบปิดอัตโนมัติเมื่อไฟดับ (Normally-Closed Solenoid)</t>
        </is>
      </c>
      <c r="M13" s="26" t="inlineStr">
        <is>
          <t>ตั้งระบบล็อกอัตโนมัติ ห้ามพ่นน้ำหากความชื้นสัมพัทธ์ในอากาศเกิน 75%</t>
        </is>
      </c>
      <c r="N13" s="26" t="inlineStr">
        <is>
          <t>ย้ายพื้นที่ทดสอบไปยังลานจอดรถส่วนบุคคลหรือถนนภายในมหาวิทยาลัย</t>
        </is>
      </c>
      <c r="O13" s="26" t="inlineStr">
        <is>
          <t>ทำระบบอินเตอร์ล็อกรวมศูนย์บนบอร์ดควบคุมตัวเดียว</t>
        </is>
      </c>
      <c r="P13" s="26" t="inlineStr">
        <is>
          <t>โฟกัสที่การทำชุดหัวฉีดเดี่ยวทดสอบการเกิดฟิล์มน้ำบางให้สำเร็จก่อน</t>
        </is>
      </c>
      <c r="Q13" s="26" t="inlineStr">
        <is>
          <t>วัดค่าอุณหภูมิผิวถนนและอุณหภูมิอากาศเพื่อยืนยันการลดความร้อน</t>
        </is>
      </c>
      <c r="R13" s="26" t="inlineStr">
        <is>
          <t>ติดตั้งไส้กรองน้ำตะกอนก่อนเข้าหัวปั๊มแรงดันสูง</t>
        </is>
      </c>
      <c r="S13" s="26" t="inlineStr">
        <is>
          <t>บันทึกข้อมูลสภาวะอากาศและประวัติการพ่นน้ำลงฐานข้อมูลสาธารณะ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SUM(B11:F11)*20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SUM(G11:I11)*20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SUM(J11:K11)*20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SUM(L11:O11)*20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P11*20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2026-09-26T08:52:35Z</dcterms:created>
  <dcterms:modified xsi:type="dcterms:W3CDTF">2026-09-26T08:52:35Z</dcterms:modified>
</cp:coreProperties>
</file>