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GitHub\FRA362-custom-research-ai-agent-cli\feasibility-outcome\"/>
    </mc:Choice>
  </mc:AlternateContent>
  <xr:revisionPtr revIDLastSave="0" documentId="13_ncr:1_{1EF6B56A-2016-4596-A063-F3421B3C13BB}" xr6:coauthVersionLast="47" xr6:coauthVersionMax="47" xr10:uidLastSave="{00000000-0000-0000-0000-000000000000}"/>
  <bookViews>
    <workbookView xWindow="-103" yWindow="-103" windowWidth="22149" windowHeight="13200" activeTab="1" xr2:uid="{00000000-000D-0000-FFFF-FFFF00000000}"/>
  </bookViews>
  <sheets>
    <sheet name="เปรียบเทียบทุก Solution" sheetId="1" r:id="rId1"/>
    <sheet name="Solution-1" sheetId="2" r:id="rId2"/>
    <sheet name="Solution-2" sheetId="3" r:id="rId3"/>
    <sheet name="Solution-3" sheetId="4" r:id="rId4"/>
    <sheet name="Solution-4" sheetId="5" r:id="rId5"/>
    <sheet name="Solution-5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6" l="1"/>
  <c r="B23" i="6"/>
  <c r="D22" i="6"/>
  <c r="F22" i="6" s="1"/>
  <c r="D21" i="6"/>
  <c r="F21" i="6" s="1"/>
  <c r="D19" i="6"/>
  <c r="G9" i="1" s="1"/>
  <c r="D18" i="6"/>
  <c r="F9" i="1" s="1"/>
  <c r="S11" i="6"/>
  <c r="R11" i="6"/>
  <c r="Q11" i="6"/>
  <c r="P11" i="6"/>
  <c r="O11" i="6"/>
  <c r="N11" i="6"/>
  <c r="M11" i="6"/>
  <c r="L11" i="6"/>
  <c r="D20" i="6" s="1"/>
  <c r="K11" i="6"/>
  <c r="J11" i="6"/>
  <c r="I11" i="6"/>
  <c r="H11" i="6"/>
  <c r="G11" i="6"/>
  <c r="F11" i="6"/>
  <c r="E11" i="6"/>
  <c r="D11" i="6"/>
  <c r="C11" i="6"/>
  <c r="D17" i="6" s="1"/>
  <c r="B11" i="6"/>
  <c r="T10" i="6"/>
  <c r="C23" i="5"/>
  <c r="B23" i="5"/>
  <c r="S11" i="5"/>
  <c r="R11" i="5"/>
  <c r="Q11" i="5"/>
  <c r="D22" i="5" s="1"/>
  <c r="P11" i="5"/>
  <c r="O11" i="5"/>
  <c r="N11" i="5"/>
  <c r="D21" i="5" s="1"/>
  <c r="M11" i="5"/>
  <c r="L11" i="5"/>
  <c r="D20" i="5" s="1"/>
  <c r="K11" i="5"/>
  <c r="J11" i="5"/>
  <c r="I11" i="5"/>
  <c r="D19" i="5" s="1"/>
  <c r="H11" i="5"/>
  <c r="G11" i="5"/>
  <c r="F11" i="5"/>
  <c r="D18" i="5" s="1"/>
  <c r="E11" i="5"/>
  <c r="D11" i="5"/>
  <c r="C11" i="5"/>
  <c r="B11" i="5"/>
  <c r="D17" i="5" s="1"/>
  <c r="T10" i="5"/>
  <c r="C23" i="4"/>
  <c r="B23" i="4"/>
  <c r="D21" i="4"/>
  <c r="F21" i="4" s="1"/>
  <c r="S11" i="4"/>
  <c r="R11" i="4"/>
  <c r="D22" i="4" s="1"/>
  <c r="Q11" i="4"/>
  <c r="P11" i="4"/>
  <c r="O11" i="4"/>
  <c r="N11" i="4"/>
  <c r="M11" i="4"/>
  <c r="L11" i="4"/>
  <c r="D20" i="4" s="1"/>
  <c r="K11" i="4"/>
  <c r="J11" i="4"/>
  <c r="I11" i="4"/>
  <c r="D19" i="4" s="1"/>
  <c r="H11" i="4"/>
  <c r="G11" i="4"/>
  <c r="F11" i="4"/>
  <c r="D18" i="4" s="1"/>
  <c r="E11" i="4"/>
  <c r="D11" i="4"/>
  <c r="C11" i="4"/>
  <c r="B11" i="4"/>
  <c r="D17" i="4" s="1"/>
  <c r="T10" i="4"/>
  <c r="C23" i="3"/>
  <c r="B23" i="3"/>
  <c r="S11" i="3"/>
  <c r="R11" i="3"/>
  <c r="D22" i="3" s="1"/>
  <c r="Q11" i="3"/>
  <c r="P11" i="3"/>
  <c r="O11" i="3"/>
  <c r="N11" i="3"/>
  <c r="D21" i="3" s="1"/>
  <c r="M11" i="3"/>
  <c r="L11" i="3"/>
  <c r="D20" i="3" s="1"/>
  <c r="K11" i="3"/>
  <c r="J11" i="3"/>
  <c r="I11" i="3"/>
  <c r="D19" i="3" s="1"/>
  <c r="H11" i="3"/>
  <c r="G11" i="3"/>
  <c r="F11" i="3"/>
  <c r="D18" i="3" s="1"/>
  <c r="E11" i="3"/>
  <c r="D11" i="3"/>
  <c r="C11" i="3"/>
  <c r="B11" i="3"/>
  <c r="D17" i="3" s="1"/>
  <c r="T10" i="3"/>
  <c r="C23" i="2"/>
  <c r="B23" i="2"/>
  <c r="S11" i="2"/>
  <c r="R11" i="2"/>
  <c r="D22" i="2" s="1"/>
  <c r="Q11" i="2"/>
  <c r="P11" i="2"/>
  <c r="D21" i="2" s="1"/>
  <c r="O11" i="2"/>
  <c r="N11" i="2"/>
  <c r="M11" i="2"/>
  <c r="L11" i="2"/>
  <c r="D20" i="2" s="1"/>
  <c r="K11" i="2"/>
  <c r="J11" i="2"/>
  <c r="I11" i="2"/>
  <c r="D19" i="2" s="1"/>
  <c r="H11" i="2"/>
  <c r="G11" i="2"/>
  <c r="F11" i="2"/>
  <c r="D18" i="2" s="1"/>
  <c r="E11" i="2"/>
  <c r="D11" i="2"/>
  <c r="C11" i="2"/>
  <c r="B11" i="2"/>
  <c r="D17" i="2" s="1"/>
  <c r="T10" i="2"/>
  <c r="J9" i="1"/>
  <c r="I9" i="1"/>
  <c r="I7" i="1"/>
  <c r="F22" i="4" l="1"/>
  <c r="E22" i="4"/>
  <c r="J7" i="1"/>
  <c r="F17" i="5"/>
  <c r="E17" i="5"/>
  <c r="E8" i="1"/>
  <c r="D23" i="5"/>
  <c r="F23" i="5" s="1"/>
  <c r="F22" i="3"/>
  <c r="E22" i="3"/>
  <c r="J6" i="1"/>
  <c r="G5" i="1"/>
  <c r="F19" i="2"/>
  <c r="E19" i="2"/>
  <c r="F18" i="2"/>
  <c r="E18" i="2"/>
  <c r="F5" i="1"/>
  <c r="F20" i="6"/>
  <c r="E20" i="6"/>
  <c r="H9" i="1"/>
  <c r="E23" i="5"/>
  <c r="H6" i="1"/>
  <c r="F20" i="3"/>
  <c r="E20" i="3"/>
  <c r="E23" i="3"/>
  <c r="F20" i="5"/>
  <c r="E20" i="5"/>
  <c r="H8" i="1"/>
  <c r="G6" i="1"/>
  <c r="E19" i="3"/>
  <c r="F19" i="3"/>
  <c r="F21" i="3"/>
  <c r="E21" i="3"/>
  <c r="I6" i="1"/>
  <c r="H5" i="1"/>
  <c r="F20" i="2"/>
  <c r="E20" i="2"/>
  <c r="E6" i="1"/>
  <c r="F17" i="3"/>
  <c r="E17" i="3"/>
  <c r="D23" i="3"/>
  <c r="F23" i="3" s="1"/>
  <c r="E17" i="2"/>
  <c r="E5" i="1"/>
  <c r="D23" i="2"/>
  <c r="F23" i="2" s="1"/>
  <c r="F17" i="2"/>
  <c r="D23" i="4"/>
  <c r="F23" i="4" s="1"/>
  <c r="E7" i="1"/>
  <c r="F17" i="4"/>
  <c r="E17" i="4"/>
  <c r="F19" i="5"/>
  <c r="E19" i="5"/>
  <c r="G8" i="1"/>
  <c r="T9" i="3"/>
  <c r="F19" i="4"/>
  <c r="E19" i="4"/>
  <c r="G7" i="1"/>
  <c r="J8" i="1"/>
  <c r="F22" i="5"/>
  <c r="E22" i="5"/>
  <c r="F6" i="1"/>
  <c r="F18" i="3"/>
  <c r="E18" i="3"/>
  <c r="D23" i="6"/>
  <c r="F23" i="6" s="1"/>
  <c r="E9" i="1"/>
  <c r="F17" i="6"/>
  <c r="E17" i="6"/>
  <c r="E23" i="4"/>
  <c r="F18" i="5"/>
  <c r="E18" i="5"/>
  <c r="F8" i="1"/>
  <c r="I5" i="1"/>
  <c r="E21" i="2"/>
  <c r="F21" i="2"/>
  <c r="J5" i="1"/>
  <c r="F22" i="2"/>
  <c r="E22" i="2"/>
  <c r="F18" i="4"/>
  <c r="F7" i="1"/>
  <c r="E18" i="4"/>
  <c r="E23" i="2"/>
  <c r="I8" i="1"/>
  <c r="F21" i="5"/>
  <c r="E21" i="5"/>
  <c r="F20" i="4"/>
  <c r="E20" i="4"/>
  <c r="H7" i="1"/>
  <c r="T11" i="6"/>
  <c r="T9" i="6" s="1"/>
  <c r="T11" i="3"/>
  <c r="E18" i="6"/>
  <c r="F18" i="6"/>
  <c r="E21" i="4"/>
  <c r="E19" i="6"/>
  <c r="F19" i="6"/>
  <c r="T11" i="5"/>
  <c r="T9" i="5" s="1"/>
  <c r="E21" i="6"/>
  <c r="T11" i="2"/>
  <c r="T9" i="2" s="1"/>
  <c r="E22" i="6"/>
  <c r="T11" i="4"/>
  <c r="T9" i="4" s="1"/>
  <c r="T12" i="4" l="1"/>
  <c r="K7" i="1" s="1"/>
  <c r="D7" i="1"/>
  <c r="T12" i="2"/>
  <c r="K5" i="1" s="1"/>
  <c r="D5" i="1"/>
  <c r="T12" i="5"/>
  <c r="K8" i="1" s="1"/>
  <c r="D8" i="1"/>
  <c r="T12" i="3"/>
  <c r="K6" i="1" s="1"/>
  <c r="D6" i="1"/>
  <c r="D9" i="1"/>
  <c r="T12" i="6"/>
  <c r="K9" i="1" s="1"/>
  <c r="E23" i="6"/>
</calcChain>
</file>

<file path=xl/sharedStrings.xml><?xml version="1.0" encoding="utf-8"?>
<sst xmlns="http://schemas.openxmlformats.org/spreadsheetml/2006/main" count="903" uniqueCount="365">
  <si>
    <t>ตารางเปรียบเทียบความเป็นไปได้ของทุกข้อเสนอ (Multi-Solution Feasibility Summary)</t>
  </si>
  <si>
    <t>วิเคราะห์เปรียบเทียบเชิงระบบ (Systems-Thinking) ตามเกณฑ์ TELOS+S (เต็ม 100) และเมทริกซ์ศักยภาพด้านวิศวกรรมหุ่นยนต์ (เต็ม 10 แยกอิสระ)</t>
  </si>
  <si>
    <t>ลำดับ</t>
  </si>
  <si>
    <t>รหัสข้อเสนอ (Solution ID)</t>
  </si>
  <si>
    <t>ชื่อแนวทางแก้ปัญหา (Title / Concept)</t>
  </si>
  <si>
    <t>คะแนนรวม (เต็ม 100)</t>
  </si>
  <si>
    <t>T: เทคนิค (/20)</t>
  </si>
  <si>
    <t>E: เศรษฐศาสตร์ (/20)</t>
  </si>
  <si>
    <t>L: กฎหมาย (/15)</t>
  </si>
  <si>
    <t>O: ปฏิบัติการ (/20)</t>
  </si>
  <si>
    <t>S: แผนงาน (/15)</t>
  </si>
  <si>
    <t>+S: ยั่งยืน (/10)</t>
  </si>
  <si>
    <t>ผลการประเมิน (Verdict)</t>
  </si>
  <si>
    <t>จุดแข็งสำคัญ (Key Strengths)</t>
  </si>
  <si>
    <t>จุดติดขัดวิกฤต (Critical Bottlenecks)</t>
  </si>
  <si>
    <t>คำแนะนำเชิงระบบ (Strategic Advice)</t>
  </si>
  <si>
    <t>Robotics Potential (/10)</t>
  </si>
  <si>
    <t>เหตุผลความเข้ากันได้ด้านหุ่นยนต์ (Robotics Engineering Rationale)</t>
  </si>
  <si>
    <t>Solution-1</t>
  </si>
  <si>
    <t>Recession Rate (dh/dt) Predictive Filtering for QRT Dispatch (Ann Arbor Case)</t>
  </si>
  <si>
    <t>ใช้สมการอนุพันธ์ชลศาสตร์คำนวณอัตราน้ำลด dh/dt เทียบกับเวลาเดินทาง 20-30 นาที ตัด Empty Cases ได้ 40-50% สมาชิกแบ่งงานชัดเจน ต้นทุนต่ำ (&lt; 3,500 บ.)</t>
  </si>
  <si>
    <t>ต้องมีหลักฐาน Digital Evidence Card ประกอบการปิดงานบน Traffy Fondue และเซนเซอร์ต้องกรองฟองคลื่นน้ำเพื่อเลี่ยง Derivative Kick</t>
  </si>
  <si>
    <t>พัฒนาโมดูลคำนวณ dh/dt บน Python/ROS 2 ร่วมกับ Screw Terminal Shield และออกแบบ Median Filter กรองสัญญาณผิวน้ำ</t>
  </si>
  <si>
    <t>มีความเข้ากันได้สูงในแกนคณิตศาสตร์วิศวกรรม ทฤษฎีระบบควบคุม (Control Theory) และการประมวลผลสัญญาณ (Signal Processing &amp; State Estimation) ของ JK แต่คะแนนอยู่ที่ 7.5 เนื่องจากขาด Physical Actuation และกลไกการเคลื่อนที่</t>
  </si>
  <si>
    <t>Solution-2</t>
  </si>
  <si>
    <t>PUB Singapore CWOS 2-Factor Authentication Dispatch Filter</t>
  </si>
  <si>
    <t>สถาปัตยกรรมคลาวด์ซอฟต์แวร์ ตรวจสอบ 2 เงื่อนไข (Rain Radar + Telemetry) ตัดการส่งรถ QRT บน False Alarms ได้เด็ดขาด ค่าใช้จ่ายฮาร์ดแวร์เป็น 0</t>
  </si>
  <si>
    <t>การพึ่งพาข้อมูลเรดาร์ภายนอกมีความล่าช้า (Latency) และต้องทำข้อตกลงเข้าถึง API ข้อมูลสภาพอากาศและน้ำท่วม</t>
  </si>
  <si>
    <t>พัฒนาโมดูลเชื่อมต่อ API เรดาร์ของ TMD/กทม. และสร้างกลไก Fallback เมื่อสัญญาณ API ขาดหาย</t>
  </si>
  <si>
    <t>สอดคล้องกับแกน Data Pipeline &amp; Ingestion API ของ Kin แต่แก่นแท้เป็นงาน Software Engineering / IT Management ขาดองค์ประกอบหลักด้าน Mechatronics, Embedded Control และ Actuation ของวิศวกรรมหุ่นยนต์</t>
  </si>
  <si>
    <t>Solution-3</t>
  </si>
  <si>
    <t>Acoustic Sewer Measurement &amp; Pre-Screening Maintenance (UK/USA SL-RAT Case)</t>
  </si>
  <si>
    <t>ใช้คลื่นเสียงทดสอบสภาพความสะอาดท่อระบายน้ำจากปากบ่อพักใน 3 นาที แบ่ง 3 Tiers (0-3, 4-6, 7-10) ตัดรอบล้างท่อที่ไม่จำเป็นได้ 60%</t>
  </si>
  <si>
    <t>การจัดหา Transducer ทนก๊าซ H2S ในงบจำกัด และความเสี่ยงอุบัติเหตุจราจรจากการเปิดฝาท่อพักบนถนน</t>
  </si>
  <si>
    <t>ใช้ลำโพงและไมค์มาตรฐาน COTS ร่วมกับซีลซิลิโคน และตั้งแนวกรวยจราจรความปลอดภัยตามระเบียบ</t>
  </si>
  <si>
    <t>เข้ากันได้สูงมากกับองค์ความรู้ Mechatronics, Acoustic Signal Processing, Instrument Design และ Field Robotics Payload ที่สามารถนำไปประกอบกับหุ่นยนต์มุดท่อระบายน้ำได้โดยตรง ตอบโจทย์วิศวกรรมหุ่นยนต์ภาคสนามอย่างยิ่ง</t>
  </si>
  <si>
    <t>Solution-4</t>
  </si>
  <si>
    <t>Jakarta Drainage Pipe Telemetry &amp; Prioritized Flushing DSS</t>
  </si>
  <si>
    <t>โครงข่ายเซนเซอร์ IoT วัดระดับน้ำและความเร็วการไหลใต้ท่อระบายน้ำ วิเคราะห์ Hydraulic Gradient เพื่อจัดลำดับรถดูดโคลนล้างท่อล่วงหน้า</t>
  </si>
  <si>
    <t>การกัดกร่อนจากก๊าซ H2S ใต้ท่อระบายน้ำ และคราบไขมันเกาะหัววัดจนเสี่ยงต่อสัญญาณหลอก</t>
  </si>
  <si>
    <t>ใช้กล่อง IP68 เคลือบ Conformal Coating ป้องกันก๊าซ และกำหนดรอบฉีดล้างหัววัด</t>
  </si>
  <si>
    <t>สอดคล้องกับแกน Embedded Systems, Power Electronics &amp; Custom PCB, และ Industrial Sensor Bus แต่ขาด Physical Actuation หรือแขนกล/กลไกการทำความสะอาดอัตโนมัติ (เน้นการเฝ้าระวังมากกว่าการกระทำ)</t>
  </si>
  <si>
    <t>Solution-5</t>
  </si>
  <si>
    <t>UHI Latent Heat Precision Road Cooling (Micro-dosing 0.2-0.4 mm Evaporative Spraying)</t>
  </si>
  <si>
    <t>ระบบ Cyber-Physical Closed-Loop Thermal Control ฉีดพ่นละอองน้ำละเอียด 0.2-0.4 mm ดึงความร้อนแฝง ลดอุณหภูมิผิวถนน 5-10°C โดยไม่ลื่นไถล</t>
  </si>
  <si>
    <t>การจัดหาปั๊มแรงดันสูงและวาล์ว PWM ในงบจำกัด และการปฏิบัติตาม พ.ร.บ. จราจรในการพ่นละอองน้ำบนถนนหลวง</t>
  </si>
  <si>
    <t>ติดตั้งโซลินอยด์วาล์ว PWM ควบคุมด้วยไมโครคอนโทรลเลอร์ร่วมกับไพโรมิเตอร์วัดอุณหภูมิอินฟราเรด และทดสอบบนรถกอล์ฟความเร็วต่ำ</t>
  </si>
  <si>
    <t>เป็นระบบ Cyber-Physical Mechatronic System สมบูรณ์แบบที่ผสานครบทั้ง 4 เสาหลักของหุ่นยนต์: Perception (Thermal Sensing), Control (Dynamic Closed-loop Model), Actuation (PWM Fluidic Valves &amp; Pumps) และ Mechatronics Integration สอดคล้องกับวิชาการด้านหุ่นยนต์ของ FIBO อย่างเด่นชัดที่สุด</t>
  </si>
  <si>
    <t>เมทริกซ์ประเมินความเป็นไปได้เชิงระบบ TELOS+S: Recession Rate (dh/dt) Predictive Filtering for QRT Dispatch (Ann Arbor Case)</t>
  </si>
  <si>
    <t>ระบบคะแนนจำนวนเต็มเด็ดขาด: 1, 2, 3, 4, 5 เท่านั้น (ไม่มีจุดทศนิยม / ไม่มี 0.5) | โครงสร้างแบบ Transposed แนวนอน</t>
  </si>
  <si>
    <t>รหัสคำถาม (Question Code)</t>
  </si>
  <si>
    <t>T-01</t>
  </si>
  <si>
    <t>T-02</t>
  </si>
  <si>
    <t>T-03</t>
  </si>
  <si>
    <t>T-04</t>
  </si>
  <si>
    <t>E-01</t>
  </si>
  <si>
    <t>E-02</t>
  </si>
  <si>
    <t>E-03</t>
  </si>
  <si>
    <t>L-01</t>
  </si>
  <si>
    <t>L-02</t>
  </si>
  <si>
    <t>O-01</t>
  </si>
  <si>
    <t>O-02</t>
  </si>
  <si>
    <t>O-03</t>
  </si>
  <si>
    <t>S-01</t>
  </si>
  <si>
    <t>S-02</t>
  </si>
  <si>
    <t>S-03</t>
  </si>
  <si>
    <t>SDG-01</t>
  </si>
  <si>
    <t>SDG-02</t>
  </si>
  <si>
    <t>SDG-03</t>
  </si>
  <si>
    <t>สรุปภาพรวม (SUMMARY)</t>
  </si>
  <si>
    <t>มิติการประเมิน (TELOS+S Pillar)</t>
  </si>
  <si>
    <t>ด้านเทคนิค (Technical 2.2)</t>
  </si>
  <si>
    <t>ด้านเศรษฐศาสตร์ (Economic 2.3)</t>
  </si>
  <si>
    <t>ด้านกฎหมาย (Legal 2.4)</t>
  </si>
  <si>
    <t>ด้านการปฏิบัติการ (Operational 2.5)</t>
  </si>
  <si>
    <t>ด้านเวลา (Schedule 2.6)</t>
  </si>
  <si>
    <t>ด้านความยั่งยืน (SDGs 2.7)</t>
  </si>
  <si>
    <t>ผลรวมทุกมิติ (All Pillars)</t>
  </si>
  <si>
    <t>คำถามทดสอบความเสี่ยงจริง (Stress-Test Question)</t>
  </si>
  <si>
    <t>โครงสร้างทางกายภาพและกลไกยึดจับภายนอกของระบบ สามารถผลิตและประกอบขึ้นได้จริงด้วยเครื่องมือกลที่ทีมเข้าถึงได้ และทนทานต่อสภาพแวดล้อมกลางแจ้งของ กทม. (ลมมรสุม ละอองน้ำ การกัดกร่อน และแรงสั่นสะเทือน) ได้อย่างต่อเนื่องหรือไม่?</t>
  </si>
  <si>
    <t>สถาปัตยกรรมวงจรอิเล็กทรอนิกส์ การจ่ายพลังงาน และการเชื่อมต่อเซนเซอร์/ตัวกระตุ้น สามารถทำงานต่อเนื่องได้อย่างมีเสถียรภาพ ปราศจากความร้อนสะสมและการรบกวนทางแม่เหล็กไฟฟ้า (EMI) ในสภาวะแวดล้อมปิดหรือกลางแจ้งหรือไม่?</t>
  </si>
  <si>
    <t>โมเดลคณิตศาสตร์หรือตรรกะการประมวลผล สามารถส่งมอบผลลัพธ์การตัดสินใจที่ถูกต้อง แม่นยำ และทันต่อกรอบเวลาปฏิบัติการหน้างาน (Operating Time Horizon) ของระบบหรือไม่?</t>
  </si>
  <si>
    <t>ระบบสามารถรักษาความถูกต้องของสัญญาณตรวจวัดและการทำงานของกลไก ทนทานต่อสิ่งรบกวนทางกายภาพในพื้นที่จริง (คราบไขมัน ตะกอน ก๊าซกัดกร่อน ฝุ่นละออง ตะกรันแร่ธาตุ คลื่นผิวน้ำ หรือลมกระโชก) โดยไม่เกิดความล้มเหลวหรือส่งข้อมูลหลอกหรือไม่?</t>
  </si>
  <si>
    <t>งบประมาณจัดซื้อวัสดุ เซนเซอร์ บอร์ดประมวลผล และตัวกระตุ้น (BOM) สำหรับสร้างต้นแบบที่ใช้งานได้จริง สามารถควบคุมให้อยู่ภายใต้เพดานงบประมาณโครงงาน (&lt; 5,000 บาท) ได้จริงหรือไม่?</t>
  </si>
  <si>
    <t>โครงการมีการจัดสรรงบประมาณสำรองสำหรับชิ้นส่วนทดแทนกรณีเสียหาย (Scrap Margin) อย่างน้อย 80-100% สำหรับอุปกรณ์หลักที่มีความเสี่ยงสูงจากการทดสอบหน้างานหรือไม่?</t>
  </si>
  <si>
    <t>เมื่อระบบถูกนำไปใช้งานจริง สามารถลดการสิ้นเปลืองทรัพยากรของภาครัฐ (ค่าน้ำมันรถปฏิบัติการ ค่าน้ำ ค่าแรง ค่าสึกหรอยานพาหนะ) ได้คุ้มค่ากว่าค่าใช้จ่ายในการติดตั้งและบำรุงรักษาระบบ (OpEx) หรือไม่?</t>
  </si>
  <si>
    <t>การติดตั้งและปฏิบัติการของระบบ สอดคล้องกับ พ.ร.บ. คุ้มครองข้อมูลส่วนบุคคล (PDPA), พ.ร.บ. จราจรทางบก และระเบียบความปลอดภัยในที่สาธารณะ โดยไม่ก่อให้เกิดความเสี่ยงต่อการถูกฟ้องร้องหรืออุบัติเหตุหรือไม่?</t>
  </si>
  <si>
    <t>อุปกรณ์สื่อสารไร้สายผ่านเกณฑ์รับรองมาตรฐานคลื่นความถี่ของ กสทช. และทีมงานมีช่องทางหรือศักยภาพในการเข้าพบประสานงานเพื่อขออนุญาตใช้พื้นที่ทดสอบกับหน่วยงานรัฐอย่างเป็นทางการหรือไม่?</t>
  </si>
  <si>
    <t>ระบบสามารถสร้างหลักฐานดิจิทัลเชิงประจักษ์ (Digital Evidence Card / Audit Trail) เช่น ข้อมูลแนวโน้ม พิกัด GPS บันทึกเวลา และรายงานสถานะ เพื่อสนับสนุนการตัดสินใจหรือปิดงานของเจ้าหน้าที่ตามระเบียบงานโดยไม่สร้างภาระซ้ำซ้อนหรือไม่?</t>
  </si>
  <si>
    <t>ความซับซ้อนในการติดตั้ง การบำรุงรักษา และการใช้งานโดยเจ้าหน้าที่หน้างาน อยู่ในระดับที่เหมาะสม ไม่สร้างภาระงานส่วนเกิน และสอดคล้องกับพฤติกรรมการทำงานจริงของบุคลากรภาคสนามหรือไม่?</t>
  </si>
  <si>
    <t>ขั้นตอนการติดตั้ง การทดสอบ และการทำงานของระบบ สามารถกระทำได้อย่างปลอดภัย โดยไม่ก่อให้เกิดความเสี่ยงต่อชีวิตของผู้ปฏิบัติงาน เจ้าหน้าที่ หรือผู้สัญจรไปมา (ปลอดจากพื้นที่อับอากาศ ช่องจราจรความเร็วสูง และความเสี่ยงลื่นไถล) หรือไม่?</t>
  </si>
  <si>
    <t>แผนงานและการกระจายสถาปัตยกรรมระบบ มีเวลาสำรอง (Buffer Time 3-4 สัปดาห์) เพียงพอที่จะดูดซับช่วงสอบของมหาวิทยาลัยและภาระงานอื่น โดยโครงการไม่ล่าช้ากว่ากำหนดหรือไม่?</t>
  </si>
  <si>
    <t>ความก้าวหน้าทางวิศวกรรมของโครงการ สามารถบรรลุการบูรณาการฮาร์ดแวร์และซอฟต์แวร์ให้ทำงานร่วมกันได้จริง (Working Prototype / PoC) ภายในสัปดาห์ที่ 9 ก่อนการประเมินหลักของภาคการศึกษาหรือไม่?</t>
  </si>
  <si>
    <t>ระยะเวลาในการสั่งซื้อและขนส่งชิ้นส่วน อุปกรณ์เซนเซอร์ และบอร์ดอิเล็กทรอนิกส์ทั้งหมด สอดคล้องกับกรอบเวลา โดยสามารถได้รับของครบถ้วนภายในไม่เกิน 14 วันทำการหรือไม่?</t>
  </si>
  <si>
    <t>ระบบส่งเสริมการลดความสูญเสียต่อชีวิต ทรัพย์สิน และโครงสร้างพื้นฐานของเมืองจากผลกระทบสภาพภูมิอากาศแปรปรวน (น้ำท่วมขังหรือความร้อนรุนแรง) สอดคล้องกับเป้าหมาย SDG 11.5 และ SDG 13.1 อย่างเป็นรูปธรรมหรือไม่?</t>
  </si>
  <si>
    <t>อุปกรณ์ สาร หรือของเหลวที่ใช้ในระบบ ไม่ก่อให้เกิดมลพิษทางสิ่งแวดล้อม ไม่เสี่ยงต่อการหลุดลอยกลายเป็นขยะอุดตันทางระบายน้ำ และไม่ใช้น้ำหรือพลังงานอย่างสิ้นเปลือง สอดคล้องกับ SDG 6.3 และ SDG 12.4 หรือไม่?</t>
  </si>
  <si>
    <t>ตรรกะการตัดสินใจ การคัดกรอง หรือการจัดสรรทรัพยากรของระบบ มีความโปร่งใส ตรวจสอบย้อนกลับได้ (Audit Trail) และให้บริการต่อประชาชนทุกกลุ่มอย่างเป็นธรรมโดยไม่เลือกปฏิบัติ สอดคล้องกับ SDG 10.2 และ SDG 16.6 หรือไม่?</t>
  </si>
  <si>
    <t>ประเมินคำถามทั้งสิ้น 18 ข้อ</t>
  </si>
  <si>
    <t>เหตุผลในการถาม &amp; โหมดความล้มเหลวที่เฝ้าระวัง (Rationale)</t>
  </si>
  <si>
    <t>มุ่งตรวจสอบ Machine Access (สิทธิ์การเข้าถึงเครื่องจักรจริง) หากออกแบบโครงสร้างที่ต้องพึ่งพาโรงกลึงอุตสาหกรรมที่นักศึกษาไม่มีสิทธิ์เข้าถึง โครงงานจะล้มเหลวตั้งแต่สัปดาห์แรก</t>
  </si>
  <si>
    <t>ตรวจสอบ Thermal &amp; Noise Failure Modes อุปกรณ์ที่ต้องจ่ายกระแสสูงหรือประมวลผลกลางแดดเมืองไทย หากขาดวงจรกรองสัญญาณ (Filter) หรือการระบายความร้อน ชิปจะแฮงก์หรือรีบูตตัวเองขณะปฏิบัติการจริง</t>
  </si>
  <si>
    <t>ตรวจสอบ Operating Horizon ความเร็วของอัลกอริทึมไม่ได้วัดกันแค่ในคอมพิวเตอร์แล็บ แต่วัดว่าทันต่อการตัดสินใจหน้างานหรือไม่ เช่น ถ้าใช้เวลาคำนวณนานเกินไป การตัดสินใจหน้างานจะล่าช้าจนระบบกลายเป็นหมัน</t>
  </si>
  <si>
    <t>ตรวจสอบ Environmental Stressors ครอบคลุมทั้งระบบน้ำและระบบความร้อน โดย Solutions 1–4 ต้องพิสูจน์เรื่องก๊าซ H2S และคราบไขมัน ส่วน Solution 5 ต้องพิสูจน์ว่าตะกรันน้ำและฝุ่นควันไอเสียจะไม่ทำให้หัวพ่นหมอกอุดตัน</t>
  </si>
  <si>
    <t>ตั้ง Hard Budget Ceiling ชัดเจนที่ 5,000 บาท เพื่อป้องกันปัญหาที่นักศึกษาเลือกใช้อุปกรณ์นำเข้าระดับอุตสาหกรรมหลักหมื่นบาทโดยไม่มีแหล่งทุนรองรับจริง</t>
  </si>
  <si>
    <t>บังคับใช้ The Scrap Budget Rule งานฮาร์ดแวร์ไม่มีทางทำรอบเดียวผ่าน หากจัดซื้อชิ้นส่วนมาเพียง 1 ชุดพอดี (0% Scrap Margin) เมื่อเกิดไฟกระชากหรือทำตกแตก โครงการจะหยุดชะงักทันที</t>
  </si>
  <si>
    <t>เทียบกับ Zero-Action Baseline โครงการวิศวกรรมเมืองไม่ได้แข่งกับคู่แข่งในตลาด แต่แข่งกับการไม่ทำอะไรเลยแล้วใช้แรงงานคนตามเดิม ถ้าระบบกินไฟและมีค่าซ่อมบำรุงสูงกว่าทรัพยากรที่ประหยัดได้ โครงการนี้ถือว่าล้มเหลวทางเศรษฐศาสตร์</t>
  </si>
  <si>
    <t>เจาะกฎหมายลายลักษณ์อักษรของไทย 2 ฉบับที่มักล้มโปรเจกต์ IoT/เมือง: พ.ร.บ. PDPA (การถ่ายติดหน้าคน/ป้ายทะเบียนบนถนนโดยไม่มีการเบลอ) และ พ.ร.บ. จราจรทางบก (การติดตั้งยื่นล้ำผิวทาง หรือการพ่นน้ำทำให้ถนนลื่นไถล)</t>
  </si>
  <si>
    <t>ตรวจสอบ Institutional Gatekeeping โมดูลไร้สายต้องถูกกฎหมาย กสทช. และทีมต้องมีความพร้อมในการเข้าพบเจ้าหน้าที่รัฐ (กทม./สำนักงานเขต) เพื่อขอใช้พื้นที่จริง เพราะโครงงานระบบเมืองไม่สามารถจบได้ด้วยการส่งอีเมลติดต่อแบบไร้การตอบรับ</t>
  </si>
  <si>
    <t>ตรวจสอบ Administrative Liability Fear เจ้าหน้าที่หน้างานของรัฐ (เช่น ศูนย์ Traffy Fondue) มีระเบียบข้อบังคับว่าต้องแนบหลักฐานภาพถ่ายก่อนปิดเคส ถ้าระบบไม่มีหลักฐานดิจิทัลยืนยัน เจ้าหน้าที่จะไม่กล้าเชื่อและส่งรถออกไปอยู่ดีเพราะกลัวความรับผิดทางวินัย</t>
  </si>
  <si>
    <t>ป้องกัน The Tech Trap เทคโนโลยีที่ซับซ้อนเกินไป ต้องใช้เวลาปรับเทียบนานกว่า 30 นาที หรือต้องใช้ทักษะวิศวกรคอยคุม จะถูกเจ้าหน้าที่ภาคสนามปฏิเสธและหันกลับไปใช้วิธีเดิมภายในไม่กี่สัปดาห์</t>
  </si>
  <si>
    <t>เป็น Fatal Gate (ได้คะแนน 1 คือตกทันที) โดย Solutions 1–4 ถูกตรวจเรื่องการมุดท่อระบายน้ำอับอากาศ (Confined Space) ส่วน Solution 5 ถูกตรวจเรื่องความเสี่ยงที่น้ำพ่นบนถนนจะทำให้รถจักรยานยนต์ลื่นล้ม</t>
  </si>
  <si>
    <t>ปฏิทินการศึกษาบังคับหยุดชะงัก 4 สัปดาห์ (สอบกลางภาค 2 สัปดาห์ + ปลายภาค 2 สัปดาห์) หากสถาปัตยกรรมระบบเป็นแบบ Linear Dependency ที่ต้องรอกันไปมา โครงการจะล้มเหลวด้านเวลาทันที</t>
  </si>
  <si>
    <t>ตรวจสอบ TRL Milestone ตามเกณฑ์วิชา ป้องกันไม่ให้โครงการมีแต่ภาพจำลองในคอมพิวเตอร์ แต่ต้องพิสูจน์การรวมระบบ (Integration) ระหว่างเซนเซอร์ บอร์ด และอัลกอริทึมได้จริงก่อนช่วงสอบกลางภาค</t>
  </si>
  <si>
    <t>ควบคุม Logistics Lead-Time Risk หากออกแบบโดยใช้อุปกรณ์สั่งทำพิเศษจากต่างประเทศที่ต้องรอของ 4–6 สัปดาห์ ทีมงานจะไม่มีเวลาเหลือสำหรับการประกอบและแก้ไขข้อผิดพลาด</t>
  </si>
  <si>
    <t>ประเมินความเชื่อมโยงกับเป้าหมายระดับสากล โดยครอบคลุมทั้งวิกฤตน้ำท่วมขังและการบรรเทาคลื่นความร้อนในเขตเมือง โดยต้องมีตัวชี้วัดเชิงปริมาณรองรับ</t>
  </si>
  <si>
    <t>Solutions 1–4 ต้องพิสูจน์ว่ากล่องเซนเซอร์จะไม่หลุดลอยไปกลายเป็นขยะอิเล็กทรอนิกส์อุดตันท่อ ส่วน Solution 5 ต้องพิสูจน์ว่าการพ่นน้ำจะไม่ใช้น้ำประปาอย่างสิ้นเปลือง หรือไม่ทำให้เกิดน้ำขังเน่าเสีย</t>
  </si>
  <si>
    <t>ป้องกัน Algorithmic Discrimination / Black Box ระบบคัดกรองหรือจัดลำดับต้องมีเกณฑ์ทางวิทยาศาสตร์ที่โปร่งใส อธิบายเหตุผลได้ว่าทำไมจึงส่งหรือไม่ส่งรถไป เพื่อไม่ให้เกิดการเลือกปฏิบัติตัดความช่วยเหลือชุมชนเปราะบาง</t>
  </si>
  <si>
    <t>สังเคราะห์จาก AI Agents Group 2</t>
  </si>
  <si>
    <t>เกณฑ์การให้คะแนน (Scoring Rubric Definition: ระดับ 1, 2, 3, 4, 5 ครบทุกระดับ)</t>
  </si>
  <si>
    <t>1: บังคับใช้กระบวนการผลิตระดับอุตสาหกรรมหนัก (เช่น หล่อโลหะ/กลึงชิ้นงานขนาดใหญ่) ที่ไม่มีสิทธิ์เข้าถึง และโครงสร้างพังทลายเมื่อสัมผัสน้ำหรือความชื้น (Fatal Flaw)
2: ต้องจ้างโรงกลึงภายนอกผลิตเกือบทั้งหมด เสี่ยงต่อความล่าช้าเกินงบประมาณ โครงสร้างทนสภาพแวดล้อมได้ไม่เกิน 7 วัน
3: ใช้โครงสร้าง 3D Print ทั่วไป (เช่น PLA) หรือประกอบมือโดยไม่มีการซีลป้องกัน ความแข็งแรงปานกลาง ต้องมีโครงกำบังภายนอกเพิ่มเติม
4: ผสมผสานชิ้นส่วน COTS ร่วมกับชิ้นงานที่ผลิตขึ้นรูปเองภายใน (เช่น PETG/ABS/โลหะแผ่น) มีการทดสอบความแข็งแรงและซีลกันละอองน้ำระดับ IP65
5: ใช้โครงสร้างและกล่องสำเร็จรูปมาตรฐานอุตสาหกรรม (IP67/IP68) พร้อมแคลมป์ยึดมาตรฐาน ทนแรงสั่นสะเทือนและสภาพแวดล้อมภายนอกได้เกิน 90 วันโดยไม่ต้องดัดแปลง</t>
  </si>
  <si>
    <t>1: วงจรไม่มีระบบป้องกันไฟกระชาก เกิดความร้อนสะสมจนชิปหยุดทำงาน หรือเกิดการลัดวงจรทันทีเมื่อมีความชื้น (Fatal Flaw)
2: อุปกรณ์ประมวลผลเกิดความร้อนสูงสะสมจนลดทอนความเร็ว สัญญาณแอนะล็อกถูกสัญญาณรบกวนจนอ่านค่าผิดพลาดเกิน 30%
3: ใช้วงจรประกอบมือบน Perfboard หรือสายไฟแบบ Dupont เสี่ยงต่อการหลวมหลุดเมื่อมีแรงสั่นสะเทือน แต่ยังทำงานได้
4: ใช้วงจรไมโครคอนโทรลเลอร์เชื่อมต่อผ่าน Screw Terminal Shield หรือ Custom PCB ขนาดเล็กที่มี Diode ป้องกันไฟย้อนและตัวเก็บประจุกรองสัญญาณรบกวน
5: สถาปัตยกรรมวงจรมาตรฐาน มีการแยกกราวและสัญญาณ (Optocoupler/Galvanic Isolation) มีการจัดการพลังงานแบบ Low-power Sleep Mode และกระจายความร้อนโดยไม่ใช้พัดลม</t>
  </si>
  <si>
    <t>1: โมเดลขาดข้อมูลฝึกฝนโดยสิ้นเชิง หรืออัลกอริทึมใช้เวลาประมวลผลนานกว่ากรอบเวลาตัดสินใจหน้างานจนระบบไร้ประโยชน์ (Fatal Flaw)
2: อัลกอริทึมมีความซับซ้อนสูงแต่ขาดการปรับเทียบ (Calibration) ทำให้ผลการตัดสินใจคลาดเคลื่อนบ่อยครั้ง
3: ใช้เกณฑ์แบบคงที่ (Static Threshold) ซึ่งปรับตัวตามสภาวะพลวัตของสภาพแวดล้อมจริงได้จำกัด แต่ประมวลผลได้เร็ว
4: ใช้อัลกอริทึมประมวลผลสัญญาณหรือโมเดลน้ำหนักเบา ให้ผลลัพธ์ที่แม่นยำและประมวลผลเสร็จสิ้นภายในไม่เกิน 5 วินาที
5: ใช้สมการฟิสิกส์เชิงวิเคราะห์ (Analytical Physics) หรือสมการอนุพันธ์แบบ Closed-form ประมวลผลเสร็จในระดับมิลลิวินาที (≤ 100 ms) บน Edge Node โดยตรง</t>
  </si>
  <si>
    <t>1: หัววัดล้มเหลวโดยสิ้นเชิงทันทีที่สัมผัสสภาพแวดล้อมจริง (เช่น คราบไขมันเคลือบมิดจนวัดค่าไม่ได้ หรือก๊าซกัดกร่อนละลายหัววัด / Fatal Flaw)
2: เกิด False Alarm สูงเกิน 40% เมื่อเจอกระแสลม คลื่นผิวน้ำ หรือไอน้ำ ต้องอาศัยมนุษย์คอยตรวจสอบซ้ำตลอดเวลา
3: สัญญาณแกว่งตัวเมื่อเจอสิ่งรบกวน ต้องกำหนดรอบการเข้าทำความสะอาดหัววัดบ่อยครั้ง (ทุก 3-5 วัน) เพื่อรักษาความแม่นยำ
4: มีโครงกำบังทางกายภาพ (Housing/Baffle) ร่วมกับอัลกอริทึมกรองสัญญาณเชิงสถิติ (Median/Moving Average Filter) ลด False Alarm เหลือ &lt; 10%
5: ออกแบบการตรวจวัดแบบไม่สัมผัสสิ่งรบกวน (Non-contact Sensing) ร่วมกับ Adaptive Filtering กำจัดสัญญาณกวนได้สมบูรณ์โดยไม่ต้องบำรุงรักษาหัววัดเกิน 60 วัน</t>
  </si>
  <si>
    <t>1: งบประมาณ BOM เกิน 15,000 บาท (เกินเพดาน 5,000 บาท ถึง 3 เท่าตัว โดยไม่มีแหล่งทุนรองรับ / Fatal Flaw)
2: งบประมาณ BOM อยู่ระหว่าง 8,000 - 15,000 บาท จำเป็นต้องยื่นขอทุนสนับสนุนภายนอกซึ่งมีความไม่แน่นอนสูง
3: งบประมาณ BOM อยู่ระหว่าง 5,000 - 8,000 บาท เกินงบประมาณเล็กน้อย ต้องตัดทอนความสามารถของฮาร์ดแวร์บางส่วนออก
4: งบประมาณ BOM อยู่ระหว่าง 3,500 - 5,000 บาท พอดีกับเพดานงบประมาณโครงงาน
5: งบประมาณ BOM ต่ำกว่า 3,500 บาท ใช้อุปกรณ์ COTS ราคาประหยัด ควบคุมต้นทุนได้อย่างเด็ดขาด</t>
  </si>
  <si>
    <t>1: จัดซื้ออุปกรณ์เพียง 1x BOM พอดีเป๊ะ ไม่มีงบสำรองอะไหล่เลย (0%) หากอุปกรณ์ช็อตหรือแตกหัก โครงการจะหยุดชะงักทันที (Fatal Flaw)
2: มีงบสำรองอะไหล่เพียง 10-20% ครอบคลุมเฉพาะอุปกรณ์พื้นฐานชิ้นเล็ก (สายไฟ, ขั้วต่อ)
3: มีงบสำรองอะไหล่ประมาณ 50% สามารถสำรองเซนเซอร์ได้บางตัว แต่ไม่มีบอร์ดประมวลผลสำรอง
4: มีงบสำรองอะไหล่ 80-100% สำหรับเซนเซอร์หลักและโมดูลควบคุมสำคัญ
5: มีงบสำรองจัดซื้ออุปกรณ์หลักครบ 2 ชุด (100% Duplication) ภายใต้กรอบงบประมาณรวมของโครงงาน</t>
  </si>
  <si>
    <t>1: ค่าบำรุงรักษาระบบ (OpEx) แพงกว่ามูลค่าทรัพยากรที่ประหยัดได้ หรือไม่ก่อให้เกิดการประหยัดทรัพยากรใด ๆ เมื่อเทียบกับการไม่ทำอะไรเลย (Fatal Flaw)
2: ประหยัดทรัพยากรได้น้อยมาก มีจุดคุ้มทุนยาวนานเกินกว่า 3 ปี ไม่ดึงดูดใจเชิงนโยบาย
3: คืนทุนได้ในระยะ 1-2 ปี การประหยัดทรัพยากรแปรผันตามฤดูกาลอย่างมีนัยสำคัญ
4: ประหยัดทรัพยากร ค่าน้ำมัน และกำลังพลได้อย่างชัดเจน มีจุดคุ้มทุนภายในระยะเวลา 1 ปีแรกของการใช้งาน
5: ลดการสูญเปล่าของงบประมาณและกำลังพลได้มากกว่า 30-50% ระบบกินพลังงานต่ำมาก คืนทุนได้ภายในรอบฤดูกาลเดียว</t>
  </si>
  <si>
    <t>1: มีการบันทึกภาพใบหน้าหรือป้ายทะเบียนรถในที่สาธารณะโดยผิดกฎหมาย PDPA หรือติดตั้งขวางช่องทางจราจรเสี่ยงต่ออุบัติเหตุร้ายแรง (Fatal Flaw)
2: สุ่มเสี่ยงต่อการละเมิดกฎหมาย ต้องมีขั้นตอนทางเทคนิคที่ซับซ้อนเพื่อเลี่ยงข้อบังคับและยังไม่มีเอกสารยินยอม
3: ปฏิบัติตามกฎหมายได้บางส่วน แต่ต้องรอการอนุมัติข้อยกเว้นเป็นลายลักษณ์อักษรจากหน่วยงานกำกับดูแล
4: ปฏิบัติตามกฎหมายถูกต้อง มีการเข้ารหัสข้อมูล ไม่มีการจัดเก็บข้อมูลส่วนบุคคล (No PII) และมีมาตรการความปลอดภัยบนผิวทาง
5: ปลอดจากการละเมิดกฎหมาย 100% ไม่ใช้กล้องถ่ายภาพบุคคล (Zero PII) และติดตั้งในจุดปลอดภัยตามมาตรฐานวิศวกรรมสาธารณะ</t>
  </si>
  <si>
    <t>1: ใช้อุปกรณ์ส่งสัญญาณคลื่นความถี่เถื่อนที่ไม่ได้รับอนุญาต และไม่มีช่องทางติดต่อประสานงานกับหน่วยงานรัฐอย่างสิ้นเชิง (Fatal Flaw)
2: โมดูลสื่อสารผ่านเกณฑ์ แต่ทีมงานขาดช่องทางติดต่อ ทำให้ขั้นตอนการขออนุญาตหน้างานมีความล่าช้าเกิน 2 เดือน
3: ใช้โมดูลที่ถูกต้องตามกฎหมาย และอยู่ระหว่างรอการออกหนังสือประสานงานอย่างเป็นทางการจากมหาวิทยาลัย
4: อุปกรณ์สื่อสารผ่านการรับรองมาตรฐาน และสามารถสื่อสาร ประสานงาน และยื่นเอกสารทางราชการเพื่อขอพื้นที่ทดสอบได้อย่างราบรื่น
5: อุปกรณ์ผ่านการรับรองมาตรฐาน 100% และมีเครือข่ายความร่วมมือหรือหนังสืออนุญาตให้ทดสอบในพื้นที่จริงจากหน่วยงานกำกับดูแล</t>
  </si>
  <si>
    <t>1: ระบบไม่สามารถสร้างหลักฐานใด ๆ ได้ บังคับให้เจ้าหน้าที่ต้องลงพื้นที่ไปตรวจสอบซ้ำซ้อน 100% เพื่อถ่ายรูปปิดงานตามระเบียบ (Fatal Flaw)
2: แสดงผลได้เฉพาะตัวเลขดิบที่ยากต่อการแปลผล เจ้าหน้าที่ไม่สามารถนำไปใช้เป็นหลักฐานปิดงานได้
3: สร้างรายงานสรุปได้ แต่เจ้าหน้าที่ยังต้องกรอกข้อมูลและแนบรูปถ่ายยืนยันด้วยตนเองเพิ่มเติม
4: สร้างบัตรหลักฐานดิจิทัล (Digital Evidence Card) ที่แสดงผลชัดเจน อ่านเข้าใจง่ายใน 5 วินาที พร้อมแนบในระบบรายงานผลได้ทันที
5: มีระบบบันทึก Audit Trail อัตโนมัติ พร้อมส่งออกรายงานหรือเชื่อมโยง API เข้าสู่ระบบรายงานผลของหน่วยงาน (เช่น Traffy Fondue) ได้อย่างสมบูรณ์</t>
  </si>
  <si>
    <t>1: ใช้งานยากมาก ต้องใช้วิศวกรหรือผู้เชี่ยวชาญควบคุมตลอดเวลา เจ้าหน้าที่หน้างานปฏิเสธการใช้งานและต่อต้านระบบ (Fatal Flaw)
2: มีขั้นตอนการปรับเทียบ (Calibration) และบำรุงรักษาที่ยุ่งยากเกินกว่า 30 นาทีต่อครั้ง
3: เจ้าหน้าที่ต้องผ่านการฝึกอบรม 1-2 วัน จึงจะสามารถใช้งานและดูแลรักษาได้อย่างถูกต้อง
4: ใช้งานง่าย มีคู่มือปฏิบัติงานภาคสนามชัดเจน สามารถบำรุงรักษาได้ด้วยเครื่องมือช่างทั่วไป
5: ออกแบบตามหลักสรีรศาสตร์และ UX หน้างาน กดปุ่มเดียวทำงานอัตโนมัติ (Plug-and-Play) เจ้าหน้าที่ใช้งานได้ทันทีโดยไม่ต้องผ่านการอบรมที่ซับซ้อน</t>
  </si>
  <si>
    <t>1: บังคับให้คนต้องมุดลงในพื้นที่อับอากาศที่มีก๊าซพิษสะสม (Confined Space) หรือลงไปปฏิบัติงานในจุดเสี่ยงอันตรายถึงชีวิต (กระแสน้ำเชี่ยวลึก หรือผิวจราจรความเร็วสูง) โดยไม่มีอุปกรณ์นิรภัยมาตรฐาน (Fatal Flaw)
2: หน้างานมีความเสี่ยงสูง ต้องใช้อุปกรณ์ป้องกันภัยส่วนบุคคล (PPE) ขั้นสูงสุดและต้องมีเจ้าหน้าที่กำกับดูแลความปลอดภัยตลอดเวลา
3: มีความปลอดภัยปานกลาง ปฏิบัติงานได้เฉพาะจุดที่มีแนวกั้นชัดเจนหรือบนทางเท้า/ผิวทางที่มีการปิดกั้นพื้นที่สัญจร
4: มีความปลอดภัยสูง ออกแบบให้ติดตั้งและบำรุงรักษาจากบนผิวทางเท้าหรือจุดปลอดภัย โดยไม่มีการให้บุคลากรลงไปในจุดอันตราย
5: ปลอดภัย 100% ออกแบบให้ติดตั้ง บำรุงรักษา และทดสอบจากระยะไกล มีระบบตัดการทำงานฉุกเฉิน และปลอดจากจุดเสี่ยงอันตรายต่อชีวิตทุกประการ</t>
  </si>
  <si>
    <t>1: แผนงานเป็นเส้นตรงที่ขึ้นต่อกันทั้งหมด (Linear Dependency) หากติดช่วงสอบ 1-2 สัปดาห์ โครงการจะล้มเหลวด้านเวลาทันที (Fatal Flaw)
2: มีเวลาสำรองเพียง 3-5 วัน มีความเสี่ยงสูงมากที่จะส่งมอบงานล่าช้าเมื่อสมาชิกติดภารกิจการเรียน
3: มีเวลาสำรอง 1-2 สัปดาห์ เลื่อนงานได้บางส่วนแต่ต้องเร่งงานหนักมากหลังสอบ
4: มี Buffer Time 3-4 สัปดาห์ชัดเจน และสถาปัตยกรรมฮาร์ดแวร์-ซอฟต์แวร์แยกจากกัน ทำให้ทำงานคู่ขนานได้
5: สถาปัตยกรรมระบบเป็นอิสระต่อกันสูง ระบบหลักเสร็จสมบูรณ์ตั้งแต่ก่อนสัปดาห์สอบ มีเวลาทดสอบรวมมากกว่า 4 สัปดาห์</t>
  </si>
  <si>
    <t>1: มีความเสี่ยงสูงมากที่จะไม่มีระบบหรืออุปกรณ์ใด ๆ ทำงานได้จริงในสัปดาห์ที่ 9 (Fatal Flaw)
2: ภายในสัปดาห์ที่ 9 ได้เพียงการทดลองชิ้นส่วนแยกกันบนโต๊ะทดลอง ยังไม่สามารถรวมการทำงานระหว่างฮาร์ดแวร์และซอฟต์แวร์ได้
3: ระบบทำงานร่วมกันได้บนโต๊ะทดลอง แต่ยังไม่พร้อมสำหรับการทดสอบในสภาวะจำลองหน้างาน
4: มีต้นแบบฮาร์ดแวร์และซอฟต์แวร์ที่ผสานการทำงานอย่างสมบูรณ์ พร้อมทดสอบในสภาวะจำลองหน้างานได้ภายในสัปดาห์ที่ 9
5: ต้นแบบเสร็จสมบูรณ์ 100% และผ่านการทดสอบทำงานจริงได้เรียบร้อยแล้วตั้งแต่ก่อนสัปดาห์ที่ 9</t>
  </si>
  <si>
    <t>1: ต้องสั่งซื้อชิ้นส่วนสั่งทำพิเศษจากต่างประเทศที่ใช้เวลาส่งเกินกว่า 4-6 สัปดาห์ เสี่ยงต่อการไม่มีอุปกรณ์ทำโครงงาน (Fatal Flaw)
2: มีชิ้นส่วนหลักบางรายการที่ต้องรอของ 3-4 สัปดาห์ ทำให้การเริ่มประกอบฮาร์ดแวร์ล่าช้า
3: ชิ้นส่วนทั้งหมดใช้เวลาจัดส่ง 2-3 สัปดาห์ ต้องสั่งซื้อตั้งแต่วันแรกของโครงการจึงจะทันกำหนด
4: ชิ้นส่วนเกือบทั้งหมดจัดซื้อได้จากตัวแทนจำหน่ายในประเทศ ได้รับของภายใน 7-10 วัน
5: ชิ้นส่วนทั้งหมด 100% มีจำหน่ายในประเทศและสามารถจัดส่งถึงมือได้ภายใน 2-4 วันทำการ</t>
  </si>
  <si>
    <t>1: โครงการไม่มีส่วนเกี่ยวข้อง หรืออาจส่งผลกระทบเชิงลบต่อโครงสร้างพื้นฐานและความปลอดภัยของเมือง (Fatal Flaw)
2: สนับสนุนความยั่งยืนทางอ้อมอย่างผิวเผิน แต่ไม่มีตัวชี้วัดผลกระทบเชิงปริมาณที่ชัดเจน
3: ส่งเสริมการลดผลกระทบได้บางส่วน แต่จำกัดขอบเขตอยู่เฉพาะจุดทดลองขนาดเล็ก
4: สอดคล้องกับ SDG 11.5 และ SDG 13.1 ชัดเจน ช่วยลดระยะเวลาและผลกระทบของปัญหาบนถนนสายหลักและพื้นที่ชุมชน
5: สอดคล้องกับเป้าหมายอย่างเป็นรูปธรรม มีแบบจำลองแสดงการลดความสูญเสียทางเศรษฐกิจและความปลอดภัยของประชาชนในเมืองได้อย่างยั่งยืน</t>
  </si>
  <si>
    <t>1: อุปกรณ์มีความเสี่ยงสูงที่จะหลุดลอยกลายเป็นขยะอุดตัน หรือปล่อยสารเคมี/โลหะหนักลงสู่สิ่งแวดล้อมสาธารณะ หรือใช้น้ำสิ้นเปลืองรุนแรง (Fatal Flaw)
2: ใช้วัสดุที่เสื่อมสภาพและแตกหักง่าย เสี่ยงต่อการตกค้างในสภาพแวดล้อมหากเจอสภาวะแวดล้อมรุนแรง
3: โครงสร้างแข็งแรงปานกลาง มีโอกาสหลุดลอยหากเจอพายุรุนแรง ต้องมีรอบการตรวจเช็กความแน่นหนาสม่ำเสมอ
4: ใช้วัสดุที่ไม่เป็นพิษต่อสิ่งแวดล้อม มีจุดยึดจับที่แน่นหนา ปลอดภัยต่อระบบสาธารณะ และควบคุมการใช้ทรัพยากรได้ดี
5: ปลอดภัยต่อระบบนิเวศ 100% ไม่มีส่วนประกอบที่หลุดลอยเป็นขยะ มีระบบสลิงนิรภัยสองชั้น (Dual Lanyard) และผ่านการรับรองความปลอดภัยของวัสดุ</t>
  </si>
  <si>
    <t>1: ตรรกะของระบบเป็นกล่องดำ (Black Box) ไม่สามารถอธิบายเหตุผลได้ หรือมีอคติเลือกปฏิบัติตัดความช่วยเหลือชุมชนเปราะบาง (Fatal Flaw)
2: เกณฑ์การตัดสินใจไม่ชัดเจน อาจนำไปสู่ความเหลื่อมล้ำในการให้บริการของภาครัฐโดยไม่ตั้งใจ
3: ตรรกะตรวจสอบได้บางส่วน แต่ยังไม่มีกระบวนการอุทธรณ์หรือทบทวนความถูกต้องโดยมนุษย์
4: ตรรกะโปร่งใส ตัดสินใจตามเกณฑ์ข้อมูลเชิงประจักษ์อย่างเสมอภาค ให้ความช่วยเหลือตามระดับความจำเป็นจริง
5: โปร่งใส 100% มี Audit Trail บันทึกทุกประวัติการตัดสินใจ ตรวจสอบย้อนหลังได้ทุกกรณี เสริมสร้างธรรมาภิบาลและความเชื่อมั่นของประชาชน</t>
  </si>
  <si>
    <t>เกณฑ์รวม: &gt;=80 ผ่านสูง, &gt;=60 มีเงื่อนไข, &lt;60 เสี่ยงสูง | หากมีข้อใดได้ 1 = VETOED ตกเกณฑ์ทันที</t>
  </si>
  <si>
    <t>คะแนนที่ได้รับ (ASSIGNED SCORE: 1, 2, 3, 4, 5 STRICT INTEGER)</t>
  </si>
  <si>
    <t>ค่าน้ำหนัก (Weight %)</t>
  </si>
  <si>
    <t>คะแนนถ่วงน้ำหนัก (=Score * Weight)</t>
  </si>
  <si>
    <t>คำอธิบาย &amp; หลักฐานอ้างอิงจากไฟล์ Intake (Evidence Citation)</t>
  </si>
  <si>
    <t>อ้างอิง solution-1.md หน้า 2 เลือกใช้กล่องพักสายไฟสำเร็จรูปมาตรฐาน COTS IP67 ยึดด้วยแคลมป์สแตนเลส สอดคล้องกับ team-skills/fifa.md ที่เชี่ยวชาญการออกแบบระบบยึดจับและ due.md ที่เชี่ยวชาญ 3D CAD</t>
  </si>
  <si>
    <t>อ้างอิง team-skills/due.md ที่มีประสบการณ์ Custom PCB และ ESP32 Low-power และ team-skills/jk.md ที่เข้าใจฟิสิกส์เซนเซอร์ วงจรเชื่อมต่อผ่าน Screw Terminal Shield มี Diode ป้องกันไฟย้อน</t>
  </si>
  <si>
    <t>อ้างอิง solution-1.md Requirements a: คำนวณอัตราน้ำลด dh/dt เทียบกับเวลาเดินทาง 20-30 นาที อ้างอิง team-skills/jk.md เชี่ยวชาญสมการอนุพันธ์ (Differential Equations) และ Python/ROS 2 คำนวณเสร็จในระดับมิลลิวินาที (≤ 100 ms)</t>
  </si>
  <si>
    <t>อ้างอิง solution-1.md Constraints a: เซนเซอร์ Ultrasonic กลางแจ้งจะเจอปัญหาฟองคลื่นน้ำและละอองฝนตีกลับรุนแรง ทำให้อนุพันธ์ dh/dt แกว่งตัว (Derivative Kick) ต้องอาศัยการกรองที่ซับซ้อน ได้คะแนนระดับ 3</t>
  </si>
  <si>
    <t>อ้างอิง solution-1.md BOM รายการอุปกรณ์: เซนเซอร์ Ultrasonic, ESP32, กล่อง IP67, แคลมป์ยึด รวมประมาณ 2,800 บาท ต่ำกว่าเพดาน 3,500 บาท</t>
  </si>
  <si>
    <t>งบประมาณ 2,800 บาท สามารถจัดซื้ออุปกรณ์หลักครบ 2 ชุด (100% Duplication) ภายใต้กรอบงบประมาณรวม 5,000 บาท</t>
  </si>
  <si>
    <t>อ้างอิง solution-1.md Benefits: ตัด Empty Cases ได้ 40-50% ประหยัดค่าน้ำมันรถ QRT และค่าแรงเจ้าหน้าที่ คืนทุนได้ภายในฤดูฝนเดียว</t>
  </si>
  <si>
    <t>ไม่ใช้กล้องบันทึกภาพบุคคล (Zero PII) ปลอดจากการละเมิด พ.ร.บ. คุ้มครองข้อมูลส่วนบุคคล (PDPA) 100% และติดตั้งบนราวสะพานปลอดภัยตามมาตรฐานทางวิศวกรรม</t>
  </si>
  <si>
    <t>ใช้โมดูล WiFi/433MHz ที่ผ่านการรับรองมาตรฐาน กสทช. อ้างอิง team-skills/jk.md ที่มีทักษะและเครือข่ายพร้อมประสานงานขออนุญาตพื้นที่ทดสอบผ่านหนังสือราชการของมหาวิทยาลัย</t>
  </si>
  <si>
    <t>อ้างอิง solution-1.md Features: สร้าง Digital Evidence Card กราฟแนวโน้ม dh/dt และ Timestamp แนบลง Traffy Fondue ได้ใน 5 วินาที</t>
  </si>
  <si>
    <t>ระบบออกแบบเป็น Plug-and-Play มีคู่มือการติดตั้งภาคสนามชัดเจน สามารถบำรุงรักษาได้ด้วยเครื่องมือช่างทั่วไป</t>
  </si>
  <si>
    <t>ติดตั้งบนราวสะพานหรือทางเท้า ปลอดภัย 100% ออกแบบให้ติดตั้งและบำรุงรักษาจากด้านบน ไม่มีการลงพื้นที่อับอากาศ (Zero Confined Space)</t>
  </si>
  <si>
    <t>อ้างอิง schedule-details/schedule.md: สถาปัตยกรรมแยกส่วน ฮาร์ดแวร์และซอฟต์แวร์พัฒนาคู่ขนาน มี Buffer Time 3-4 สัปดาห์ ดูดซับช่วงสอบได้สบาย</t>
  </si>
  <si>
    <t>ต้นแบบผสานการทำงานระหว่างเซนเซอร์และการคำนวณ dh/dt บน ROS 2 เสร็จสมบูรณ์พร้อมทดสอบในสภาวะจำลองก่อนสัปดาห์ที่ 9</t>
  </si>
  <si>
    <t>ชิ้นส่วน COTS ทั้งหมดมีจำหน่ายในประเทศ จัดส่งถึงมือได้ภายใน 2-4 วันทำการ</t>
  </si>
  <si>
    <t>สอดคล้องกับ SDG 11.5 และ 13.1 ชัดเจน ช่วยลดระยะเวลาและผลกระทบของปัญหาน้ำท่วมบนถนนสายหลัก</t>
  </si>
  <si>
    <t>ใช้วัสดุปลอดสารพิษ มีสลิงนิรภัยสองชั้น (Dual Lanyard) ปลอดภัยต่อระบบนิเวศน้ำ ไม่หลุดลอยเป็นขยะ สอดคล้องกับ SDG 6.3 และ 12.4</t>
  </si>
  <si>
    <t>ตรรกะคำนวณตามหลักการทางชลศาสตร์ที่โปร่งใส มี Audit Trail บันทึกประวัติการตัดสินใจ ตรวจสอบย้อนหลังได้ทุกกรณี สอดคล้องกับ SDG 10.2 และ 16.6</t>
  </si>
  <si>
    <t>แผนลดขอบเขตงาน &amp; มาตรการลดความเสี่ยง (De-scoping Action)</t>
  </si>
  <si>
    <t>ใช้กล่องพักสายไฟมาตรฐาน IP67 พร้อมแคลมป์รัดท่อสำเร็จรูป</t>
  </si>
  <si>
    <t>ใช้ Screw Terminal Expansion Shield ป้องกันไฟกระชาก</t>
  </si>
  <si>
    <t>ทดสอบสมการ dh/dt ด้วยข้อมูลจำลองน้ำฝนของ กทม.</t>
  </si>
  <si>
    <t>ใส่ฮูดกำบังเซนเซอร์และใช้ Median Filter กรองคลื่นผิวน้ำ</t>
  </si>
  <si>
    <t>เลือกใช้เซนเซอร์ COTS เกรดมาตรฐานที่หาซื้อได้ทั่วไป</t>
  </si>
  <si>
    <t>สำรองเซนเซอร์ Ultrasonic และบอร์ด ESP32 สำรอง 1 ชุด</t>
  </si>
  <si>
    <t>สรุปรายงานเปรียบเทียบสถิติรอบการวิ่งของรถ QRT</t>
  </si>
  <si>
    <t>ยืนยันการไม่ใช้กล้องตรวจจับภาพบุคคลในทุกจุด</t>
  </si>
  <si>
    <t>จัดเตรียมร่างหนังสือขอความอนุเคราะห์ติดตั้งผ่านมหาวิทยาลัย</t>
  </si>
  <si>
    <t>สร้างเทมเพลต Digital Evidence Card เป็นไฟล์ภาพอัตโนมัติ</t>
  </si>
  <si>
    <t>จัดทำคู่มือ Quick Start Guide หน้างาน 1 หน้า</t>
  </si>
  <si>
    <t>กำหนดขั้นตอนการปฏิบัติงานโดยห้ามลงไปในท่อระบายน้ำโดยเด็ดขาด</t>
  </si>
  <si>
    <t>ล็อกฟังก์ชันหลักก่อนสัปดาห์สอบ 2 สัปดาห์</t>
  </si>
  <si>
    <t>ทดสอบสมการ dh/dt บนข้อมูลย้อนหลังให้ผ่านก่อนเริ่มต่อวงจร</t>
  </si>
  <si>
    <t>สั่งซื้อชิ้นส่วนล่วงหน้าตั้งแต่วันแรกของโครงการ</t>
  </si>
  <si>
    <t>บันทึกตัวชี้วัดระยะเวลาน้ำลดเทียบกับการไม่ใช้ระบบ</t>
  </si>
  <si>
    <t>ตรวจสอบจุดยึดสายสลิงนิรภัยทุก 30 วัน</t>
  </si>
  <si>
    <t>เปิดเผยตรรกะการคำนวณ dh/dt ในเอกสารโครงงาน</t>
  </si>
  <si>
    <t>ปฏิบัติตามแผนลดขอบเขตงาน (De-scoping Advisory)</t>
  </si>
  <si>
    <t>ตารางสรุปคะแนนแยกตามมิติ TELOS+S (Pillar Score Breakdown)</t>
  </si>
  <si>
    <t>สัดส่วนน้ำหนัก (Weight %)</t>
  </si>
  <si>
    <t>คะแนนเต็มมิติ (Max Points)</t>
  </si>
  <si>
    <t>คะแนนที่ได้รับจริง (Earned Points)</t>
  </si>
  <si>
    <t>คะแนนเฉลี่ย (Score 1-5)</t>
  </si>
  <si>
    <t>ระดับความพร้อม (Readiness Level)</t>
  </si>
  <si>
    <t>T : ด้านเทคโนโลยีและวิศวกรรม (Technical)</t>
  </si>
  <si>
    <t>E : ด้านเศรษฐศาสตร์และความคุ้มค่า (Economic)</t>
  </si>
  <si>
    <t>L : ด้านกฎหมาย ระเบียบ และภาคประชาชน (Legal &amp; Outreach)</t>
  </si>
  <si>
    <t>O : ด้านการปฏิบัติการและหน้างาน (Operational)</t>
  </si>
  <si>
    <t>S : ด้านแผนงานและเวลาส่งมอบ (Schedule)</t>
  </si>
  <si>
    <t>+S : ด้านความยั่งยืนและสิ่งแวดล้อม (Sustainability / SDG)</t>
  </si>
  <si>
    <t>คะแนนรวมทุกมิติ (Total Feasibility Score)</t>
  </si>
  <si>
    <t>เมทริกซ์ประเมินความเข้ากันได้กับองค์ความรู้ด้านวิศวกรรมหุ่นยนต์ (Robotics Knowledge Compatibility)</t>
  </si>
  <si>
    <t>* หมายเหตุ: การประเมินส่วนนี้วัดศักยภาพในการประยุกต์ใช้องค์ความรู้ด้านวิศวกรรมหุ่นยนต์ (Perception, Control, Actuation, Mechatronics) เต็ม 10 คะแนน | เป็นเอกเทศ ไม่นับรวมในคะแนน TELOS+S 100 คะแนน</t>
  </si>
  <si>
    <t>มิติการประเมิน (Robotics Dimension)</t>
  </si>
  <si>
    <t>คะแนนศักยภาพ (/10)</t>
  </si>
  <si>
    <t>แกน Perception &amp; Sensing (การรับรู้)</t>
  </si>
  <si>
    <t>แกน Control &amp; Algorithms (การควบคุม)</t>
  </si>
  <si>
    <t>แกน Actuation &amp; Mechanisms (กลไก)</t>
  </si>
  <si>
    <t>บทวิเคราะห์เชิงวิศวกรรมหุ่นยนต์ (FIBO Alignment Rationale)</t>
  </si>
  <si>
    <t>ศักยภาพการประยุกต์ใช้องค์ความรู้หุ่นยนต์และระบบอัตโนมัติ</t>
  </si>
  <si>
    <t>เซนเซอร์วัดระดับน้ำและอัตราการไหล (Ultrasonic/Pressure) พร้อมอัลกอริทึมกรองสัญญาณคลื่นผิวน้ำ (Low-pass &amp; Median Filter)</t>
  </si>
  <si>
    <t>โดดเด่นมากในวิชา Dynamic Systems &amp; Control Theory: การแก้สมการอนุพันธ์ชลศาสตร์ dh/dt, Discrete Time Derivative, State Estimation และ Predictive Time Horizon (เทียบเวลาเดินทาง 20-30 นาที)</t>
  </si>
  <si>
    <t>ระดับต่ำ: ไม่มีระบบกลไกเคลื่อนที่ (Manipulator หรือ Mobile Chassis) เป็นระบบตัดสินใจแบบ Cyber-Physical Monitoring &amp; Edge-DSS</t>
  </si>
  <si>
    <t>เมทริกซ์ประเมินความเป็นไปได้เชิงระบบ TELOS+S: PUB Singapore CWOS 2-Factor Authentication Dispatch Filter</t>
  </si>
  <si>
    <t>เป็นระบบ Pure Software/Cloud ไม่จำเป็นต้องติดตั้งโครงสร้างทางกายภาพกลางแจ้ง ปลอดจากปัญหาความทนทานต่อสภาพอากาศ 100%</t>
  </si>
  <si>
    <t>รันบนโครงสร้างพื้นฐานเซิร์ฟเวอร์/คลาวด์ มีเสถียรภาพสูง ปราศจากปัญหาความร้อนสะสมหรือการรบกวนทางแม่เหล็กไฟฟ้าหน้างาน</t>
  </si>
  <si>
    <t>อ้างอิง solution-2.md Constraints b: การพึ่งพาข้อมูลเรดาร์ฝนภายนอกผ่าน API มีปัญหาเรื่อง Latency และความละเอียดเชิงพื้นที่ (Spatial Resolution) ต่ำกว่าระดับซอย จึงปรับตัวตามพลวัตพื้นที่แคบได้จำกัด ได้คะแนนระดับ 3</t>
  </si>
  <si>
    <t>ข้อมูลทั้งหมดได้จาก API มาตรฐานของหน่วยงานภาครัฐ ไม่มีการสัมผัสกับคราบไขมัน ตะกอน หรือสิ่งรบกวนทางกายภาพในท่อ</t>
  </si>
  <si>
    <t>ต้นทุนฮาร์ดแวร์เป็น 0 บาท มีเฉพาะค่าบริการคลาวด์และ API ขนาดเล็ก ต่ำกว่า 1,500 บาท</t>
  </si>
  <si>
    <t>สถาปัตยกรรมซอฟต์แวร์สามารถสำรองและจำลองข้อมูลได้ไม่จำกัด (Redundancy 100%)</t>
  </si>
  <si>
    <t>ตัดรอบการส่งรถ QRT บนการเตือนหลอกได้มากกว่า 40% ประหยัดค่าน้ำมันและค่าแรงได้มหาศาล คืนทุนได้ทันที</t>
  </si>
  <si>
    <t>ไม่ประมวลผลข้อมูลส่วนบุคคลของประชาชน (Zero PII) สอดคล้องกับ พ.ร.บ. คุ้มครองข้อมูลส่วนบุคคล (PDPA) 100%</t>
  </si>
  <si>
    <t>ต้องประสานงานขอสิทธิ์การเชื่อมต่อ API เรดาร์ตรวจฝนกับสำนักการระบายน้ำ กทม. หรือกรมอุตุนิยมวิทยา</t>
  </si>
  <si>
    <t>สร้าง Digital Audit Trail บันทึกค่าเรดาร์และระดับน้ำ พร้อมออกบัตรตรวจสอบยืนยันก่อนสั่งจ่ายงานเจ้าหน้าที่</t>
  </si>
  <si>
    <t>แสดงผลผ่าน Web Dashboard ที่ใช้งานง่าย กดปุ่มยืนยันคำสั่งได้ใน 1 คลิก</t>
  </si>
  <si>
    <t>ปฏิบัติการในห้องควบคุม (Control Room) ปลอดภัย 100% ปราศจากความเสี่ยงต่อชีวิตหน้างาน</t>
  </si>
  <si>
    <t>งานซอฟต์แวร์แบ่งเป็น Sprint ชัดเจน มี Buffer Time 3-4 สัปดาห์</t>
  </si>
  <si>
    <t>ระบบทดสอบการรับส่งข้อมูลผ่าน Mock API และผสานการทำงานได้จริงภายในสัปดาห์ที่ 9</t>
  </si>
  <si>
    <t>ไม่ต้องรอการจัดส่งชิ้นส่วนฮาร์ดแวร์ ระยะเวลาจัดหาอุปกรณ์เท่ากับ 0 วัน</t>
  </si>
  <si>
    <t>ช่วยจัดสรรกำลังพลรับมือน้ำท่วมขังเมืองได้อย่างแม่นยำ สอดคล้องกับ SDG 11.5</t>
  </si>
  <si>
    <t>ไม่มีการติดตั้งอุปกรณ์ในแหล่งน้ำ ไม่สร้างมลพิษหรือขยะตกค้าง สอดคล้องกับ SDG 6.3</t>
  </si>
  <si>
    <t>ตรรกะการคัดกรอง 2 ปัจจัยมีความโปร่งใส ตรวจสอบย้อนหลังได้ทุกคำสั่ง สอดคล้องกับ SDG 16.6</t>
  </si>
  <si>
    <t>ใช้บริการคลาวด์สำเร็จรูป</t>
  </si>
  <si>
    <t>รันบนเครื่องเซิร์ฟเวอร์เสมือนขนาดเล็ก</t>
  </si>
  <si>
    <t>ใช้ข้อมูลเรดาร์แบบสำรองกรณี API หลักล่าช้า</t>
  </si>
  <si>
    <t>ทำระบบตรวจสอบความสมบูรณ์ของแพ็กเกจข้อมูล API</t>
  </si>
  <si>
    <t>ใช้ Free Tier ของบริการคลาวด์</t>
  </si>
  <si>
    <t>ทำระบบสำรองข้อมูลบน GitHub Repository</t>
  </si>
  <si>
    <t>สรุปสถิติรอบการแจ้งเตือนที่ถูกกรองออก</t>
  </si>
  <si>
    <t>จัดทำเอกสารรับรองการไม่เก็บข้อมูลส่วนบุคคล</t>
  </si>
  <si>
    <t>ใช้ข้อมูลเรดาร์แบบสาธารณะที่เปิดให้ดาวน์โหลด</t>
  </si>
  <si>
    <t>สร้าง Webhook ส่งการแจ้งเตือนไปยัง LINE Notify หรือ Telegram</t>
  </si>
  <si>
    <t>ออกแบบ UI แบบ Minimal ให้เจ้าหน้าที่ใช้งานง่าย</t>
  </si>
  <si>
    <t>ปฏิบัติงานในอาคาร 100%</t>
  </si>
  <si>
    <t>จำลองข้อมูลฝนสังเคราะห์ในการทดสอบล่วงหน้า</t>
  </si>
  <si>
    <t>ทำระบบจำลอง API เสร็จก่อนสัปดาห์ที่ 7</t>
  </si>
  <si>
    <t>เริ่มพัฒนาซอฟต์แวร์ทันทีในสัปดาห์ที่ 1</t>
  </si>
  <si>
    <t>ติดตามผลการลดเวลาเดินทางสูญเปล่าของเจ้าหน้าที่</t>
  </si>
  <si>
    <t>ไม่ใช้ฮาร์ดแวร์กายภาพ</t>
  </si>
  <si>
    <t>บันทึกประวัติการตัดสินใจลงฐานข้อมูลแบบ Audit Trail</t>
  </si>
  <si>
    <t>การดึงข้อมูลจากระบบภายนอก (API เรดาร์ตรวจฝนและเกจระดับน้ำ) ขาดการเชื่อมต่อทางฟิสิกส์กับ Hardware Sensor โดยตรง</t>
  </si>
  <si>
    <t>ตรรกะแบบ Rule-based Decision Engine และ Cross-correlation สองปัจจัย (ไม่มีวงรอบปิด Closed-loop Feedback Control เชิงฟิสิกส์)</t>
  </si>
  <si>
    <t>ไม่มี: เป็นระบบ Pure Software / Cloud Dashboard / Webhook Dispatch</t>
  </si>
  <si>
    <t>เมทริกซ์ประเมินความเป็นไปได้เชิงระบบ TELOS+S: Acoustic Sewer Measurement &amp; Pre-Screening Maintenance (UK/USA SL-RAT Case)</t>
  </si>
  <si>
    <t>ท่อส่ง-รับคลื่นเสียงผลิตด้วย 3D Printing (PETG) ซีลโอริงและฝาครอบกันน้ำระดับ IP67 ยึดกับแกนหย่อน COTS แข็งแรงทนทาน</t>
  </si>
  <si>
    <t>วงจรกำเนิดสัญญาณเสียง Chirp และภาคขยายแอนะล็อกมี Diode และวงจรแยกสัญญาณ ป้องกันการรบกวนของคลื่นแม่เหล็กไฟฟ้า</t>
  </si>
  <si>
    <t>อัลกอริทึม FFT วิเคราะห์การลดทอนของคลื่นเสียง (Acoustic Attenuation) ประมวลผลเสร็จสิ้นภายใน 3 วินาที</t>
  </si>
  <si>
    <t>คลื่นเสียงไม่ได้รับผลกระทบจากคราบไขมันบนผนังท่อ ฮูดกำบังรูปกรวยช่วยป้องกันละอองน้ำกระเซ็นเข้าหัวไมค์ได้ดี</t>
  </si>
  <si>
    <t>อ้างอิง solution-3.md Constraints a: หากต้องการ Transducer และ Microphone ที่ทนก๊าซ H2S และความชื้นอิ่มตัวในท่อ งบ 3,500-5,000 บาทจะตึงมาก เสี่ยงงบบานปลายสูงกว่า Solution อื่น ได้คะแนนระดับ 3</t>
  </si>
  <si>
    <t>มีงบสำรองจัดซื้อหัววัดเสียงและขั้วต่อสำรอง 80% ป้องกันกรณีอุปกรณ์ตกหล่นหรือเสียหาย</t>
  </si>
  <si>
    <t>ช่วยคัดกรองท่อที่ไม่อุดตัน (กลุ่ม 7-10) ออกได้ 60% ประหยัดค่าใช้จ่ายการส่งรถดูดล้างท่อ คืนทุนได้ใน 1 ปี</t>
  </si>
  <si>
    <t>ปฏิบัติงานบนผิวจราจร ต้องปฏิบัติตาม พ.ร.บ. จราจรทางบก โดยการตั้งแนวกรวยยางและไฟกะพริบเตือน</t>
  </si>
  <si>
    <t>ต้องทำหนังสือขออนุญาตเปิดฝาท่อพักน้ำเพื่อทดสอบจากสำนักการระบายน้ำ กทม. ผ่านช่องทางมหาวิทยาลัย</t>
  </si>
  <si>
    <t>ออกรายงานประเมินความสะอาดท่อ 3 ระดับ (0-3 ล้างทันที, 4-6 จัดคิว, 7-10 ปกติ) พร้อมบันทึกพิกัด GPS</t>
  </si>
  <si>
    <t>ใช้ก้านหย่อนอุปกรณ์จากผิวดิน ใช้เวลาตรวจวัดเพียง 3 นาทีต่อช่วงท่อ เจ้าหน้าที่ใช้เครื่องมือทั่วไปดูแลรักษาได้</t>
  </si>
  <si>
    <t>อ้างอิง solution-3.md Constraints c: ต้องเปิดฝาท่อพักน้ำบนผิวถนน การทำงานบนผิวทางสัญจรมีความเสี่ยงต่ออุบัติเหตุจราจรสูงกว่าการยึดเซนเซอร์อยู่กับที่บนสะพาน ได้คะแนนระดับ 3</t>
  </si>
  <si>
    <t>สถาปัตยกรรมแยกส่วนฮาร์ดแวร์ส่งและรับ มี Buffer Time 3 สัปดาห์</t>
  </si>
  <si>
    <t>ระบบส่งและรับคลื่นเสียงพร้อมอัลกอริทึม 3 Tiers ประกอบและทดสอบในท่อจำลองได้ก่อนสัปดาห์ที่ 9</t>
  </si>
  <si>
    <t>ชิ้นส่วนลำโพงและไมโครโฟนกันน้ำจัดหาได้ในประเทศ ใช้เวลาจัดส่ง 7-10 วัน</t>
  </si>
  <si>
    <t>ช่วยป้องกันน้ำท่วมขังจากการอุดตันของท่อระบายน้ำสายหลัก สอดคล้องกับ SDG 11.5</t>
  </si>
  <si>
    <t>ใช้คลื่นเสียง ปลอดภัยต่อสิ่งแวดล้อม ไม่มีการทิ้งสารเคมีหรือสร้างขยะตกค้างในท่อ สอดคล้องกับ SDG 6.3</t>
  </si>
  <si>
    <t>เกณฑ์การแบ่ง 3 Tiers ชัดเจนและโปร่งใส ให้บริการล้างท่อตามสภาพความเป็นจริง สอดคล้องกับ SDG 16.6</t>
  </si>
  <si>
    <t>ใช้ท่อ PVC สำเร็จรูปประกอบเป็นกระบอกส่งเสียง</t>
  </si>
  <si>
    <t>ใช้โมดูลขยายเสียง Class-D สำเร็จรูป</t>
  </si>
  <si>
    <t>คำนวณการลดทอนเสียงด้วยค่าเฉลี่ย RMS บนไมโครคอนโทรลเลอร์</t>
  </si>
  <si>
    <t>ใช้ฟองน้ำกันน้ำชนิดพิเศษคลุมหัวไมโครโฟน</t>
  </si>
  <si>
    <t>ใช้ดอกลำโพงและไมโครโฟน COTS ราคาประหยัด</t>
  </si>
  <si>
    <t>สำรองเฉพาะหัวไมโครโฟนและสายสัญญาณ</t>
  </si>
  <si>
    <t>สรุปสถิติจำนวนช่วงท่อที่ไม่จำเป็นต้องล้าง</t>
  </si>
  <si>
    <t>ปฏิบัติงานเฉพาะในซอยปิดหรือช่วงเวลาการจราจรเบาบาง</t>
  </si>
  <si>
    <t>ประสานงานร่วมกับเขตเพื่อขอเจ้าหน้าที่รักษาความปลอดภัยร่วมอำนวยความสะดวก</t>
  </si>
  <si>
    <t>สร้างแอปพลิเคชันบนสมาร์ตโฟนเพื่อบันทึกผลการวัด 3 Tiers</t>
  </si>
  <si>
    <t>จัดทำขายึดสามขา (Tripod) สำหรับหย่อนอุปกรณ์ลงปากท่อ</t>
  </si>
  <si>
    <t>ตั้งกรวยยางนิรภัย 50 เมตรก่อนถึงจุดปฏิบัติงานเสมอ</t>
  </si>
  <si>
    <t>ทดสอบระบบเสียงในท่อจำลองในห้องปฏิบัติการก่อนลงพื้นที่จริง</t>
  </si>
  <si>
    <t>ล็อกช่วงความถี่เสียงทดสอบก่อนสัปดาห์ที่ 8</t>
  </si>
  <si>
    <t>จัดซื้ออุปกรณ์เสียง COTS จากร้านค้าในกรุงเทพฯ</t>
  </si>
  <si>
    <t>เก็บสถิติความสะอาดของท่อเทียบกับจุดเสี่ยงน้ำท่วม</t>
  </si>
  <si>
    <t>ผูกสายคล้องนิรภัยกับตัวอุปกรณ์ตลอดเวลา</t>
  </si>
  <si>
    <t>เปิดเผยเกณฑ์การตัดสิน 3 กลุ่มในรายงานวิชาการ</t>
  </si>
  <si>
    <t>โดดเด่นมากด้าน Acoustic Sensing: ลำโพงกำเนิดเสียงเฉพาะความถี่, ไมโครโฟนรับคลื่น, การวิเคราะห์การลดทอนของสัญญาณเสียงในท่อ (Sound Attenuation &amp; FFT Analysis)</t>
  </si>
  <si>
    <t>การควบคุมเวลาซิงโครไนซ์ส่ง-รับระดับมิลลิวินาที (Microsecond Acoustic Chirp Triggering) และการสกัดคุณลักษณะของสัญญาณ (Edge Feature Extraction)</t>
  </si>
  <si>
    <t>การออกแบบกลไกชุดหย่อนหัวตรวจวัดลงท่อ (Deployment Rig, Winch Mechanism, Acoustic Horn Baffle, โครงสร้าง IP67) และพร้อมพัฒนาต่อยอดเป็นหัวเจาะจง (End-Effector Sensor Payload) ให้กับหุ่นยนต์ตรวจท่อ (Pipe Crawler Rover)</t>
  </si>
  <si>
    <t>เมทริกซ์ประเมินความเป็นไปได้เชิงระบบ TELOS+S: Jakarta Drainage Pipe Telemetry &amp; Prioritized Flushing DSS</t>
  </si>
  <si>
    <t>ใช้กล่องมาตรฐานกันน้ำระดับ IP68 พร้อมแคลมป์ยึดสแตนเลสกับผนังท่อ ทนทานต่อแรงกระแทก</t>
  </si>
  <si>
    <t>วงจรจัดการพลังงานจากโซลาร์เซลล์พร้อมแบตเตอรี่สำรองและ Custom PCB ของ Due มีระบบตรวจวัดแรงดัน</t>
  </si>
  <si>
    <t>คำนวณความลาดชันชลศาสตร์ (Hydraulic Gradient) และประมวลผลเสร็จสิ้นบน Edge Node ในเวลาไม่เกิน 5 วินาที</t>
  </si>
  <si>
    <t>อ้างอิง solution-4.md Constraints a: การติดตั้งเซนเซอร์ใต้ฝาท่อพักน้ำจะถูกไอระเหยของก๊าซ H2S กัดกร่อนแผงวงจรและมีคราบไขมันเกาะหัววัดอย่างรวดเร็ว ต้องเข้าบำรุงรักษาบ่อยครั้ง ได้คะแนนระดับ 2</t>
  </si>
  <si>
    <t>งบประมาณ BOM เซนเซอร์และระบบพลังงานโซลาร์ประมาณ 4,200 บาท อยู่ในกรอบงบประมาณโครงงาน</t>
  </si>
  <si>
    <t>มีงบสำรองเซนเซอร์อัลตราโซนิกและโมดูลควบคุม 80%</t>
  </si>
  <si>
    <t>ช่วยจัดลำดับการส่งรถดูดโคลนไปยังท่อที่อุดตันจริง ลดการสิ้นเปลืองทรัพยากร คืนทุนได้ใน 1 ปี</t>
  </si>
  <si>
    <t>ติดตั้งใต้ฝาท่อพักน้ำ ปลอดภัย ไม่มีการจัดเก็บข้อมูลส่วนบุคคล (Zero PII)</t>
  </si>
  <si>
    <t>ใช้คลื่นความถี่ 433MHz/LoRa ที่ได้รับอนุญาตจาก กสทช. และมีขั้นตอนประสานงานขอพื้นที่ทดสอบ</t>
  </si>
  <si>
    <t>สร้างแดชบอร์ดแสดงผลความเร่งด่วนและประวัติการไหลของน้ำในแต่ละท่อ</t>
  </si>
  <si>
    <t>ติดตั้งจากปากท่อโดยใช้ขากลไกยึดผนัง บำรุงรักษาได้โดยไม่ต้องลงไปในบ่อพัก</t>
  </si>
  <si>
    <t>มีความปลอดภัยสูง ออกแบบให้ติดตั้งและถอดบำรุงรักษาจากด้านบนปากท่อ ไม่มีการให้บุคลากรลงไปในบ่อพัก (Zero Confined Space)</t>
  </si>
  <si>
    <t>มีเวลาสำรอง 3 สัปดาห์ สถาปัตยกรรมฮาร์ดแวร์และคลาวด์แยกจากกัน</t>
  </si>
  <si>
    <t>บูรณาการเซนเซอร์ ระบบส่งสัญญาณ และแดชบอร์ดแสดงผลได้ภายในสัปดาห์ที่ 9</t>
  </si>
  <si>
    <t>เซนเซอร์และแผงโซลาร์ขนาดเล็กจัดซื้อได้จากร้านค้าในประเทศ ได้รับของใน 5-7 วัน</t>
  </si>
  <si>
    <t>สนับสนุนการบริหารจัดการระบบระบายน้ำเมืองอย่างมีประสิทธิภาพ สอดคล้องกับ SDG 11.5</t>
  </si>
  <si>
    <t>กล่อง IP68 ป้องกันวงจรสัมผัสน้ำ ไม่ปล่อยสารพิษลงท่อ สอดคล้องกับ SDG 6.3</t>
  </si>
  <si>
    <t>จัดสรรคิวรถล้างท่อตามข้อมูลชลศาสตร์ที่แท้จริง ไม่เลือกปฏิบัติ สอดคล้องกับ SDG 10.2 และ 16.6</t>
  </si>
  <si>
    <t>ใช้ท่อร้อยสายไฟกันน้ำหุ้มสายสัญญาณทั้งหมด</t>
  </si>
  <si>
    <t>ใช้บอร์ดชาร์จแบตเตอรี่สำเร็จรูป COTS</t>
  </si>
  <si>
    <t>ส่งข้อมูลดิบขึ้นคลาวด์เพื่อลดภาระการประมวลผลบนโหนด</t>
  </si>
  <si>
    <t>พ่นสารเคลือบกันก๊าซกัดกร่อน (Conformal Coating) บนแผงวงจร</t>
  </si>
  <si>
    <t>เลือกใช้แผงโซลาร์เซลล์ขนาดเล็ก 5W ประหยัดต้นทุน</t>
  </si>
  <si>
    <t>สำรองเซนเซอร์อัลตราโซนิก 1 ชุด</t>
  </si>
  <si>
    <t>เปรียบเทียบชั่วโมงการทำงานของรถดูดโคลน</t>
  </si>
  <si>
    <t>ยืนยันการไม่ส่งคลื่นรบกวนสัญญาณวิทยุสาธารณะ</t>
  </si>
  <si>
    <t>ใช้โมดูลสื่อสารที่ผ่านการรับรองมาตรฐาน กสทช. แล้ว</t>
  </si>
  <si>
    <t>สร้างการแจ้งเตือนระดับน้ำวิกฤตผ่าน LINE Notify</t>
  </si>
  <si>
    <t>ออกแบบก้านยึดแบบปรับระดับได้ตามขนาดบ่อพัก</t>
  </si>
  <si>
    <t>ห้ามเจ้าหน้าที่ลงไปในบ่อพักน้ำโดยเด็ดขาด</t>
  </si>
  <si>
    <t>พัฒนาเฟิร์มแวร์วัดระดับน้ำให้เสร็จก่อนเริ่มทดสอบระบบส่งสัญญาณ</t>
  </si>
  <si>
    <t>ทดสอบการอ่านค่าเซนเซอร์บนโต๊ะทดลองให้เสร็จในสัปดาห์ที่ 6</t>
  </si>
  <si>
    <t>สั่งซื้อเซนเซอร์อัลตราโซนิกกันน้ำตั้งแต่เริ่มโครงการ</t>
  </si>
  <si>
    <t>บันทึกข้อมูลการไหลของน้ำเพื่อวางแผนแก้ปัญหาระยะยาว</t>
  </si>
  <si>
    <t>ตรวจสอบการซีลกันน้ำของกล่องอุปกรณ์ก่อนติดตั้งทุกครั้ง</t>
  </si>
  <si>
    <t>จัดทำรายงานการจัดคิวงานที่ตรวจสอบได้</t>
  </si>
  <si>
    <t>เซนเซอร์วัดระดับน้ำและอัตราการไหลในท่อระบายน้ำด้วยคลื่นอัลตราโซนิกและแรงดันน้ำ เชื่อมต่อผ่าน RS485/Modbus</t>
  </si>
  <si>
    <t>การประมวลผลคำนวณ Hydraulic Gradient บน Edge Node และจัดลำดับความเร่งด่วนของการล้างท่ออัตโนมัติ</t>
  </si>
  <si>
    <t>มีระบบพลังงานแสงอาทิตย์ (BMS &amp; MPPT), Custom PCB ของ Due, และขายึดกลไกปรับระดับได้ แต่การล้างท่อหน้างานยังพึ่งพารถดูดโคลนของมนุษย์ (ไม่มีระบบล้างกลไกอัตโนมัติ)</t>
  </si>
  <si>
    <t>เมทริกซ์ประเมินความเป็นไปได้เชิงระบบ TELOS+S: UHI Latent Heat Precision Road Cooling (Micro-dosing 0.2-0.4 mm Evaporative Spraying)</t>
  </si>
  <si>
    <t>โครงสร้างคานยึดหัวฉีดพ่นละอองน้ำ (Spray Boom) ผลิตด้วยโลหะแผ่นและอะลูมิเนียมโปรไฟล์ ออกแบบโดย Fifa ยึดติดท้ายรถทดสอบอย่างมั่นคง</t>
  </si>
  <si>
    <t>วงจรขับปั๊มแรงดันสูงและวาล์วโซลินอยด์ PWM มี Diode Flyback และ Optocoupler ป้องกันกระแสไฟกระชากเข้าไมโครคอนโทรลเลอร์ ESP32 ของ Due</t>
  </si>
  <si>
    <t>อัลกอริทึม Closed-loop Thermal Dosing คำนวณความเร็วรถและอุณหภูมิผิวทาง ประมวลผลเสร็จในระดับมิลลิวินาที</t>
  </si>
  <si>
    <t>อ้างอิง solution-5_uhi_latent_heat.md Constraints a: เซนเซอร์วัดอุณหภูมิอินฟราเรด (IR Pyrometer) เจอปัญหา Emissivity ผิวแอสฟัลต์เปลี่ยนตามความชื้น และไอร้อนจากท่อไอเสียรบกวน ต้องทำ Calibration บ่อยครั้ง ได้คะแนนระดับ 3</t>
  </si>
  <si>
    <t>อ้างอิง solution-5_uhi_latent_heat.md BOM: ปั๊มไดอะแฟรมแรงดันสูง, วาล์วโซลินอยด์ PWM, หัวฉีดไมครอน และ IR เซนเซอร์ มีต้นทุน 4,500 - 5,000 บาท ตึงตัวต่อเพดานงบประมาณ ได้คะแนนระดับ 3</t>
  </si>
  <si>
    <t>มีงบสำรองจัดซื้อหัวฉีดพ่นละอองน้ำสำรองและข้อต่อสวมเร็ว 80%</t>
  </si>
  <si>
    <t>ลดอุณหภูมิผิวทางได้ 5-10°C ชะลอการเสื่อมสภาพของผิวถนนและลดปรากฏการณ์เกาะความร้อนเมือง คืนทุนใน 1 ปี</t>
  </si>
  <si>
    <t>อ้างอิง solution-5_uhi_latent_heat.md Constraints c: การฉีดพ่นละอองน้ำบนถนนสาธารณะต้องปฏิบัติตาม พ.ร.บ. จราจรทางบก อย่างเคร่งครัดเพื่อป้องกันละอองน้ำบดบังทัศนวิสัยหรือทำให้ผิวทางลื่นไถล ได้คะแนนระดับ 3</t>
  </si>
  <si>
    <t>ต้องทำหนังสือขออนุญาตทดสอบยานพาหนะพ่นน้ำบนถนนสาธารณะกับสำนักการโยธาและสถานีตำรวจท้องที่</t>
  </si>
  <si>
    <t>ระบบ Telemetry บันทึกปริมาณน้ำที่ฉีด, อุณหภูมิผิวทางก่อน-หลังฉีด, และพิกัด GPS เป็น Digital Evidence Card</t>
  </si>
  <si>
    <t>ติดตั้งบนรถกระบะหรือรถบริการสาธารณะ กดสวิตช์เริ่มระบบอัตโนมัติ ผู้ขับขี่ไม่ต้องควบคุมหัวฉีดเอง</t>
  </si>
  <si>
    <t>อ้างอิง solution-5_uhi_latent_heat.md Constraints d: การทดสอบอุปกรณ์บนผิวจราจรจริงมีความเสี่ยงจากยานพาหนะคันอื่นร่วมทาง ต้องมีไฟสัญญาณเตือนและขับขี่ด้วยความเร็วต่ำ ได้คะแนนระดับ 3</t>
  </si>
  <si>
    <t>แผนงานมี Buffer Time 3 สัปดาห์ สถาปัตยกรรมระบบกลไกท่อและระบบควบคุมไฟฟ้าแยกส่วนกัน</t>
  </si>
  <si>
    <t>ชุดต้นแบบฉีดพ่นละอองน้ำและอัลกอริทึมชดเชยความเร็วประกอบและทดสอบบนแท่นทดลองเสร็จก่อนสัปดาห์ที่ 9</t>
  </si>
  <si>
    <t>ปั๊มน้ำแรงดันสูง 12V และหัวฉีดพ่นหมอก COTS สั่งซื้อจากตัวแทนในประเทศ ได้รับของใน 5-7 วัน</t>
  </si>
  <si>
    <t>บรรเทาผลกระทบจากภัยพิบัติคลื่นความร้อนในเมือง (SDG 11.5 / 13.1) ลดการเจ็บป่วยจากโรคลมแดด (Heat Stroke)</t>
  </si>
  <si>
    <t>ควบคุมการฉีดพ่นระดับ Micro-dosing (0.2-0.4 mm) ดึงความร้อนแฝงเต็มประสิทธิภาพโดยไม่ทำให้เกิดน้ำท่วมขังหรือสิ้นเปลืองน้ำ สอดคล้องกับ SDG 6.4 และ 12.4</t>
  </si>
  <si>
    <t>ตรรกะการฉีดพ่นควบคุมด้วยอุณหภูมิจริงตามหลักอุณหพลศาสตร์ โปร่งใส ตรวจสอบย้อนหลังได้ทุกพิกัด สอดคล้องกับ SDG 10.2 และ 16.6</t>
  </si>
  <si>
    <t>ใช้อะลูมิเนียมโปรไฟล์ COTS สำหรับประกอบโครงคานหัวฉีด</t>
  </si>
  <si>
    <t>ใช้บอร์ด Relay โมดูล COTS ขับปั๊มน้ำ</t>
  </si>
  <si>
    <t>ใช้ตาราง Lookup Table แทนการคำนวณสมการเทอร์โมไดนามิกส์เต็มรูปแบบ</t>
  </si>
  <si>
    <t>ติดตั้งท่อบังลมและกรองแสงรบกวนให้กับหัววัดอินฟราเรด</t>
  </si>
  <si>
    <t>ใช้ปั๊มน้ำแรงดันคงที่และควบคุมการจ่ายน้ำด้วยวาล์วโซลินอยด์ราคาประหยัด</t>
  </si>
  <si>
    <t>สำรองเฉพาะหัวฉีดไมครอน 3 หัว</t>
  </si>
  <si>
    <t>เก็บบันทึกข้อมูลเปรียบเทียบอุณหภูมิถนนก่อนและหลังพ่นน้ำ</t>
  </si>
  <si>
    <t>ทดสอบเฉพาะในลานจอดรถของมหาวิทยาลัยก่อนลงถนนจริง</t>
  </si>
  <si>
    <t>ขอหนังสืออนุญาตทดสอบในพื้นที่ปิดของมหาวิทยาลัย</t>
  </si>
  <si>
    <t>บันทึกข้อมูลอุณหภูมิลงในการ์ด SD เป็นไฟล์ CSV</t>
  </si>
  <si>
    <t>ออกแบบสวิตช์เปิด-ปิดแบบกล่องควบคุมข้างคนขับ</t>
  </si>
  <si>
    <t>ติดธงส้มและไฟเตือนสีเหลืองท้ายรถทดสอบทุกครั้ง</t>
  </si>
  <si>
    <t>ทดสอบการพ่นละอองน้ำแบบอยู่กับที่ก่อนนำไปติดบนรถ</t>
  </si>
  <si>
    <t>ล็อกขนาดหัวฉีดพ่นน้ำในสัปดาห์ที่ 7</t>
  </si>
  <si>
    <t>สั่งซื้อปั๊มและหัวฉีดล่วงหน้าจากผู้จำหน่ายในประเทศ</t>
  </si>
  <si>
    <t>วัดค่าอุณหภูมิที่ลดลงเพื่อยืนยันการลดเกาะความร้อน</t>
  </si>
  <si>
    <t>ใช้น้ำรีไซเคิลหรือน้ำฝนที่ผ่านการกรองแล้ว</t>
  </si>
  <si>
    <t>รายงานผลการทดสอบอย่างโปร่งใสในเอกสารโครงงาน</t>
  </si>
  <si>
    <t>การตรวจวัดอุณหภูมิผิวทางแบบไม่สัมผัส (Infrared Pyrometer / Thermal Array) ร่วมกับสถานีตรวจสภาพอากาศและเซนเซอร์ความชื้นสัมพัทธ์</t>
  </si>
  <si>
    <t>ระบบควบคุมวงรอบปิดแบบป้อนกลับและป้อนไปข้างหน้า (Closed-loop Feedback &amp; Feedforward Thermal Control) คำนวณปริมาณน้ำระเหยเพื่อดูดซับความร้อนแฝง (Latent Heat of Vaporization) พร้อมระบบ Dynamic Speed-compensation แปรผันตามความเร็วรถ</t>
  </si>
  <si>
    <t>ระบบกลไกการฉีดพ่นละอองน้ำละเอียดแรงดันสูง (High-pressure Pump, Solenoid PWM Valves, Variable Spray Nozzle Manifold, Anti-drip Check Valves) ที่ออกแบบและประกอบขึ้นจริง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</si>
</sst>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9">
    <font>
      <sz val="11"/>
      <color theme="1"/>
      <name val="Calibri"/>
      <family val="2"/>
      <scheme val="minor"/>
    </font>
    <font>
      <b/>
      <sz val="13"/>
      <color rgb="FF1F497D"/>
      <name val="Segoe UI"/>
    </font>
    <font>
      <i/>
      <sz val="9.5"/>
      <color rgb="FF595959"/>
      <name val="Segoe UI"/>
    </font>
    <font>
      <b/>
      <sz val="11"/>
      <color rgb="FF1F497D"/>
      <name val="Segoe UI"/>
    </font>
    <font>
      <b/>
      <sz val="10"/>
      <color rgb="FFFFFFFF"/>
      <name val="Segoe UI"/>
    </font>
    <font>
      <b/>
      <sz val="9.5"/>
      <name val="Segoe UI"/>
    </font>
    <font>
      <sz val="9"/>
      <name val="Segoe UI"/>
    </font>
    <font>
      <b/>
      <sz val="15"/>
      <color rgb="FF002060"/>
      <name val="Segoe UI"/>
    </font>
    <font>
      <b/>
      <sz val="16"/>
      <color rgb="FF006100"/>
      <name val="Segoe UI"/>
    </font>
    <font>
      <b/>
      <sz val="12"/>
      <color rgb="FF006100"/>
      <name val="Segoe UI"/>
    </font>
    <font>
      <b/>
      <sz val="10"/>
      <color rgb="FF002060"/>
      <name val="Segoe UI"/>
    </font>
    <font>
      <b/>
      <sz val="11"/>
      <color rgb="FF002060"/>
      <name val="Segoe UI"/>
    </font>
    <font>
      <b/>
      <sz val="14"/>
      <color rgb="FF002060"/>
      <name val="Segoe UI"/>
    </font>
    <font>
      <b/>
      <sz val="14"/>
      <color rgb="FF1F497D"/>
      <name val="Segoe UI"/>
    </font>
    <font>
      <i/>
      <sz val="10"/>
      <color rgb="FF595959"/>
      <name val="Segoe UI"/>
    </font>
    <font>
      <b/>
      <sz val="11"/>
      <color rgb="FFFFFFFF"/>
      <name val="Segoe UI"/>
    </font>
    <font>
      <b/>
      <sz val="10"/>
      <name val="Segoe UI"/>
    </font>
    <font>
      <sz val="10"/>
      <name val="Segoe UI"/>
    </font>
    <font>
      <b/>
      <sz val="13"/>
      <color rgb="FF0061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F2F4F7"/>
        <bgColor rgb="FFF2F4F7"/>
      </patternFill>
    </fill>
    <fill>
      <patternFill patternType="solid">
        <fgColor rgb="FF1F497D"/>
        <bgColor rgb="FF1F497D"/>
      </patternFill>
    </fill>
    <fill>
      <patternFill patternType="solid">
        <fgColor rgb="FF002060"/>
        <bgColor rgb="FF002060"/>
      </patternFill>
    </fill>
    <fill>
      <patternFill patternType="solid">
        <fgColor rgb="FFDCE6F1"/>
        <bgColor rgb="FFDCE6F1"/>
      </patternFill>
    </fill>
    <fill>
      <patternFill patternType="solid">
        <fgColor rgb="FFC6EFCE"/>
        <bgColor rgb="FFC6EFCE"/>
      </patternFill>
    </fill>
    <fill>
      <patternFill patternType="solid">
        <fgColor rgb="FF366092"/>
        <bgColor rgb="FF366092"/>
      </patternFill>
    </fill>
    <fill>
      <patternFill patternType="solid">
        <fgColor rgb="FFF9FAFC"/>
        <bgColor rgb="FFF9FAF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3" fillId="0" borderId="0" xfId="0" applyFont="1"/>
    <xf numFmtId="0" fontId="14" fillId="0" borderId="0" xfId="0" applyFont="1"/>
    <xf numFmtId="0" fontId="15" fillId="3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left" vertical="center" wrapText="1"/>
    </xf>
    <xf numFmtId="165" fontId="18" fillId="6" borderId="1" xfId="0" applyNumberFormat="1" applyFont="1" applyFill="1" applyBorder="1" applyAlignment="1">
      <alignment horizontal="center" vertical="center"/>
    </xf>
    <xf numFmtId="2" fontId="16" fillId="8" borderId="1" xfId="0" applyNumberFormat="1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 wrapText="1"/>
    </xf>
    <xf numFmtId="165" fontId="11" fillId="5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2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wrapText="1"/>
    </xf>
    <xf numFmtId="0" fontId="4" fillId="4" borderId="1" xfId="0" applyFont="1" applyFill="1" applyBorder="1" applyAlignment="1">
      <alignment horizontal="left" vertical="center" wrapText="1"/>
    </xf>
    <xf numFmtId="1" fontId="7" fillId="5" borderId="1" xfId="0" applyNumberFormat="1" applyFont="1" applyFill="1" applyBorder="1" applyAlignment="1">
      <alignment horizontal="center" vertical="center"/>
    </xf>
    <xf numFmtId="165" fontId="8" fillId="6" borderId="1" xfId="0" applyNumberFormat="1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164" fontId="6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2" fontId="10" fillId="5" borderId="1" xfId="0" applyNumberFormat="1" applyFont="1" applyFill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165" fontId="5" fillId="0" borderId="1" xfId="0" applyNumberFormat="1" applyFont="1" applyBorder="1" applyAlignment="1">
      <alignment horizontal="center" vertical="center"/>
    </xf>
    <xf numFmtId="2" fontId="11" fillId="6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5" fontId="12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"/>
  <sheetViews>
    <sheetView workbookViewId="0"/>
  </sheetViews>
  <sheetFormatPr defaultRowHeight="14.6"/>
  <cols>
    <col min="1" max="1" width="8" customWidth="1"/>
    <col min="2" max="2" width="22" customWidth="1"/>
    <col min="3" max="3" width="34" customWidth="1"/>
    <col min="4" max="4" width="18" customWidth="1"/>
    <col min="5" max="5" width="14" customWidth="1"/>
    <col min="6" max="6" width="17" customWidth="1"/>
    <col min="7" max="7" width="14" customWidth="1"/>
    <col min="8" max="8" width="16" customWidth="1"/>
    <col min="9" max="10" width="14" customWidth="1"/>
    <col min="11" max="11" width="28" customWidth="1"/>
    <col min="12" max="14" width="35" customWidth="1"/>
    <col min="15" max="15" width="22" customWidth="1"/>
    <col min="16" max="16" width="45" customWidth="1"/>
  </cols>
  <sheetData>
    <row r="1" spans="1:16" ht="21">
      <c r="A1" s="1" t="s">
        <v>0</v>
      </c>
    </row>
    <row r="2" spans="1:16" ht="15">
      <c r="A2" s="2" t="s">
        <v>1</v>
      </c>
    </row>
    <row r="4" spans="1:16" ht="28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4" t="s">
        <v>16</v>
      </c>
      <c r="P4" s="4" t="s">
        <v>17</v>
      </c>
    </row>
    <row r="5" spans="1:16" ht="55" customHeight="1">
      <c r="A5" s="5">
        <v>1</v>
      </c>
      <c r="B5" s="6" t="s">
        <v>18</v>
      </c>
      <c r="C5" s="7" t="s">
        <v>19</v>
      </c>
      <c r="D5" s="8">
        <f>'Solution-1'!T9</f>
        <v>90.831999999999994</v>
      </c>
      <c r="E5" s="9">
        <f>'Solution-1'!D17</f>
        <v>17</v>
      </c>
      <c r="F5" s="9">
        <f>'Solution-1'!D18</f>
        <v>20</v>
      </c>
      <c r="G5" s="9">
        <f>'Solution-1'!D19</f>
        <v>13.5</v>
      </c>
      <c r="H5" s="9">
        <f>'Solution-1'!D20</f>
        <v>17.332000000000001</v>
      </c>
      <c r="I5" s="9">
        <f>'Solution-1'!D21</f>
        <v>13</v>
      </c>
      <c r="J5" s="9">
        <f>'Solution-1'!D22</f>
        <v>10</v>
      </c>
      <c r="K5" s="10" t="str">
        <f>'Solution-1'!T12</f>
        <v>ผ่านเกณฑ์ระดับสูง (HIGHLY VIABLE)</v>
      </c>
      <c r="L5" s="7" t="s">
        <v>20</v>
      </c>
      <c r="M5" s="7" t="s">
        <v>21</v>
      </c>
      <c r="N5" s="7" t="s">
        <v>22</v>
      </c>
      <c r="O5" s="11">
        <v>7.5</v>
      </c>
      <c r="P5" s="7" t="s">
        <v>23</v>
      </c>
    </row>
    <row r="6" spans="1:16" ht="55" customHeight="1">
      <c r="A6" s="12">
        <v>2</v>
      </c>
      <c r="B6" s="13" t="s">
        <v>24</v>
      </c>
      <c r="C6" s="14" t="s">
        <v>25</v>
      </c>
      <c r="D6" s="8">
        <f>'Solution-2'!T9</f>
        <v>94.5</v>
      </c>
      <c r="E6" s="15">
        <f>'Solution-2'!D17</f>
        <v>18</v>
      </c>
      <c r="F6" s="15">
        <f>'Solution-2'!D18</f>
        <v>20</v>
      </c>
      <c r="G6" s="15">
        <f>'Solution-2'!D19</f>
        <v>13.5</v>
      </c>
      <c r="H6" s="15">
        <f>'Solution-2'!D20</f>
        <v>20</v>
      </c>
      <c r="I6" s="15">
        <f>'Solution-2'!D21</f>
        <v>13</v>
      </c>
      <c r="J6" s="15">
        <f>'Solution-2'!D22</f>
        <v>10</v>
      </c>
      <c r="K6" s="16" t="str">
        <f>'Solution-2'!T12</f>
        <v>ผ่านเกณฑ์ระดับสูง (HIGHLY VIABLE)</v>
      </c>
      <c r="L6" s="14" t="s">
        <v>26</v>
      </c>
      <c r="M6" s="14" t="s">
        <v>27</v>
      </c>
      <c r="N6" s="14" t="s">
        <v>28</v>
      </c>
      <c r="O6" s="11">
        <v>5</v>
      </c>
      <c r="P6" s="14" t="s">
        <v>29</v>
      </c>
    </row>
    <row r="7" spans="1:16" ht="55" customHeight="1">
      <c r="A7" s="5">
        <v>3</v>
      </c>
      <c r="B7" s="6" t="s">
        <v>30</v>
      </c>
      <c r="C7" s="7" t="s">
        <v>31</v>
      </c>
      <c r="D7" s="8">
        <f>'Solution-3'!T9</f>
        <v>79.334000000000003</v>
      </c>
      <c r="E7" s="9">
        <f>'Solution-3'!D17</f>
        <v>16</v>
      </c>
      <c r="F7" s="9">
        <f>'Solution-3'!D18</f>
        <v>14.666</v>
      </c>
      <c r="G7" s="9">
        <f>'Solution-3'!D19</f>
        <v>12</v>
      </c>
      <c r="H7" s="9">
        <f>'Solution-3'!D20</f>
        <v>14.668000000000001</v>
      </c>
      <c r="I7" s="9">
        <f>'Solution-3'!D21</f>
        <v>12.000000000000002</v>
      </c>
      <c r="J7" s="9">
        <f>'Solution-3'!D22</f>
        <v>10</v>
      </c>
      <c r="K7" s="10" t="str">
        <f>'Solution-3'!T12</f>
        <v>ผ่านแบบมีเงื่อนไข (CONDITIONALLY VIABLE)</v>
      </c>
      <c r="L7" s="7" t="s">
        <v>32</v>
      </c>
      <c r="M7" s="7" t="s">
        <v>33</v>
      </c>
      <c r="N7" s="7" t="s">
        <v>34</v>
      </c>
      <c r="O7" s="11">
        <v>8.5</v>
      </c>
      <c r="P7" s="7" t="s">
        <v>35</v>
      </c>
    </row>
    <row r="8" spans="1:16" ht="55" customHeight="1">
      <c r="A8" s="12">
        <v>4</v>
      </c>
      <c r="B8" s="13" t="s">
        <v>36</v>
      </c>
      <c r="C8" s="14" t="s">
        <v>37</v>
      </c>
      <c r="D8" s="8">
        <f>'Solution-4'!T9</f>
        <v>79.334000000000003</v>
      </c>
      <c r="E8" s="15">
        <f>'Solution-4'!D17</f>
        <v>14.000000000000002</v>
      </c>
      <c r="F8" s="15">
        <f>'Solution-4'!D18</f>
        <v>16</v>
      </c>
      <c r="G8" s="15">
        <f>'Solution-4'!D19</f>
        <v>12</v>
      </c>
      <c r="H8" s="15">
        <f>'Solution-4'!D20</f>
        <v>16</v>
      </c>
      <c r="I8" s="15">
        <f>'Solution-4'!D21</f>
        <v>12.000000000000002</v>
      </c>
      <c r="J8" s="15">
        <f>'Solution-4'!D22</f>
        <v>9.3339999999999996</v>
      </c>
      <c r="K8" s="16" t="str">
        <f>'Solution-4'!T12</f>
        <v>ผ่านแบบมีเงื่อนไข (CONDITIONALLY VIABLE)</v>
      </c>
      <c r="L8" s="14" t="s">
        <v>38</v>
      </c>
      <c r="M8" s="14" t="s">
        <v>39</v>
      </c>
      <c r="N8" s="14" t="s">
        <v>40</v>
      </c>
      <c r="O8" s="11">
        <v>6.5</v>
      </c>
      <c r="P8" s="14" t="s">
        <v>41</v>
      </c>
    </row>
    <row r="9" spans="1:16" ht="55" customHeight="1">
      <c r="A9" s="5">
        <v>5</v>
      </c>
      <c r="B9" s="6" t="s">
        <v>42</v>
      </c>
      <c r="C9" s="7" t="s">
        <v>43</v>
      </c>
      <c r="D9" s="8">
        <f>'Solution-5'!T9</f>
        <v>76.168000000000006</v>
      </c>
      <c r="E9" s="9">
        <f>'Solution-5'!D17</f>
        <v>15.000000000000002</v>
      </c>
      <c r="F9" s="9">
        <f>'Solution-5'!D18</f>
        <v>14.666</v>
      </c>
      <c r="G9" s="9">
        <f>'Solution-5'!D19</f>
        <v>10.499999999999998</v>
      </c>
      <c r="H9" s="9">
        <f>'Solution-5'!D20</f>
        <v>14.668000000000001</v>
      </c>
      <c r="I9" s="9">
        <f>'Solution-5'!D21</f>
        <v>12.000000000000002</v>
      </c>
      <c r="J9" s="9">
        <f>'Solution-5'!D22</f>
        <v>9.3339999999999996</v>
      </c>
      <c r="K9" s="10" t="str">
        <f>'Solution-5'!T12</f>
        <v>ผ่านแบบมีเงื่อนไข (CONDITIONALLY VIABLE)</v>
      </c>
      <c r="L9" s="7" t="s">
        <v>44</v>
      </c>
      <c r="M9" s="7" t="s">
        <v>45</v>
      </c>
      <c r="N9" s="7" t="s">
        <v>46</v>
      </c>
      <c r="O9" s="11">
        <v>9</v>
      </c>
      <c r="P9" s="7" t="s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8"/>
  <sheetViews>
    <sheetView tabSelected="1" topLeftCell="L1" workbookViewId="0">
      <selection activeCell="I8" sqref="I8"/>
    </sheetView>
  </sheetViews>
  <sheetFormatPr defaultRowHeight="14.6"/>
  <cols>
    <col min="1" max="1" width="38" customWidth="1"/>
    <col min="2" max="20" width="36" customWidth="1"/>
  </cols>
  <sheetData>
    <row r="1" spans="1:20" ht="19.3">
      <c r="A1" s="17" t="s">
        <v>48</v>
      </c>
    </row>
    <row r="2" spans="1:20" ht="15">
      <c r="A2" s="18" t="s">
        <v>49</v>
      </c>
    </row>
    <row r="4" spans="1:20" ht="24" customHeight="1">
      <c r="A4" s="19" t="s">
        <v>50</v>
      </c>
      <c r="B4" s="20" t="s">
        <v>51</v>
      </c>
      <c r="C4" s="20" t="s">
        <v>52</v>
      </c>
      <c r="D4" s="20" t="s">
        <v>53</v>
      </c>
      <c r="E4" s="20" t="s">
        <v>54</v>
      </c>
      <c r="F4" s="20" t="s">
        <v>55</v>
      </c>
      <c r="G4" s="20" t="s">
        <v>56</v>
      </c>
      <c r="H4" s="20" t="s">
        <v>57</v>
      </c>
      <c r="I4" s="20" t="s">
        <v>58</v>
      </c>
      <c r="J4" s="20" t="s">
        <v>59</v>
      </c>
      <c r="K4" s="20" t="s">
        <v>60</v>
      </c>
      <c r="L4" s="20" t="s">
        <v>61</v>
      </c>
      <c r="M4" s="20" t="s">
        <v>62</v>
      </c>
      <c r="N4" s="20" t="s">
        <v>63</v>
      </c>
      <c r="O4" s="20" t="s">
        <v>64</v>
      </c>
      <c r="P4" s="20" t="s">
        <v>65</v>
      </c>
      <c r="Q4" s="20" t="s">
        <v>66</v>
      </c>
      <c r="R4" s="20" t="s">
        <v>67</v>
      </c>
      <c r="S4" s="20" t="s">
        <v>68</v>
      </c>
      <c r="T4" s="20" t="s">
        <v>69</v>
      </c>
    </row>
    <row r="5" spans="1:20" ht="24" customHeight="1">
      <c r="A5" s="21" t="s">
        <v>70</v>
      </c>
      <c r="B5" s="22" t="s">
        <v>71</v>
      </c>
      <c r="C5" s="22" t="s">
        <v>71</v>
      </c>
      <c r="D5" s="22" t="s">
        <v>71</v>
      </c>
      <c r="E5" s="22" t="s">
        <v>71</v>
      </c>
      <c r="F5" s="22" t="s">
        <v>72</v>
      </c>
      <c r="G5" s="22" t="s">
        <v>72</v>
      </c>
      <c r="H5" s="22" t="s">
        <v>72</v>
      </c>
      <c r="I5" s="22" t="s">
        <v>73</v>
      </c>
      <c r="J5" s="22" t="s">
        <v>73</v>
      </c>
      <c r="K5" s="22" t="s">
        <v>74</v>
      </c>
      <c r="L5" s="22" t="s">
        <v>74</v>
      </c>
      <c r="M5" s="22" t="s">
        <v>74</v>
      </c>
      <c r="N5" s="22" t="s">
        <v>75</v>
      </c>
      <c r="O5" s="22" t="s">
        <v>75</v>
      </c>
      <c r="P5" s="22" t="s">
        <v>75</v>
      </c>
      <c r="Q5" s="22" t="s">
        <v>76</v>
      </c>
      <c r="R5" s="22" t="s">
        <v>76</v>
      </c>
      <c r="S5" s="22" t="s">
        <v>76</v>
      </c>
      <c r="T5" s="23" t="s">
        <v>77</v>
      </c>
    </row>
    <row r="6" spans="1:20" ht="87.45">
      <c r="A6" s="21" t="s">
        <v>78</v>
      </c>
      <c r="B6" s="24" t="s">
        <v>79</v>
      </c>
      <c r="C6" s="24" t="s">
        <v>80</v>
      </c>
      <c r="D6" s="24" t="s">
        <v>81</v>
      </c>
      <c r="E6" s="24" t="s">
        <v>82</v>
      </c>
      <c r="F6" s="24" t="s">
        <v>83</v>
      </c>
      <c r="G6" s="24" t="s">
        <v>84</v>
      </c>
      <c r="H6" s="24" t="s">
        <v>85</v>
      </c>
      <c r="I6" s="24" t="s">
        <v>86</v>
      </c>
      <c r="J6" s="24" t="s">
        <v>87</v>
      </c>
      <c r="K6" s="24" t="s">
        <v>88</v>
      </c>
      <c r="L6" s="24" t="s">
        <v>89</v>
      </c>
      <c r="M6" s="24" t="s">
        <v>90</v>
      </c>
      <c r="N6" s="24" t="s">
        <v>91</v>
      </c>
      <c r="O6" s="24" t="s">
        <v>92</v>
      </c>
      <c r="P6" s="24" t="s">
        <v>93</v>
      </c>
      <c r="Q6" s="24" t="s">
        <v>94</v>
      </c>
      <c r="R6" s="24" t="s">
        <v>95</v>
      </c>
      <c r="S6" s="24" t="s">
        <v>96</v>
      </c>
      <c r="T6" s="25" t="s">
        <v>97</v>
      </c>
    </row>
    <row r="7" spans="1:20" ht="95.05" customHeight="1">
      <c r="A7" s="21" t="s">
        <v>98</v>
      </c>
      <c r="B7" s="24" t="s">
        <v>99</v>
      </c>
      <c r="C7" s="24" t="s">
        <v>100</v>
      </c>
      <c r="D7" s="24" t="s">
        <v>101</v>
      </c>
      <c r="E7" s="24" t="s">
        <v>102</v>
      </c>
      <c r="F7" s="24" t="s">
        <v>103</v>
      </c>
      <c r="G7" s="24" t="s">
        <v>104</v>
      </c>
      <c r="H7" s="24" t="s">
        <v>105</v>
      </c>
      <c r="I7" s="24" t="s">
        <v>106</v>
      </c>
      <c r="J7" s="24" t="s">
        <v>107</v>
      </c>
      <c r="K7" s="24" t="s">
        <v>108</v>
      </c>
      <c r="L7" s="24" t="s">
        <v>109</v>
      </c>
      <c r="M7" s="24" t="s">
        <v>110</v>
      </c>
      <c r="N7" s="24" t="s">
        <v>111</v>
      </c>
      <c r="O7" s="24" t="s">
        <v>112</v>
      </c>
      <c r="P7" s="24" t="s">
        <v>113</v>
      </c>
      <c r="Q7" s="24" t="s">
        <v>114</v>
      </c>
      <c r="R7" s="24" t="s">
        <v>115</v>
      </c>
      <c r="S7" s="24" t="s">
        <v>116</v>
      </c>
      <c r="T7" s="25" t="s">
        <v>117</v>
      </c>
    </row>
    <row r="8" spans="1:20" ht="262.3">
      <c r="A8" s="21" t="s">
        <v>118</v>
      </c>
      <c r="B8" s="24" t="s">
        <v>119</v>
      </c>
      <c r="C8" s="24" t="s">
        <v>120</v>
      </c>
      <c r="D8" s="24" t="s">
        <v>121</v>
      </c>
      <c r="E8" s="24" t="s">
        <v>122</v>
      </c>
      <c r="F8" s="24" t="s">
        <v>123</v>
      </c>
      <c r="G8" s="24" t="s">
        <v>124</v>
      </c>
      <c r="H8" s="24" t="s">
        <v>125</v>
      </c>
      <c r="I8" s="24" t="s">
        <v>126</v>
      </c>
      <c r="J8" s="24" t="s">
        <v>127</v>
      </c>
      <c r="K8" s="24" t="s">
        <v>128</v>
      </c>
      <c r="L8" s="24" t="s">
        <v>129</v>
      </c>
      <c r="M8" s="24" t="s">
        <v>130</v>
      </c>
      <c r="N8" s="24" t="s">
        <v>131</v>
      </c>
      <c r="O8" s="24" t="s">
        <v>132</v>
      </c>
      <c r="P8" s="24" t="s">
        <v>133</v>
      </c>
      <c r="Q8" s="24" t="s">
        <v>134</v>
      </c>
      <c r="R8" s="24" t="s">
        <v>135</v>
      </c>
      <c r="S8" s="24" t="s">
        <v>136</v>
      </c>
      <c r="T8" s="25" t="s">
        <v>137</v>
      </c>
    </row>
    <row r="9" spans="1:20" ht="36" customHeight="1">
      <c r="A9" s="26" t="s">
        <v>138</v>
      </c>
      <c r="B9" s="27">
        <v>5</v>
      </c>
      <c r="C9" s="27">
        <v>4</v>
      </c>
      <c r="D9" s="27">
        <v>5</v>
      </c>
      <c r="E9" s="27">
        <v>3</v>
      </c>
      <c r="F9" s="27">
        <v>5</v>
      </c>
      <c r="G9" s="27">
        <v>5</v>
      </c>
      <c r="H9" s="27">
        <v>5</v>
      </c>
      <c r="I9" s="27">
        <v>5</v>
      </c>
      <c r="J9" s="27">
        <v>4</v>
      </c>
      <c r="K9" s="27">
        <v>4</v>
      </c>
      <c r="L9" s="27">
        <v>4</v>
      </c>
      <c r="M9" s="27">
        <v>5</v>
      </c>
      <c r="N9" s="27">
        <v>4</v>
      </c>
      <c r="O9" s="27">
        <v>4</v>
      </c>
      <c r="P9" s="27">
        <v>5</v>
      </c>
      <c r="Q9" s="27">
        <v>5</v>
      </c>
      <c r="R9" s="27">
        <v>5</v>
      </c>
      <c r="S9" s="27">
        <v>5</v>
      </c>
      <c r="T9" s="28">
        <f>IF(T10&gt;0, (T11/T10)*20, 0)</f>
        <v>90.831999999999994</v>
      </c>
    </row>
    <row r="10" spans="1:20" ht="22" customHeight="1">
      <c r="A10" s="21" t="s">
        <v>139</v>
      </c>
      <c r="B10" s="29">
        <v>0.05</v>
      </c>
      <c r="C10" s="29">
        <v>0.05</v>
      </c>
      <c r="D10" s="29">
        <v>0.05</v>
      </c>
      <c r="E10" s="29">
        <v>0.05</v>
      </c>
      <c r="F10" s="29">
        <v>6.6699999999999995E-2</v>
      </c>
      <c r="G10" s="29">
        <v>6.6699999999999995E-2</v>
      </c>
      <c r="H10" s="29">
        <v>6.6600000000000006E-2</v>
      </c>
      <c r="I10" s="29">
        <v>7.4999999999999997E-2</v>
      </c>
      <c r="J10" s="29">
        <v>7.4999999999999997E-2</v>
      </c>
      <c r="K10" s="29">
        <v>6.6699999999999995E-2</v>
      </c>
      <c r="L10" s="29">
        <v>6.6699999999999995E-2</v>
      </c>
      <c r="M10" s="29">
        <v>6.6600000000000006E-2</v>
      </c>
      <c r="N10" s="29">
        <v>0.05</v>
      </c>
      <c r="O10" s="29">
        <v>0.05</v>
      </c>
      <c r="P10" s="29">
        <v>0.05</v>
      </c>
      <c r="Q10" s="29">
        <v>3.3300000000000003E-2</v>
      </c>
      <c r="R10" s="29">
        <v>3.3300000000000003E-2</v>
      </c>
      <c r="S10" s="29">
        <v>3.3399999999999999E-2</v>
      </c>
      <c r="T10" s="29">
        <f>SUM(B10:S10)</f>
        <v>1</v>
      </c>
    </row>
    <row r="11" spans="1:20" ht="24" customHeight="1">
      <c r="A11" s="21" t="s">
        <v>140</v>
      </c>
      <c r="B11" s="30">
        <f t="shared" ref="B11:S11" si="0">B9*B10</f>
        <v>0.25</v>
      </c>
      <c r="C11" s="30">
        <f t="shared" si="0"/>
        <v>0.2</v>
      </c>
      <c r="D11" s="30">
        <f t="shared" si="0"/>
        <v>0.25</v>
      </c>
      <c r="E11" s="30">
        <f t="shared" si="0"/>
        <v>0.15000000000000002</v>
      </c>
      <c r="F11" s="30">
        <f t="shared" si="0"/>
        <v>0.33349999999999996</v>
      </c>
      <c r="G11" s="30">
        <f t="shared" si="0"/>
        <v>0.33349999999999996</v>
      </c>
      <c r="H11" s="30">
        <f t="shared" si="0"/>
        <v>0.33300000000000002</v>
      </c>
      <c r="I11" s="30">
        <f t="shared" si="0"/>
        <v>0.375</v>
      </c>
      <c r="J11" s="30">
        <f t="shared" si="0"/>
        <v>0.3</v>
      </c>
      <c r="K11" s="30">
        <f t="shared" si="0"/>
        <v>0.26679999999999998</v>
      </c>
      <c r="L11" s="30">
        <f t="shared" si="0"/>
        <v>0.26679999999999998</v>
      </c>
      <c r="M11" s="30">
        <f t="shared" si="0"/>
        <v>0.33300000000000002</v>
      </c>
      <c r="N11" s="30">
        <f t="shared" si="0"/>
        <v>0.2</v>
      </c>
      <c r="O11" s="30">
        <f t="shared" si="0"/>
        <v>0.2</v>
      </c>
      <c r="P11" s="30">
        <f t="shared" si="0"/>
        <v>0.25</v>
      </c>
      <c r="Q11" s="30">
        <f t="shared" si="0"/>
        <v>0.16650000000000001</v>
      </c>
      <c r="R11" s="30">
        <f t="shared" si="0"/>
        <v>0.16650000000000001</v>
      </c>
      <c r="S11" s="30">
        <f t="shared" si="0"/>
        <v>0.16699999999999998</v>
      </c>
      <c r="T11" s="30">
        <f>SUM(B11:S11)</f>
        <v>4.5415999999999999</v>
      </c>
    </row>
    <row r="12" spans="1:20" ht="115" customHeight="1">
      <c r="A12" s="21" t="s">
        <v>141</v>
      </c>
      <c r="B12" s="24" t="s">
        <v>142</v>
      </c>
      <c r="C12" s="24" t="s">
        <v>143</v>
      </c>
      <c r="D12" s="24" t="s">
        <v>144</v>
      </c>
      <c r="E12" s="24" t="s">
        <v>145</v>
      </c>
      <c r="F12" s="24" t="s">
        <v>146</v>
      </c>
      <c r="G12" s="24" t="s">
        <v>147</v>
      </c>
      <c r="H12" s="24" t="s">
        <v>148</v>
      </c>
      <c r="I12" s="24" t="s">
        <v>149</v>
      </c>
      <c r="J12" s="24" t="s">
        <v>150</v>
      </c>
      <c r="K12" s="24" t="s">
        <v>151</v>
      </c>
      <c r="L12" s="24" t="s">
        <v>152</v>
      </c>
      <c r="M12" s="24" t="s">
        <v>153</v>
      </c>
      <c r="N12" s="24" t="s">
        <v>154</v>
      </c>
      <c r="O12" s="24" t="s">
        <v>155</v>
      </c>
      <c r="P12" s="24" t="s">
        <v>156</v>
      </c>
      <c r="Q12" s="24" t="s">
        <v>157</v>
      </c>
      <c r="R12" s="24" t="s">
        <v>158</v>
      </c>
      <c r="S12" s="24" t="s">
        <v>159</v>
      </c>
      <c r="T12" s="31" t="str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>ผ่านเกณฑ์ระดับสูง (HIGHLY VIABLE)</v>
      </c>
    </row>
    <row r="13" spans="1:20" ht="70" customHeight="1">
      <c r="A13" s="21" t="s">
        <v>160</v>
      </c>
      <c r="B13" s="24" t="s">
        <v>161</v>
      </c>
      <c r="C13" s="24" t="s">
        <v>162</v>
      </c>
      <c r="D13" s="24" t="s">
        <v>163</v>
      </c>
      <c r="E13" s="24" t="s">
        <v>164</v>
      </c>
      <c r="F13" s="24" t="s">
        <v>165</v>
      </c>
      <c r="G13" s="24" t="s">
        <v>166</v>
      </c>
      <c r="H13" s="24" t="s">
        <v>167</v>
      </c>
      <c r="I13" s="24" t="s">
        <v>168</v>
      </c>
      <c r="J13" s="24" t="s">
        <v>169</v>
      </c>
      <c r="K13" s="24" t="s">
        <v>170</v>
      </c>
      <c r="L13" s="24" t="s">
        <v>171</v>
      </c>
      <c r="M13" s="24" t="s">
        <v>172</v>
      </c>
      <c r="N13" s="24" t="s">
        <v>173</v>
      </c>
      <c r="O13" s="24" t="s">
        <v>174</v>
      </c>
      <c r="P13" s="24" t="s">
        <v>175</v>
      </c>
      <c r="Q13" s="24" t="s">
        <v>176</v>
      </c>
      <c r="R13" s="24" t="s">
        <v>177</v>
      </c>
      <c r="S13" s="24" t="s">
        <v>178</v>
      </c>
      <c r="T13" s="23" t="s">
        <v>179</v>
      </c>
    </row>
    <row r="14" spans="1:20" ht="15" customHeight="1"/>
    <row r="15" spans="1:20" ht="26.05" customHeight="1">
      <c r="A15" s="17" t="s">
        <v>180</v>
      </c>
    </row>
    <row r="16" spans="1:20" ht="24" customHeight="1">
      <c r="A16" s="32" t="s">
        <v>70</v>
      </c>
      <c r="B16" s="32" t="s">
        <v>181</v>
      </c>
      <c r="C16" s="32" t="s">
        <v>182</v>
      </c>
      <c r="D16" s="32" t="s">
        <v>183</v>
      </c>
      <c r="E16" s="32" t="s">
        <v>184</v>
      </c>
      <c r="F16" s="32" t="s">
        <v>185</v>
      </c>
    </row>
    <row r="17" spans="1:6" ht="22" customHeight="1">
      <c r="A17" s="33" t="s">
        <v>186</v>
      </c>
      <c r="B17" s="34">
        <v>0.2</v>
      </c>
      <c r="C17" s="35">
        <v>20</v>
      </c>
      <c r="D17" s="36">
        <f>SUM(B11:E11)*20</f>
        <v>17</v>
      </c>
      <c r="E17" s="37">
        <f t="shared" ref="E17:E23" si="1">IF(C17&gt;0, (D17/C17)*5, 0)</f>
        <v>4.25</v>
      </c>
      <c r="F17" s="23" t="str">
        <f>IF(D17&gt;=16, "พร้อมระดับสูง (High)", IF(D17&gt;=12, "ปานกลาง (Medium)", "เสี่ยงวิกฤต (Critical)"))</f>
        <v>พร้อมระดับสูง (High)</v>
      </c>
    </row>
    <row r="18" spans="1:6" ht="22" customHeight="1">
      <c r="A18" s="33" t="s">
        <v>187</v>
      </c>
      <c r="B18" s="34">
        <v>0.2</v>
      </c>
      <c r="C18" s="35">
        <v>20</v>
      </c>
      <c r="D18" s="36">
        <f>SUM(F11:H11)*20</f>
        <v>20</v>
      </c>
      <c r="E18" s="37">
        <f t="shared" si="1"/>
        <v>5</v>
      </c>
      <c r="F18" s="23" t="str">
        <f>IF(D18&gt;=16, "พร้อมระดับสูง (High)", IF(D18&gt;=12, "ปานกลาง (Medium)", "เสี่ยงวิกฤต (Critical)"))</f>
        <v>พร้อมระดับสูง (High)</v>
      </c>
    </row>
    <row r="19" spans="1:6" ht="22" customHeight="1">
      <c r="A19" s="33" t="s">
        <v>188</v>
      </c>
      <c r="B19" s="34">
        <v>0.15</v>
      </c>
      <c r="C19" s="35">
        <v>15</v>
      </c>
      <c r="D19" s="36">
        <f>SUM(I11:J11)*20</f>
        <v>13.5</v>
      </c>
      <c r="E19" s="37">
        <f t="shared" si="1"/>
        <v>4.5</v>
      </c>
      <c r="F19" s="23" t="str">
        <f>IF(D19&gt;=12, "พร้อมระดับสูง (High)", IF(D19&gt;=9, "ปานกลาง (Medium)", "เสี่ยงวิกฤต (Critical)"))</f>
        <v>พร้อมระดับสูง (High)</v>
      </c>
    </row>
    <row r="20" spans="1:6" ht="22" customHeight="1">
      <c r="A20" s="33" t="s">
        <v>189</v>
      </c>
      <c r="B20" s="34">
        <v>0.2</v>
      </c>
      <c r="C20" s="35">
        <v>20</v>
      </c>
      <c r="D20" s="36">
        <f>SUM(K11:M11)*20</f>
        <v>17.332000000000001</v>
      </c>
      <c r="E20" s="37">
        <f t="shared" si="1"/>
        <v>4.3330000000000002</v>
      </c>
      <c r="F20" s="23" t="str">
        <f>IF(D20&gt;=16, "พร้อมระดับสูง (High)", IF(D20&gt;=12, "ปานกลาง (Medium)", "เสี่ยงวิกฤต (Critical)"))</f>
        <v>พร้อมระดับสูง (High)</v>
      </c>
    </row>
    <row r="21" spans="1:6" ht="22" customHeight="1">
      <c r="A21" s="33" t="s">
        <v>190</v>
      </c>
      <c r="B21" s="34">
        <v>0.15</v>
      </c>
      <c r="C21" s="35">
        <v>15</v>
      </c>
      <c r="D21" s="36">
        <f>SUM(N11:P11)*20</f>
        <v>13</v>
      </c>
      <c r="E21" s="37">
        <f t="shared" si="1"/>
        <v>4.3333333333333339</v>
      </c>
      <c r="F21" s="23" t="str">
        <f>IF(D21&gt;=12, "พร้อมระดับสูง (High)", IF(D21&gt;=9, "ปานกลาง (Medium)", "เสี่ยงวิกฤต (Critical)"))</f>
        <v>พร้อมระดับสูง (High)</v>
      </c>
    </row>
    <row r="22" spans="1:6" ht="22" customHeight="1">
      <c r="A22" s="33" t="s">
        <v>191</v>
      </c>
      <c r="B22" s="34">
        <v>0.1</v>
      </c>
      <c r="C22" s="35">
        <v>10</v>
      </c>
      <c r="D22" s="36">
        <f>SUM(Q11:S11)*20</f>
        <v>10</v>
      </c>
      <c r="E22" s="37">
        <f t="shared" si="1"/>
        <v>5</v>
      </c>
      <c r="F22" s="23" t="str">
        <f>IF(D22&gt;=8, "พร้อมระดับสูง (High)", IF(D22&gt;=6, "ปานกลาง (Medium)", "เสี่ยงวิกฤต (Critical)"))</f>
        <v>พร้อมระดับสูง (High)</v>
      </c>
    </row>
    <row r="23" spans="1:6" ht="26.05" customHeight="1">
      <c r="A23" s="38" t="s">
        <v>192</v>
      </c>
      <c r="B23" s="29">
        <f>SUM(B17:B22)</f>
        <v>1</v>
      </c>
      <c r="C23" s="39">
        <f>SUM(C17:C22)</f>
        <v>100</v>
      </c>
      <c r="D23" s="40">
        <f>SUM(D17:D22)</f>
        <v>90.831999999999994</v>
      </c>
      <c r="E23" s="30">
        <f t="shared" si="1"/>
        <v>4.5415999999999999</v>
      </c>
      <c r="F23" s="41" t="str">
        <f>IF(D23&gt;=80, "ผ่านเกณฑ์ระดับสูง (HIGHLY VIABLE)", IF(D23&gt;=60, "ผ่านแบบมีเงื่อนไข (CONDITIONALLY VIABLE)", "ความเสี่ยงสูง (HIGH RISK)"))</f>
        <v>ผ่านเกณฑ์ระดับสูง (HIGHLY VIABLE)</v>
      </c>
    </row>
    <row r="24" spans="1:6" ht="12" customHeight="1"/>
    <row r="25" spans="1:6" ht="26.05" customHeight="1">
      <c r="A25" s="17" t="s">
        <v>193</v>
      </c>
    </row>
    <row r="26" spans="1:6" ht="22" customHeight="1">
      <c r="A26" s="18" t="s">
        <v>194</v>
      </c>
    </row>
    <row r="27" spans="1:6" ht="24" customHeight="1">
      <c r="A27" s="42" t="s">
        <v>195</v>
      </c>
      <c r="B27" s="42" t="s">
        <v>196</v>
      </c>
      <c r="C27" s="42" t="s">
        <v>197</v>
      </c>
      <c r="D27" s="42" t="s">
        <v>198</v>
      </c>
      <c r="E27" s="42" t="s">
        <v>199</v>
      </c>
      <c r="F27" s="42" t="s">
        <v>200</v>
      </c>
    </row>
    <row r="28" spans="1:6" ht="95.05" customHeight="1">
      <c r="A28" s="43" t="s">
        <v>201</v>
      </c>
      <c r="B28" s="44">
        <v>7.5</v>
      </c>
      <c r="C28" s="24" t="s">
        <v>202</v>
      </c>
      <c r="D28" s="24" t="s">
        <v>203</v>
      </c>
      <c r="E28" s="24" t="s">
        <v>204</v>
      </c>
      <c r="F28" s="24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8"/>
  <sheetViews>
    <sheetView workbookViewId="0"/>
  </sheetViews>
  <sheetFormatPr defaultRowHeight="14.6"/>
  <cols>
    <col min="1" max="1" width="38" customWidth="1"/>
    <col min="2" max="20" width="36" customWidth="1"/>
  </cols>
  <sheetData>
    <row r="1" spans="1:20" ht="19.3">
      <c r="A1" s="17" t="s">
        <v>205</v>
      </c>
    </row>
    <row r="2" spans="1:20" ht="15">
      <c r="A2" s="18" t="s">
        <v>49</v>
      </c>
    </row>
    <row r="4" spans="1:20" ht="24" customHeight="1">
      <c r="A4" s="19" t="s">
        <v>50</v>
      </c>
      <c r="B4" s="20" t="s">
        <v>51</v>
      </c>
      <c r="C4" s="20" t="s">
        <v>52</v>
      </c>
      <c r="D4" s="20" t="s">
        <v>53</v>
      </c>
      <c r="E4" s="20" t="s">
        <v>54</v>
      </c>
      <c r="F4" s="20" t="s">
        <v>55</v>
      </c>
      <c r="G4" s="20" t="s">
        <v>56</v>
      </c>
      <c r="H4" s="20" t="s">
        <v>57</v>
      </c>
      <c r="I4" s="20" t="s">
        <v>58</v>
      </c>
      <c r="J4" s="20" t="s">
        <v>59</v>
      </c>
      <c r="K4" s="20" t="s">
        <v>60</v>
      </c>
      <c r="L4" s="20" t="s">
        <v>61</v>
      </c>
      <c r="M4" s="20" t="s">
        <v>62</v>
      </c>
      <c r="N4" s="20" t="s">
        <v>63</v>
      </c>
      <c r="O4" s="20" t="s">
        <v>64</v>
      </c>
      <c r="P4" s="20" t="s">
        <v>65</v>
      </c>
      <c r="Q4" s="20" t="s">
        <v>66</v>
      </c>
      <c r="R4" s="20" t="s">
        <v>67</v>
      </c>
      <c r="S4" s="20" t="s">
        <v>68</v>
      </c>
      <c r="T4" s="20" t="s">
        <v>69</v>
      </c>
    </row>
    <row r="5" spans="1:20" ht="24" customHeight="1">
      <c r="A5" s="21" t="s">
        <v>70</v>
      </c>
      <c r="B5" s="22" t="s">
        <v>71</v>
      </c>
      <c r="C5" s="22" t="s">
        <v>71</v>
      </c>
      <c r="D5" s="22" t="s">
        <v>71</v>
      </c>
      <c r="E5" s="22" t="s">
        <v>71</v>
      </c>
      <c r="F5" s="22" t="s">
        <v>72</v>
      </c>
      <c r="G5" s="22" t="s">
        <v>72</v>
      </c>
      <c r="H5" s="22" t="s">
        <v>72</v>
      </c>
      <c r="I5" s="22" t="s">
        <v>73</v>
      </c>
      <c r="J5" s="22" t="s">
        <v>73</v>
      </c>
      <c r="K5" s="22" t="s">
        <v>74</v>
      </c>
      <c r="L5" s="22" t="s">
        <v>74</v>
      </c>
      <c r="M5" s="22" t="s">
        <v>74</v>
      </c>
      <c r="N5" s="22" t="s">
        <v>75</v>
      </c>
      <c r="O5" s="22" t="s">
        <v>75</v>
      </c>
      <c r="P5" s="22" t="s">
        <v>75</v>
      </c>
      <c r="Q5" s="22" t="s">
        <v>76</v>
      </c>
      <c r="R5" s="22" t="s">
        <v>76</v>
      </c>
      <c r="S5" s="22" t="s">
        <v>76</v>
      </c>
      <c r="T5" s="23" t="s">
        <v>77</v>
      </c>
    </row>
    <row r="6" spans="1:20" ht="80.05" customHeight="1">
      <c r="A6" s="21" t="s">
        <v>78</v>
      </c>
      <c r="B6" s="24" t="s">
        <v>79</v>
      </c>
      <c r="C6" s="24" t="s">
        <v>80</v>
      </c>
      <c r="D6" s="24" t="s">
        <v>81</v>
      </c>
      <c r="E6" s="24" t="s">
        <v>82</v>
      </c>
      <c r="F6" s="24" t="s">
        <v>83</v>
      </c>
      <c r="G6" s="24" t="s">
        <v>84</v>
      </c>
      <c r="H6" s="24" t="s">
        <v>85</v>
      </c>
      <c r="I6" s="24" t="s">
        <v>86</v>
      </c>
      <c r="J6" s="24" t="s">
        <v>87</v>
      </c>
      <c r="K6" s="24" t="s">
        <v>88</v>
      </c>
      <c r="L6" s="24" t="s">
        <v>89</v>
      </c>
      <c r="M6" s="24" t="s">
        <v>90</v>
      </c>
      <c r="N6" s="24" t="s">
        <v>91</v>
      </c>
      <c r="O6" s="24" t="s">
        <v>92</v>
      </c>
      <c r="P6" s="24" t="s">
        <v>93</v>
      </c>
      <c r="Q6" s="24" t="s">
        <v>94</v>
      </c>
      <c r="R6" s="24" t="s">
        <v>95</v>
      </c>
      <c r="S6" s="24" t="s">
        <v>96</v>
      </c>
      <c r="T6" s="25" t="s">
        <v>97</v>
      </c>
    </row>
    <row r="7" spans="1:20" ht="95.05" customHeight="1">
      <c r="A7" s="21" t="s">
        <v>98</v>
      </c>
      <c r="B7" s="24" t="s">
        <v>99</v>
      </c>
      <c r="C7" s="24" t="s">
        <v>100</v>
      </c>
      <c r="D7" s="24" t="s">
        <v>101</v>
      </c>
      <c r="E7" s="24" t="s">
        <v>102</v>
      </c>
      <c r="F7" s="24" t="s">
        <v>103</v>
      </c>
      <c r="G7" s="24" t="s">
        <v>104</v>
      </c>
      <c r="H7" s="24" t="s">
        <v>105</v>
      </c>
      <c r="I7" s="24" t="s">
        <v>106</v>
      </c>
      <c r="J7" s="24" t="s">
        <v>107</v>
      </c>
      <c r="K7" s="24" t="s">
        <v>108</v>
      </c>
      <c r="L7" s="24" t="s">
        <v>109</v>
      </c>
      <c r="M7" s="24" t="s">
        <v>110</v>
      </c>
      <c r="N7" s="24" t="s">
        <v>111</v>
      </c>
      <c r="O7" s="24" t="s">
        <v>112</v>
      </c>
      <c r="P7" s="24" t="s">
        <v>113</v>
      </c>
      <c r="Q7" s="24" t="s">
        <v>114</v>
      </c>
      <c r="R7" s="24" t="s">
        <v>115</v>
      </c>
      <c r="S7" s="24" t="s">
        <v>116</v>
      </c>
      <c r="T7" s="25" t="s">
        <v>117</v>
      </c>
    </row>
    <row r="8" spans="1:20" ht="150" customHeight="1">
      <c r="A8" s="21" t="s">
        <v>118</v>
      </c>
      <c r="B8" s="24" t="s">
        <v>119</v>
      </c>
      <c r="C8" s="24" t="s">
        <v>120</v>
      </c>
      <c r="D8" s="24" t="s">
        <v>121</v>
      </c>
      <c r="E8" s="24" t="s">
        <v>122</v>
      </c>
      <c r="F8" s="24" t="s">
        <v>123</v>
      </c>
      <c r="G8" s="24" t="s">
        <v>124</v>
      </c>
      <c r="H8" s="24" t="s">
        <v>125</v>
      </c>
      <c r="I8" s="24" t="s">
        <v>126</v>
      </c>
      <c r="J8" s="24" t="s">
        <v>127</v>
      </c>
      <c r="K8" s="24" t="s">
        <v>128</v>
      </c>
      <c r="L8" s="24" t="s">
        <v>129</v>
      </c>
      <c r="M8" s="24" t="s">
        <v>130</v>
      </c>
      <c r="N8" s="24" t="s">
        <v>131</v>
      </c>
      <c r="O8" s="24" t="s">
        <v>132</v>
      </c>
      <c r="P8" s="24" t="s">
        <v>133</v>
      </c>
      <c r="Q8" s="24" t="s">
        <v>134</v>
      </c>
      <c r="R8" s="24" t="s">
        <v>135</v>
      </c>
      <c r="S8" s="24" t="s">
        <v>136</v>
      </c>
      <c r="T8" s="25" t="s">
        <v>137</v>
      </c>
    </row>
    <row r="9" spans="1:20" ht="36" customHeight="1">
      <c r="A9" s="26" t="s">
        <v>138</v>
      </c>
      <c r="B9" s="27">
        <v>5</v>
      </c>
      <c r="C9" s="27">
        <v>5</v>
      </c>
      <c r="D9" s="27">
        <v>3</v>
      </c>
      <c r="E9" s="27">
        <v>5</v>
      </c>
      <c r="F9" s="27">
        <v>5</v>
      </c>
      <c r="G9" s="27">
        <v>5</v>
      </c>
      <c r="H9" s="27">
        <v>5</v>
      </c>
      <c r="I9" s="27">
        <v>5</v>
      </c>
      <c r="J9" s="27">
        <v>4</v>
      </c>
      <c r="K9" s="27">
        <v>5</v>
      </c>
      <c r="L9" s="27">
        <v>5</v>
      </c>
      <c r="M9" s="27">
        <v>5</v>
      </c>
      <c r="N9" s="27">
        <v>4</v>
      </c>
      <c r="O9" s="27">
        <v>4</v>
      </c>
      <c r="P9" s="27">
        <v>5</v>
      </c>
      <c r="Q9" s="27">
        <v>5</v>
      </c>
      <c r="R9" s="27">
        <v>5</v>
      </c>
      <c r="S9" s="27">
        <v>5</v>
      </c>
      <c r="T9" s="28">
        <f>IF(T10&gt;0, (T11/T10)*20, 0)</f>
        <v>94.5</v>
      </c>
    </row>
    <row r="10" spans="1:20" ht="22" customHeight="1">
      <c r="A10" s="21" t="s">
        <v>139</v>
      </c>
      <c r="B10" s="29">
        <v>0.05</v>
      </c>
      <c r="C10" s="29">
        <v>0.05</v>
      </c>
      <c r="D10" s="29">
        <v>0.05</v>
      </c>
      <c r="E10" s="29">
        <v>0.05</v>
      </c>
      <c r="F10" s="29">
        <v>6.6699999999999995E-2</v>
      </c>
      <c r="G10" s="29">
        <v>6.6699999999999995E-2</v>
      </c>
      <c r="H10" s="29">
        <v>6.6600000000000006E-2</v>
      </c>
      <c r="I10" s="29">
        <v>7.4999999999999997E-2</v>
      </c>
      <c r="J10" s="29">
        <v>7.4999999999999997E-2</v>
      </c>
      <c r="K10" s="29">
        <v>6.6699999999999995E-2</v>
      </c>
      <c r="L10" s="29">
        <v>6.6699999999999995E-2</v>
      </c>
      <c r="M10" s="29">
        <v>6.6600000000000006E-2</v>
      </c>
      <c r="N10" s="29">
        <v>0.05</v>
      </c>
      <c r="O10" s="29">
        <v>0.05</v>
      </c>
      <c r="P10" s="29">
        <v>0.05</v>
      </c>
      <c r="Q10" s="29">
        <v>3.3300000000000003E-2</v>
      </c>
      <c r="R10" s="29">
        <v>3.3300000000000003E-2</v>
      </c>
      <c r="S10" s="29">
        <v>3.3399999999999999E-2</v>
      </c>
      <c r="T10" s="29">
        <f>SUM(B10:S10)</f>
        <v>1</v>
      </c>
    </row>
    <row r="11" spans="1:20" ht="24" customHeight="1">
      <c r="A11" s="21" t="s">
        <v>140</v>
      </c>
      <c r="B11" s="30">
        <f t="shared" ref="B11:S11" si="0">B9*B10</f>
        <v>0.25</v>
      </c>
      <c r="C11" s="30">
        <f t="shared" si="0"/>
        <v>0.25</v>
      </c>
      <c r="D11" s="30">
        <f t="shared" si="0"/>
        <v>0.15000000000000002</v>
      </c>
      <c r="E11" s="30">
        <f t="shared" si="0"/>
        <v>0.25</v>
      </c>
      <c r="F11" s="30">
        <f t="shared" si="0"/>
        <v>0.33349999999999996</v>
      </c>
      <c r="G11" s="30">
        <f t="shared" si="0"/>
        <v>0.33349999999999996</v>
      </c>
      <c r="H11" s="30">
        <f t="shared" si="0"/>
        <v>0.33300000000000002</v>
      </c>
      <c r="I11" s="30">
        <f t="shared" si="0"/>
        <v>0.375</v>
      </c>
      <c r="J11" s="30">
        <f t="shared" si="0"/>
        <v>0.3</v>
      </c>
      <c r="K11" s="30">
        <f t="shared" si="0"/>
        <v>0.33349999999999996</v>
      </c>
      <c r="L11" s="30">
        <f t="shared" si="0"/>
        <v>0.33349999999999996</v>
      </c>
      <c r="M11" s="30">
        <f t="shared" si="0"/>
        <v>0.33300000000000002</v>
      </c>
      <c r="N11" s="30">
        <f t="shared" si="0"/>
        <v>0.2</v>
      </c>
      <c r="O11" s="30">
        <f t="shared" si="0"/>
        <v>0.2</v>
      </c>
      <c r="P11" s="30">
        <f t="shared" si="0"/>
        <v>0.25</v>
      </c>
      <c r="Q11" s="30">
        <f t="shared" si="0"/>
        <v>0.16650000000000001</v>
      </c>
      <c r="R11" s="30">
        <f t="shared" si="0"/>
        <v>0.16650000000000001</v>
      </c>
      <c r="S11" s="30">
        <f t="shared" si="0"/>
        <v>0.16699999999999998</v>
      </c>
      <c r="T11" s="30">
        <f>SUM(B11:S11)</f>
        <v>4.7249999999999996</v>
      </c>
    </row>
    <row r="12" spans="1:20" ht="115" customHeight="1">
      <c r="A12" s="21" t="s">
        <v>141</v>
      </c>
      <c r="B12" s="24" t="s">
        <v>206</v>
      </c>
      <c r="C12" s="24" t="s">
        <v>207</v>
      </c>
      <c r="D12" s="24" t="s">
        <v>208</v>
      </c>
      <c r="E12" s="24" t="s">
        <v>209</v>
      </c>
      <c r="F12" s="24" t="s">
        <v>210</v>
      </c>
      <c r="G12" s="24" t="s">
        <v>211</v>
      </c>
      <c r="H12" s="24" t="s">
        <v>212</v>
      </c>
      <c r="I12" s="24" t="s">
        <v>213</v>
      </c>
      <c r="J12" s="24" t="s">
        <v>214</v>
      </c>
      <c r="K12" s="24" t="s">
        <v>215</v>
      </c>
      <c r="L12" s="24" t="s">
        <v>216</v>
      </c>
      <c r="M12" s="24" t="s">
        <v>217</v>
      </c>
      <c r="N12" s="24" t="s">
        <v>218</v>
      </c>
      <c r="O12" s="24" t="s">
        <v>219</v>
      </c>
      <c r="P12" s="24" t="s">
        <v>220</v>
      </c>
      <c r="Q12" s="24" t="s">
        <v>221</v>
      </c>
      <c r="R12" s="24" t="s">
        <v>222</v>
      </c>
      <c r="S12" s="24" t="s">
        <v>223</v>
      </c>
      <c r="T12" s="31" t="str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>ผ่านเกณฑ์ระดับสูง (HIGHLY VIABLE)</v>
      </c>
    </row>
    <row r="13" spans="1:20" ht="70" customHeight="1">
      <c r="A13" s="21" t="s">
        <v>160</v>
      </c>
      <c r="B13" s="24" t="s">
        <v>224</v>
      </c>
      <c r="C13" s="24" t="s">
        <v>225</v>
      </c>
      <c r="D13" s="24" t="s">
        <v>226</v>
      </c>
      <c r="E13" s="24" t="s">
        <v>227</v>
      </c>
      <c r="F13" s="24" t="s">
        <v>228</v>
      </c>
      <c r="G13" s="24" t="s">
        <v>229</v>
      </c>
      <c r="H13" s="24" t="s">
        <v>230</v>
      </c>
      <c r="I13" s="24" t="s">
        <v>231</v>
      </c>
      <c r="J13" s="24" t="s">
        <v>232</v>
      </c>
      <c r="K13" s="24" t="s">
        <v>233</v>
      </c>
      <c r="L13" s="24" t="s">
        <v>234</v>
      </c>
      <c r="M13" s="24" t="s">
        <v>235</v>
      </c>
      <c r="N13" s="24" t="s">
        <v>236</v>
      </c>
      <c r="O13" s="24" t="s">
        <v>237</v>
      </c>
      <c r="P13" s="24" t="s">
        <v>238</v>
      </c>
      <c r="Q13" s="24" t="s">
        <v>239</v>
      </c>
      <c r="R13" s="24" t="s">
        <v>240</v>
      </c>
      <c r="S13" s="24" t="s">
        <v>241</v>
      </c>
      <c r="T13" s="23" t="s">
        <v>179</v>
      </c>
    </row>
    <row r="14" spans="1:20" ht="15" customHeight="1"/>
    <row r="15" spans="1:20" ht="26.05" customHeight="1">
      <c r="A15" s="17" t="s">
        <v>180</v>
      </c>
    </row>
    <row r="16" spans="1:20" ht="24" customHeight="1">
      <c r="A16" s="32" t="s">
        <v>70</v>
      </c>
      <c r="B16" s="32" t="s">
        <v>181</v>
      </c>
      <c r="C16" s="32" t="s">
        <v>182</v>
      </c>
      <c r="D16" s="32" t="s">
        <v>183</v>
      </c>
      <c r="E16" s="32" t="s">
        <v>184</v>
      </c>
      <c r="F16" s="32" t="s">
        <v>185</v>
      </c>
    </row>
    <row r="17" spans="1:6" ht="22" customHeight="1">
      <c r="A17" s="33" t="s">
        <v>186</v>
      </c>
      <c r="B17" s="34">
        <v>0.2</v>
      </c>
      <c r="C17" s="35">
        <v>20</v>
      </c>
      <c r="D17" s="36">
        <f>SUM(B11:E11)*20</f>
        <v>18</v>
      </c>
      <c r="E17" s="37">
        <f t="shared" ref="E17:E23" si="1">IF(C17&gt;0, (D17/C17)*5, 0)</f>
        <v>4.5</v>
      </c>
      <c r="F17" s="23" t="str">
        <f>IF(D17&gt;=16, "พร้อมระดับสูง (High)", IF(D17&gt;=12, "ปานกลาง (Medium)", "เสี่ยงวิกฤต (Critical)"))</f>
        <v>พร้อมระดับสูง (High)</v>
      </c>
    </row>
    <row r="18" spans="1:6" ht="22" customHeight="1">
      <c r="A18" s="33" t="s">
        <v>187</v>
      </c>
      <c r="B18" s="34">
        <v>0.2</v>
      </c>
      <c r="C18" s="35">
        <v>20</v>
      </c>
      <c r="D18" s="36">
        <f>SUM(F11:H11)*20</f>
        <v>20</v>
      </c>
      <c r="E18" s="37">
        <f t="shared" si="1"/>
        <v>5</v>
      </c>
      <c r="F18" s="23" t="str">
        <f>IF(D18&gt;=16, "พร้อมระดับสูง (High)", IF(D18&gt;=12, "ปานกลาง (Medium)", "เสี่ยงวิกฤต (Critical)"))</f>
        <v>พร้อมระดับสูง (High)</v>
      </c>
    </row>
    <row r="19" spans="1:6" ht="22" customHeight="1">
      <c r="A19" s="33" t="s">
        <v>188</v>
      </c>
      <c r="B19" s="34">
        <v>0.15</v>
      </c>
      <c r="C19" s="35">
        <v>15</v>
      </c>
      <c r="D19" s="36">
        <f>SUM(I11:J11)*20</f>
        <v>13.5</v>
      </c>
      <c r="E19" s="37">
        <f t="shared" si="1"/>
        <v>4.5</v>
      </c>
      <c r="F19" s="23" t="str">
        <f>IF(D19&gt;=12, "พร้อมระดับสูง (High)", IF(D19&gt;=9, "ปานกลาง (Medium)", "เสี่ยงวิกฤต (Critical)"))</f>
        <v>พร้อมระดับสูง (High)</v>
      </c>
    </row>
    <row r="20" spans="1:6" ht="22" customHeight="1">
      <c r="A20" s="33" t="s">
        <v>189</v>
      </c>
      <c r="B20" s="34">
        <v>0.2</v>
      </c>
      <c r="C20" s="35">
        <v>20</v>
      </c>
      <c r="D20" s="36">
        <f>SUM(K11:M11)*20</f>
        <v>20</v>
      </c>
      <c r="E20" s="37">
        <f t="shared" si="1"/>
        <v>5</v>
      </c>
      <c r="F20" s="23" t="str">
        <f>IF(D20&gt;=16, "พร้อมระดับสูง (High)", IF(D20&gt;=12, "ปานกลาง (Medium)", "เสี่ยงวิกฤต (Critical)"))</f>
        <v>พร้อมระดับสูง (High)</v>
      </c>
    </row>
    <row r="21" spans="1:6" ht="22" customHeight="1">
      <c r="A21" s="33" t="s">
        <v>190</v>
      </c>
      <c r="B21" s="34">
        <v>0.15</v>
      </c>
      <c r="C21" s="35">
        <v>15</v>
      </c>
      <c r="D21" s="36">
        <f>SUM(N11:P11)*20</f>
        <v>13</v>
      </c>
      <c r="E21" s="37">
        <f t="shared" si="1"/>
        <v>4.3333333333333339</v>
      </c>
      <c r="F21" s="23" t="str">
        <f>IF(D21&gt;=12, "พร้อมระดับสูง (High)", IF(D21&gt;=9, "ปานกลาง (Medium)", "เสี่ยงวิกฤต (Critical)"))</f>
        <v>พร้อมระดับสูง (High)</v>
      </c>
    </row>
    <row r="22" spans="1:6" ht="22" customHeight="1">
      <c r="A22" s="33" t="s">
        <v>191</v>
      </c>
      <c r="B22" s="34">
        <v>0.1</v>
      </c>
      <c r="C22" s="35">
        <v>10</v>
      </c>
      <c r="D22" s="36">
        <f>SUM(Q11:S11)*20</f>
        <v>10</v>
      </c>
      <c r="E22" s="37">
        <f t="shared" si="1"/>
        <v>5</v>
      </c>
      <c r="F22" s="23" t="str">
        <f>IF(D22&gt;=8, "พร้อมระดับสูง (High)", IF(D22&gt;=6, "ปานกลาง (Medium)", "เสี่ยงวิกฤต (Critical)"))</f>
        <v>พร้อมระดับสูง (High)</v>
      </c>
    </row>
    <row r="23" spans="1:6" ht="26.05" customHeight="1">
      <c r="A23" s="38" t="s">
        <v>192</v>
      </c>
      <c r="B23" s="29">
        <f>SUM(B17:B22)</f>
        <v>1</v>
      </c>
      <c r="C23" s="39">
        <f>SUM(C17:C22)</f>
        <v>100</v>
      </c>
      <c r="D23" s="40">
        <f>SUM(D17:D22)</f>
        <v>94.5</v>
      </c>
      <c r="E23" s="30">
        <f t="shared" si="1"/>
        <v>4.7249999999999996</v>
      </c>
      <c r="F23" s="41" t="str">
        <f>IF(D23&gt;=80, "ผ่านเกณฑ์ระดับสูง (HIGHLY VIABLE)", IF(D23&gt;=60, "ผ่านแบบมีเงื่อนไข (CONDITIONALLY VIABLE)", "ความเสี่ยงสูง (HIGH RISK)"))</f>
        <v>ผ่านเกณฑ์ระดับสูง (HIGHLY VIABLE)</v>
      </c>
    </row>
    <row r="24" spans="1:6" ht="12" customHeight="1"/>
    <row r="25" spans="1:6" ht="26.05" customHeight="1">
      <c r="A25" s="17" t="s">
        <v>193</v>
      </c>
    </row>
    <row r="26" spans="1:6" ht="22" customHeight="1">
      <c r="A26" s="18" t="s">
        <v>194</v>
      </c>
    </row>
    <row r="27" spans="1:6" ht="24" customHeight="1">
      <c r="A27" s="42" t="s">
        <v>195</v>
      </c>
      <c r="B27" s="42" t="s">
        <v>196</v>
      </c>
      <c r="C27" s="42" t="s">
        <v>197</v>
      </c>
      <c r="D27" s="42" t="s">
        <v>198</v>
      </c>
      <c r="E27" s="42" t="s">
        <v>199</v>
      </c>
      <c r="F27" s="42" t="s">
        <v>200</v>
      </c>
    </row>
    <row r="28" spans="1:6" ht="95.05" customHeight="1">
      <c r="A28" s="43" t="s">
        <v>201</v>
      </c>
      <c r="B28" s="44">
        <v>5</v>
      </c>
      <c r="C28" s="24" t="s">
        <v>242</v>
      </c>
      <c r="D28" s="24" t="s">
        <v>243</v>
      </c>
      <c r="E28" s="24" t="s">
        <v>244</v>
      </c>
      <c r="F28" s="24" t="s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8"/>
  <sheetViews>
    <sheetView workbookViewId="0"/>
  </sheetViews>
  <sheetFormatPr defaultRowHeight="14.6"/>
  <cols>
    <col min="1" max="1" width="38" customWidth="1"/>
    <col min="2" max="20" width="36" customWidth="1"/>
  </cols>
  <sheetData>
    <row r="1" spans="1:20" ht="19.3">
      <c r="A1" s="17" t="s">
        <v>245</v>
      </c>
    </row>
    <row r="2" spans="1:20" ht="15">
      <c r="A2" s="18" t="s">
        <v>49</v>
      </c>
    </row>
    <row r="4" spans="1:20" ht="24" customHeight="1">
      <c r="A4" s="19" t="s">
        <v>50</v>
      </c>
      <c r="B4" s="20" t="s">
        <v>51</v>
      </c>
      <c r="C4" s="20" t="s">
        <v>52</v>
      </c>
      <c r="D4" s="20" t="s">
        <v>53</v>
      </c>
      <c r="E4" s="20" t="s">
        <v>54</v>
      </c>
      <c r="F4" s="20" t="s">
        <v>55</v>
      </c>
      <c r="G4" s="20" t="s">
        <v>56</v>
      </c>
      <c r="H4" s="20" t="s">
        <v>57</v>
      </c>
      <c r="I4" s="20" t="s">
        <v>58</v>
      </c>
      <c r="J4" s="20" t="s">
        <v>59</v>
      </c>
      <c r="K4" s="20" t="s">
        <v>60</v>
      </c>
      <c r="L4" s="20" t="s">
        <v>61</v>
      </c>
      <c r="M4" s="20" t="s">
        <v>62</v>
      </c>
      <c r="N4" s="20" t="s">
        <v>63</v>
      </c>
      <c r="O4" s="20" t="s">
        <v>64</v>
      </c>
      <c r="P4" s="20" t="s">
        <v>65</v>
      </c>
      <c r="Q4" s="20" t="s">
        <v>66</v>
      </c>
      <c r="R4" s="20" t="s">
        <v>67</v>
      </c>
      <c r="S4" s="20" t="s">
        <v>68</v>
      </c>
      <c r="T4" s="20" t="s">
        <v>69</v>
      </c>
    </row>
    <row r="5" spans="1:20" ht="24" customHeight="1">
      <c r="A5" s="21" t="s">
        <v>70</v>
      </c>
      <c r="B5" s="22" t="s">
        <v>71</v>
      </c>
      <c r="C5" s="22" t="s">
        <v>71</v>
      </c>
      <c r="D5" s="22" t="s">
        <v>71</v>
      </c>
      <c r="E5" s="22" t="s">
        <v>71</v>
      </c>
      <c r="F5" s="22" t="s">
        <v>72</v>
      </c>
      <c r="G5" s="22" t="s">
        <v>72</v>
      </c>
      <c r="H5" s="22" t="s">
        <v>72</v>
      </c>
      <c r="I5" s="22" t="s">
        <v>73</v>
      </c>
      <c r="J5" s="22" t="s">
        <v>73</v>
      </c>
      <c r="K5" s="22" t="s">
        <v>74</v>
      </c>
      <c r="L5" s="22" t="s">
        <v>74</v>
      </c>
      <c r="M5" s="22" t="s">
        <v>74</v>
      </c>
      <c r="N5" s="22" t="s">
        <v>75</v>
      </c>
      <c r="O5" s="22" t="s">
        <v>75</v>
      </c>
      <c r="P5" s="22" t="s">
        <v>75</v>
      </c>
      <c r="Q5" s="22" t="s">
        <v>76</v>
      </c>
      <c r="R5" s="22" t="s">
        <v>76</v>
      </c>
      <c r="S5" s="22" t="s">
        <v>76</v>
      </c>
      <c r="T5" s="23" t="s">
        <v>77</v>
      </c>
    </row>
    <row r="6" spans="1:20" ht="80.05" customHeight="1">
      <c r="A6" s="21" t="s">
        <v>78</v>
      </c>
      <c r="B6" s="24" t="s">
        <v>79</v>
      </c>
      <c r="C6" s="24" t="s">
        <v>80</v>
      </c>
      <c r="D6" s="24" t="s">
        <v>81</v>
      </c>
      <c r="E6" s="24" t="s">
        <v>82</v>
      </c>
      <c r="F6" s="24" t="s">
        <v>83</v>
      </c>
      <c r="G6" s="24" t="s">
        <v>84</v>
      </c>
      <c r="H6" s="24" t="s">
        <v>85</v>
      </c>
      <c r="I6" s="24" t="s">
        <v>86</v>
      </c>
      <c r="J6" s="24" t="s">
        <v>87</v>
      </c>
      <c r="K6" s="24" t="s">
        <v>88</v>
      </c>
      <c r="L6" s="24" t="s">
        <v>89</v>
      </c>
      <c r="M6" s="24" t="s">
        <v>90</v>
      </c>
      <c r="N6" s="24" t="s">
        <v>91</v>
      </c>
      <c r="O6" s="24" t="s">
        <v>92</v>
      </c>
      <c r="P6" s="24" t="s">
        <v>93</v>
      </c>
      <c r="Q6" s="24" t="s">
        <v>94</v>
      </c>
      <c r="R6" s="24" t="s">
        <v>95</v>
      </c>
      <c r="S6" s="24" t="s">
        <v>96</v>
      </c>
      <c r="T6" s="25" t="s">
        <v>97</v>
      </c>
    </row>
    <row r="7" spans="1:20" ht="95.05" customHeight="1">
      <c r="A7" s="21" t="s">
        <v>98</v>
      </c>
      <c r="B7" s="24" t="s">
        <v>99</v>
      </c>
      <c r="C7" s="24" t="s">
        <v>100</v>
      </c>
      <c r="D7" s="24" t="s">
        <v>101</v>
      </c>
      <c r="E7" s="24" t="s">
        <v>102</v>
      </c>
      <c r="F7" s="24" t="s">
        <v>103</v>
      </c>
      <c r="G7" s="24" t="s">
        <v>104</v>
      </c>
      <c r="H7" s="24" t="s">
        <v>105</v>
      </c>
      <c r="I7" s="24" t="s">
        <v>106</v>
      </c>
      <c r="J7" s="24" t="s">
        <v>107</v>
      </c>
      <c r="K7" s="24" t="s">
        <v>108</v>
      </c>
      <c r="L7" s="24" t="s">
        <v>109</v>
      </c>
      <c r="M7" s="24" t="s">
        <v>110</v>
      </c>
      <c r="N7" s="24" t="s">
        <v>111</v>
      </c>
      <c r="O7" s="24" t="s">
        <v>112</v>
      </c>
      <c r="P7" s="24" t="s">
        <v>113</v>
      </c>
      <c r="Q7" s="24" t="s">
        <v>114</v>
      </c>
      <c r="R7" s="24" t="s">
        <v>115</v>
      </c>
      <c r="S7" s="24" t="s">
        <v>116</v>
      </c>
      <c r="T7" s="25" t="s">
        <v>117</v>
      </c>
    </row>
    <row r="8" spans="1:20" ht="150" customHeight="1">
      <c r="A8" s="21" t="s">
        <v>118</v>
      </c>
      <c r="B8" s="24" t="s">
        <v>119</v>
      </c>
      <c r="C8" s="24" t="s">
        <v>120</v>
      </c>
      <c r="D8" s="24" t="s">
        <v>121</v>
      </c>
      <c r="E8" s="24" t="s">
        <v>122</v>
      </c>
      <c r="F8" s="24" t="s">
        <v>123</v>
      </c>
      <c r="G8" s="24" t="s">
        <v>124</v>
      </c>
      <c r="H8" s="24" t="s">
        <v>125</v>
      </c>
      <c r="I8" s="24" t="s">
        <v>126</v>
      </c>
      <c r="J8" s="24" t="s">
        <v>127</v>
      </c>
      <c r="K8" s="24" t="s">
        <v>128</v>
      </c>
      <c r="L8" s="24" t="s">
        <v>129</v>
      </c>
      <c r="M8" s="24" t="s">
        <v>130</v>
      </c>
      <c r="N8" s="24" t="s">
        <v>131</v>
      </c>
      <c r="O8" s="24" t="s">
        <v>132</v>
      </c>
      <c r="P8" s="24" t="s">
        <v>133</v>
      </c>
      <c r="Q8" s="24" t="s">
        <v>134</v>
      </c>
      <c r="R8" s="24" t="s">
        <v>135</v>
      </c>
      <c r="S8" s="24" t="s">
        <v>136</v>
      </c>
      <c r="T8" s="25" t="s">
        <v>137</v>
      </c>
    </row>
    <row r="9" spans="1:20" ht="36" customHeight="1">
      <c r="A9" s="26" t="s">
        <v>138</v>
      </c>
      <c r="B9" s="27">
        <v>4</v>
      </c>
      <c r="C9" s="27">
        <v>4</v>
      </c>
      <c r="D9" s="27">
        <v>4</v>
      </c>
      <c r="E9" s="27">
        <v>4</v>
      </c>
      <c r="F9" s="27">
        <v>3</v>
      </c>
      <c r="G9" s="27">
        <v>4</v>
      </c>
      <c r="H9" s="27">
        <v>4</v>
      </c>
      <c r="I9" s="27">
        <v>4</v>
      </c>
      <c r="J9" s="27">
        <v>4</v>
      </c>
      <c r="K9" s="27">
        <v>4</v>
      </c>
      <c r="L9" s="27">
        <v>4</v>
      </c>
      <c r="M9" s="27">
        <v>3</v>
      </c>
      <c r="N9" s="27">
        <v>4</v>
      </c>
      <c r="O9" s="27">
        <v>4</v>
      </c>
      <c r="P9" s="27">
        <v>4</v>
      </c>
      <c r="Q9" s="27">
        <v>5</v>
      </c>
      <c r="R9" s="27">
        <v>5</v>
      </c>
      <c r="S9" s="27">
        <v>5</v>
      </c>
      <c r="T9" s="28">
        <f>IF(T10&gt;0, (T11/T10)*20, 0)</f>
        <v>79.334000000000003</v>
      </c>
    </row>
    <row r="10" spans="1:20" ht="22" customHeight="1">
      <c r="A10" s="21" t="s">
        <v>139</v>
      </c>
      <c r="B10" s="29">
        <v>0.05</v>
      </c>
      <c r="C10" s="29">
        <v>0.05</v>
      </c>
      <c r="D10" s="29">
        <v>0.05</v>
      </c>
      <c r="E10" s="29">
        <v>0.05</v>
      </c>
      <c r="F10" s="29">
        <v>6.6699999999999995E-2</v>
      </c>
      <c r="G10" s="29">
        <v>6.6699999999999995E-2</v>
      </c>
      <c r="H10" s="29">
        <v>6.6600000000000006E-2</v>
      </c>
      <c r="I10" s="29">
        <v>7.4999999999999997E-2</v>
      </c>
      <c r="J10" s="29">
        <v>7.4999999999999997E-2</v>
      </c>
      <c r="K10" s="29">
        <v>6.6699999999999995E-2</v>
      </c>
      <c r="L10" s="29">
        <v>6.6699999999999995E-2</v>
      </c>
      <c r="M10" s="29">
        <v>6.6600000000000006E-2</v>
      </c>
      <c r="N10" s="29">
        <v>0.05</v>
      </c>
      <c r="O10" s="29">
        <v>0.05</v>
      </c>
      <c r="P10" s="29">
        <v>0.05</v>
      </c>
      <c r="Q10" s="29">
        <v>3.3300000000000003E-2</v>
      </c>
      <c r="R10" s="29">
        <v>3.3300000000000003E-2</v>
      </c>
      <c r="S10" s="29">
        <v>3.3399999999999999E-2</v>
      </c>
      <c r="T10" s="29">
        <f>SUM(B10:S10)</f>
        <v>1</v>
      </c>
    </row>
    <row r="11" spans="1:20" ht="24" customHeight="1">
      <c r="A11" s="21" t="s">
        <v>140</v>
      </c>
      <c r="B11" s="30">
        <f t="shared" ref="B11:S11" si="0">B9*B10</f>
        <v>0.2</v>
      </c>
      <c r="C11" s="30">
        <f t="shared" si="0"/>
        <v>0.2</v>
      </c>
      <c r="D11" s="30">
        <f t="shared" si="0"/>
        <v>0.2</v>
      </c>
      <c r="E11" s="30">
        <f t="shared" si="0"/>
        <v>0.2</v>
      </c>
      <c r="F11" s="30">
        <f t="shared" si="0"/>
        <v>0.2001</v>
      </c>
      <c r="G11" s="30">
        <f t="shared" si="0"/>
        <v>0.26679999999999998</v>
      </c>
      <c r="H11" s="30">
        <f t="shared" si="0"/>
        <v>0.26640000000000003</v>
      </c>
      <c r="I11" s="30">
        <f t="shared" si="0"/>
        <v>0.3</v>
      </c>
      <c r="J11" s="30">
        <f t="shared" si="0"/>
        <v>0.3</v>
      </c>
      <c r="K11" s="30">
        <f t="shared" si="0"/>
        <v>0.26679999999999998</v>
      </c>
      <c r="L11" s="30">
        <f t="shared" si="0"/>
        <v>0.26679999999999998</v>
      </c>
      <c r="M11" s="30">
        <f t="shared" si="0"/>
        <v>0.19980000000000003</v>
      </c>
      <c r="N11" s="30">
        <f t="shared" si="0"/>
        <v>0.2</v>
      </c>
      <c r="O11" s="30">
        <f t="shared" si="0"/>
        <v>0.2</v>
      </c>
      <c r="P11" s="30">
        <f t="shared" si="0"/>
        <v>0.2</v>
      </c>
      <c r="Q11" s="30">
        <f t="shared" si="0"/>
        <v>0.16650000000000001</v>
      </c>
      <c r="R11" s="30">
        <f t="shared" si="0"/>
        <v>0.16650000000000001</v>
      </c>
      <c r="S11" s="30">
        <f t="shared" si="0"/>
        <v>0.16699999999999998</v>
      </c>
      <c r="T11" s="30">
        <f>SUM(B11:S11)</f>
        <v>3.9667000000000003</v>
      </c>
    </row>
    <row r="12" spans="1:20" ht="115" customHeight="1">
      <c r="A12" s="21" t="s">
        <v>141</v>
      </c>
      <c r="B12" s="24" t="s">
        <v>246</v>
      </c>
      <c r="C12" s="24" t="s">
        <v>247</v>
      </c>
      <c r="D12" s="24" t="s">
        <v>248</v>
      </c>
      <c r="E12" s="24" t="s">
        <v>249</v>
      </c>
      <c r="F12" s="24" t="s">
        <v>250</v>
      </c>
      <c r="G12" s="24" t="s">
        <v>251</v>
      </c>
      <c r="H12" s="24" t="s">
        <v>252</v>
      </c>
      <c r="I12" s="24" t="s">
        <v>253</v>
      </c>
      <c r="J12" s="24" t="s">
        <v>254</v>
      </c>
      <c r="K12" s="24" t="s">
        <v>255</v>
      </c>
      <c r="L12" s="24" t="s">
        <v>256</v>
      </c>
      <c r="M12" s="24" t="s">
        <v>257</v>
      </c>
      <c r="N12" s="24" t="s">
        <v>258</v>
      </c>
      <c r="O12" s="24" t="s">
        <v>259</v>
      </c>
      <c r="P12" s="24" t="s">
        <v>260</v>
      </c>
      <c r="Q12" s="24" t="s">
        <v>261</v>
      </c>
      <c r="R12" s="24" t="s">
        <v>262</v>
      </c>
      <c r="S12" s="24" t="s">
        <v>263</v>
      </c>
      <c r="T12" s="31" t="str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>ผ่านแบบมีเงื่อนไข (CONDITIONALLY VIABLE)</v>
      </c>
    </row>
    <row r="13" spans="1:20" ht="70" customHeight="1">
      <c r="A13" s="21" t="s">
        <v>160</v>
      </c>
      <c r="B13" s="24" t="s">
        <v>264</v>
      </c>
      <c r="C13" s="24" t="s">
        <v>265</v>
      </c>
      <c r="D13" s="24" t="s">
        <v>266</v>
      </c>
      <c r="E13" s="24" t="s">
        <v>267</v>
      </c>
      <c r="F13" s="24" t="s">
        <v>268</v>
      </c>
      <c r="G13" s="24" t="s">
        <v>269</v>
      </c>
      <c r="H13" s="24" t="s">
        <v>270</v>
      </c>
      <c r="I13" s="24" t="s">
        <v>271</v>
      </c>
      <c r="J13" s="24" t="s">
        <v>272</v>
      </c>
      <c r="K13" s="24" t="s">
        <v>273</v>
      </c>
      <c r="L13" s="24" t="s">
        <v>274</v>
      </c>
      <c r="M13" s="24" t="s">
        <v>275</v>
      </c>
      <c r="N13" s="24" t="s">
        <v>276</v>
      </c>
      <c r="O13" s="24" t="s">
        <v>277</v>
      </c>
      <c r="P13" s="24" t="s">
        <v>278</v>
      </c>
      <c r="Q13" s="24" t="s">
        <v>279</v>
      </c>
      <c r="R13" s="24" t="s">
        <v>280</v>
      </c>
      <c r="S13" s="24" t="s">
        <v>281</v>
      </c>
      <c r="T13" s="23" t="s">
        <v>179</v>
      </c>
    </row>
    <row r="14" spans="1:20" ht="15" customHeight="1"/>
    <row r="15" spans="1:20" ht="26.05" customHeight="1">
      <c r="A15" s="17" t="s">
        <v>180</v>
      </c>
    </row>
    <row r="16" spans="1:20" ht="24" customHeight="1">
      <c r="A16" s="32" t="s">
        <v>70</v>
      </c>
      <c r="B16" s="32" t="s">
        <v>181</v>
      </c>
      <c r="C16" s="32" t="s">
        <v>182</v>
      </c>
      <c r="D16" s="32" t="s">
        <v>183</v>
      </c>
      <c r="E16" s="32" t="s">
        <v>184</v>
      </c>
      <c r="F16" s="32" t="s">
        <v>185</v>
      </c>
    </row>
    <row r="17" spans="1:6" ht="22" customHeight="1">
      <c r="A17" s="33" t="s">
        <v>186</v>
      </c>
      <c r="B17" s="34">
        <v>0.2</v>
      </c>
      <c r="C17" s="35">
        <v>20</v>
      </c>
      <c r="D17" s="36">
        <f>SUM(B11:E11)*20</f>
        <v>16</v>
      </c>
      <c r="E17" s="37">
        <f t="shared" ref="E17:E23" si="1">IF(C17&gt;0, (D17/C17)*5, 0)</f>
        <v>4</v>
      </c>
      <c r="F17" s="23" t="str">
        <f>IF(D17&gt;=16, "พร้อมระดับสูง (High)", IF(D17&gt;=12, "ปานกลาง (Medium)", "เสี่ยงวิกฤต (Critical)"))</f>
        <v>พร้อมระดับสูง (High)</v>
      </c>
    </row>
    <row r="18" spans="1:6" ht="22" customHeight="1">
      <c r="A18" s="33" t="s">
        <v>187</v>
      </c>
      <c r="B18" s="34">
        <v>0.2</v>
      </c>
      <c r="C18" s="35">
        <v>20</v>
      </c>
      <c r="D18" s="36">
        <f>SUM(F11:H11)*20</f>
        <v>14.666</v>
      </c>
      <c r="E18" s="37">
        <f t="shared" si="1"/>
        <v>3.6665000000000001</v>
      </c>
      <c r="F18" s="23" t="str">
        <f>IF(D18&gt;=16, "พร้อมระดับสูง (High)", IF(D18&gt;=12, "ปานกลาง (Medium)", "เสี่ยงวิกฤต (Critical)"))</f>
        <v>ปานกลาง (Medium)</v>
      </c>
    </row>
    <row r="19" spans="1:6" ht="22" customHeight="1">
      <c r="A19" s="33" t="s">
        <v>188</v>
      </c>
      <c r="B19" s="34">
        <v>0.15</v>
      </c>
      <c r="C19" s="35">
        <v>15</v>
      </c>
      <c r="D19" s="36">
        <f>SUM(I11:J11)*20</f>
        <v>12</v>
      </c>
      <c r="E19" s="37">
        <f t="shared" si="1"/>
        <v>4</v>
      </c>
      <c r="F19" s="23" t="str">
        <f>IF(D19&gt;=12, "พร้อมระดับสูง (High)", IF(D19&gt;=9, "ปานกลาง (Medium)", "เสี่ยงวิกฤต (Critical)"))</f>
        <v>พร้อมระดับสูง (High)</v>
      </c>
    </row>
    <row r="20" spans="1:6" ht="22" customHeight="1">
      <c r="A20" s="33" t="s">
        <v>189</v>
      </c>
      <c r="B20" s="34">
        <v>0.2</v>
      </c>
      <c r="C20" s="35">
        <v>20</v>
      </c>
      <c r="D20" s="36">
        <f>SUM(K11:M11)*20</f>
        <v>14.668000000000001</v>
      </c>
      <c r="E20" s="37">
        <f t="shared" si="1"/>
        <v>3.6670000000000003</v>
      </c>
      <c r="F20" s="23" t="str">
        <f>IF(D20&gt;=16, "พร้อมระดับสูง (High)", IF(D20&gt;=12, "ปานกลาง (Medium)", "เสี่ยงวิกฤต (Critical)"))</f>
        <v>ปานกลาง (Medium)</v>
      </c>
    </row>
    <row r="21" spans="1:6" ht="22" customHeight="1">
      <c r="A21" s="33" t="s">
        <v>190</v>
      </c>
      <c r="B21" s="34">
        <v>0.15</v>
      </c>
      <c r="C21" s="35">
        <v>15</v>
      </c>
      <c r="D21" s="36">
        <f>SUM(N11:P11)*20</f>
        <v>12.000000000000002</v>
      </c>
      <c r="E21" s="37">
        <f t="shared" si="1"/>
        <v>4.0000000000000009</v>
      </c>
      <c r="F21" s="23" t="str">
        <f>IF(D21&gt;=12, "พร้อมระดับสูง (High)", IF(D21&gt;=9, "ปานกลาง (Medium)", "เสี่ยงวิกฤต (Critical)"))</f>
        <v>พร้อมระดับสูง (High)</v>
      </c>
    </row>
    <row r="22" spans="1:6" ht="22" customHeight="1">
      <c r="A22" s="33" t="s">
        <v>191</v>
      </c>
      <c r="B22" s="34">
        <v>0.1</v>
      </c>
      <c r="C22" s="35">
        <v>10</v>
      </c>
      <c r="D22" s="36">
        <f>SUM(Q11:S11)*20</f>
        <v>10</v>
      </c>
      <c r="E22" s="37">
        <f t="shared" si="1"/>
        <v>5</v>
      </c>
      <c r="F22" s="23" t="str">
        <f>IF(D22&gt;=8, "พร้อมระดับสูง (High)", IF(D22&gt;=6, "ปานกลาง (Medium)", "เสี่ยงวิกฤต (Critical)"))</f>
        <v>พร้อมระดับสูง (High)</v>
      </c>
    </row>
    <row r="23" spans="1:6" ht="26.05" customHeight="1">
      <c r="A23" s="38" t="s">
        <v>192</v>
      </c>
      <c r="B23" s="29">
        <f>SUM(B17:B22)</f>
        <v>1</v>
      </c>
      <c r="C23" s="39">
        <f>SUM(C17:C22)</f>
        <v>100</v>
      </c>
      <c r="D23" s="40">
        <f>SUM(D17:D22)</f>
        <v>79.334000000000003</v>
      </c>
      <c r="E23" s="30">
        <f t="shared" si="1"/>
        <v>3.9667000000000003</v>
      </c>
      <c r="F23" s="41" t="str">
        <f>IF(D23&gt;=80, "ผ่านเกณฑ์ระดับสูง (HIGHLY VIABLE)", IF(D23&gt;=60, "ผ่านแบบมีเงื่อนไข (CONDITIONALLY VIABLE)", "ความเสี่ยงสูง (HIGH RISK)"))</f>
        <v>ผ่านแบบมีเงื่อนไข (CONDITIONALLY VIABLE)</v>
      </c>
    </row>
    <row r="24" spans="1:6" ht="12" customHeight="1"/>
    <row r="25" spans="1:6" ht="26.05" customHeight="1">
      <c r="A25" s="17" t="s">
        <v>193</v>
      </c>
    </row>
    <row r="26" spans="1:6" ht="22" customHeight="1">
      <c r="A26" s="18" t="s">
        <v>194</v>
      </c>
    </row>
    <row r="27" spans="1:6" ht="24" customHeight="1">
      <c r="A27" s="42" t="s">
        <v>195</v>
      </c>
      <c r="B27" s="42" t="s">
        <v>196</v>
      </c>
      <c r="C27" s="42" t="s">
        <v>197</v>
      </c>
      <c r="D27" s="42" t="s">
        <v>198</v>
      </c>
      <c r="E27" s="42" t="s">
        <v>199</v>
      </c>
      <c r="F27" s="42" t="s">
        <v>200</v>
      </c>
    </row>
    <row r="28" spans="1:6" ht="95.05" customHeight="1">
      <c r="A28" s="43" t="s">
        <v>201</v>
      </c>
      <c r="B28" s="44">
        <v>8.5</v>
      </c>
      <c r="C28" s="24" t="s">
        <v>282</v>
      </c>
      <c r="D28" s="24" t="s">
        <v>283</v>
      </c>
      <c r="E28" s="24" t="s">
        <v>284</v>
      </c>
      <c r="F28" s="24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8"/>
  <sheetViews>
    <sheetView workbookViewId="0"/>
  </sheetViews>
  <sheetFormatPr defaultRowHeight="14.6"/>
  <cols>
    <col min="1" max="1" width="38" customWidth="1"/>
    <col min="2" max="20" width="36" customWidth="1"/>
  </cols>
  <sheetData>
    <row r="1" spans="1:20" ht="19.3">
      <c r="A1" s="17" t="s">
        <v>285</v>
      </c>
    </row>
    <row r="2" spans="1:20" ht="15">
      <c r="A2" s="18" t="s">
        <v>49</v>
      </c>
    </row>
    <row r="4" spans="1:20" ht="24" customHeight="1">
      <c r="A4" s="19" t="s">
        <v>50</v>
      </c>
      <c r="B4" s="20" t="s">
        <v>51</v>
      </c>
      <c r="C4" s="20" t="s">
        <v>52</v>
      </c>
      <c r="D4" s="20" t="s">
        <v>53</v>
      </c>
      <c r="E4" s="20" t="s">
        <v>54</v>
      </c>
      <c r="F4" s="20" t="s">
        <v>55</v>
      </c>
      <c r="G4" s="20" t="s">
        <v>56</v>
      </c>
      <c r="H4" s="20" t="s">
        <v>57</v>
      </c>
      <c r="I4" s="20" t="s">
        <v>58</v>
      </c>
      <c r="J4" s="20" t="s">
        <v>59</v>
      </c>
      <c r="K4" s="20" t="s">
        <v>60</v>
      </c>
      <c r="L4" s="20" t="s">
        <v>61</v>
      </c>
      <c r="M4" s="20" t="s">
        <v>62</v>
      </c>
      <c r="N4" s="20" t="s">
        <v>63</v>
      </c>
      <c r="O4" s="20" t="s">
        <v>64</v>
      </c>
      <c r="P4" s="20" t="s">
        <v>65</v>
      </c>
      <c r="Q4" s="20" t="s">
        <v>66</v>
      </c>
      <c r="R4" s="20" t="s">
        <v>67</v>
      </c>
      <c r="S4" s="20" t="s">
        <v>68</v>
      </c>
      <c r="T4" s="20" t="s">
        <v>69</v>
      </c>
    </row>
    <row r="5" spans="1:20" ht="24" customHeight="1">
      <c r="A5" s="21" t="s">
        <v>70</v>
      </c>
      <c r="B5" s="22" t="s">
        <v>71</v>
      </c>
      <c r="C5" s="22" t="s">
        <v>71</v>
      </c>
      <c r="D5" s="22" t="s">
        <v>71</v>
      </c>
      <c r="E5" s="22" t="s">
        <v>71</v>
      </c>
      <c r="F5" s="22" t="s">
        <v>72</v>
      </c>
      <c r="G5" s="22" t="s">
        <v>72</v>
      </c>
      <c r="H5" s="22" t="s">
        <v>72</v>
      </c>
      <c r="I5" s="22" t="s">
        <v>73</v>
      </c>
      <c r="J5" s="22" t="s">
        <v>73</v>
      </c>
      <c r="K5" s="22" t="s">
        <v>74</v>
      </c>
      <c r="L5" s="22" t="s">
        <v>74</v>
      </c>
      <c r="M5" s="22" t="s">
        <v>74</v>
      </c>
      <c r="N5" s="22" t="s">
        <v>75</v>
      </c>
      <c r="O5" s="22" t="s">
        <v>75</v>
      </c>
      <c r="P5" s="22" t="s">
        <v>75</v>
      </c>
      <c r="Q5" s="22" t="s">
        <v>76</v>
      </c>
      <c r="R5" s="22" t="s">
        <v>76</v>
      </c>
      <c r="S5" s="22" t="s">
        <v>76</v>
      </c>
      <c r="T5" s="23" t="s">
        <v>77</v>
      </c>
    </row>
    <row r="6" spans="1:20" ht="80.05" customHeight="1">
      <c r="A6" s="21" t="s">
        <v>78</v>
      </c>
      <c r="B6" s="24" t="s">
        <v>79</v>
      </c>
      <c r="C6" s="24" t="s">
        <v>80</v>
      </c>
      <c r="D6" s="24" t="s">
        <v>81</v>
      </c>
      <c r="E6" s="24" t="s">
        <v>82</v>
      </c>
      <c r="F6" s="24" t="s">
        <v>83</v>
      </c>
      <c r="G6" s="24" t="s">
        <v>84</v>
      </c>
      <c r="H6" s="24" t="s">
        <v>85</v>
      </c>
      <c r="I6" s="24" t="s">
        <v>86</v>
      </c>
      <c r="J6" s="24" t="s">
        <v>87</v>
      </c>
      <c r="K6" s="24" t="s">
        <v>88</v>
      </c>
      <c r="L6" s="24" t="s">
        <v>89</v>
      </c>
      <c r="M6" s="24" t="s">
        <v>90</v>
      </c>
      <c r="N6" s="24" t="s">
        <v>91</v>
      </c>
      <c r="O6" s="24" t="s">
        <v>92</v>
      </c>
      <c r="P6" s="24" t="s">
        <v>93</v>
      </c>
      <c r="Q6" s="24" t="s">
        <v>94</v>
      </c>
      <c r="R6" s="24" t="s">
        <v>95</v>
      </c>
      <c r="S6" s="24" t="s">
        <v>96</v>
      </c>
      <c r="T6" s="25" t="s">
        <v>97</v>
      </c>
    </row>
    <row r="7" spans="1:20" ht="95.05" customHeight="1">
      <c r="A7" s="21" t="s">
        <v>98</v>
      </c>
      <c r="B7" s="24" t="s">
        <v>99</v>
      </c>
      <c r="C7" s="24" t="s">
        <v>100</v>
      </c>
      <c r="D7" s="24" t="s">
        <v>101</v>
      </c>
      <c r="E7" s="24" t="s">
        <v>102</v>
      </c>
      <c r="F7" s="24" t="s">
        <v>103</v>
      </c>
      <c r="G7" s="24" t="s">
        <v>104</v>
      </c>
      <c r="H7" s="24" t="s">
        <v>105</v>
      </c>
      <c r="I7" s="24" t="s">
        <v>106</v>
      </c>
      <c r="J7" s="24" t="s">
        <v>107</v>
      </c>
      <c r="K7" s="24" t="s">
        <v>108</v>
      </c>
      <c r="L7" s="24" t="s">
        <v>109</v>
      </c>
      <c r="M7" s="24" t="s">
        <v>110</v>
      </c>
      <c r="N7" s="24" t="s">
        <v>111</v>
      </c>
      <c r="O7" s="24" t="s">
        <v>112</v>
      </c>
      <c r="P7" s="24" t="s">
        <v>113</v>
      </c>
      <c r="Q7" s="24" t="s">
        <v>114</v>
      </c>
      <c r="R7" s="24" t="s">
        <v>115</v>
      </c>
      <c r="S7" s="24" t="s">
        <v>116</v>
      </c>
      <c r="T7" s="25" t="s">
        <v>117</v>
      </c>
    </row>
    <row r="8" spans="1:20" ht="150" customHeight="1">
      <c r="A8" s="21" t="s">
        <v>118</v>
      </c>
      <c r="B8" s="24" t="s">
        <v>119</v>
      </c>
      <c r="C8" s="24" t="s">
        <v>120</v>
      </c>
      <c r="D8" s="24" t="s">
        <v>121</v>
      </c>
      <c r="E8" s="24" t="s">
        <v>122</v>
      </c>
      <c r="F8" s="24" t="s">
        <v>123</v>
      </c>
      <c r="G8" s="24" t="s">
        <v>124</v>
      </c>
      <c r="H8" s="24" t="s">
        <v>125</v>
      </c>
      <c r="I8" s="24" t="s">
        <v>126</v>
      </c>
      <c r="J8" s="24" t="s">
        <v>127</v>
      </c>
      <c r="K8" s="24" t="s">
        <v>128</v>
      </c>
      <c r="L8" s="24" t="s">
        <v>129</v>
      </c>
      <c r="M8" s="24" t="s">
        <v>130</v>
      </c>
      <c r="N8" s="24" t="s">
        <v>131</v>
      </c>
      <c r="O8" s="24" t="s">
        <v>132</v>
      </c>
      <c r="P8" s="24" t="s">
        <v>133</v>
      </c>
      <c r="Q8" s="24" t="s">
        <v>134</v>
      </c>
      <c r="R8" s="24" t="s">
        <v>135</v>
      </c>
      <c r="S8" s="24" t="s">
        <v>136</v>
      </c>
      <c r="T8" s="25" t="s">
        <v>137</v>
      </c>
    </row>
    <row r="9" spans="1:20" ht="36" customHeight="1">
      <c r="A9" s="26" t="s">
        <v>138</v>
      </c>
      <c r="B9" s="27">
        <v>4</v>
      </c>
      <c r="C9" s="27">
        <v>4</v>
      </c>
      <c r="D9" s="27">
        <v>4</v>
      </c>
      <c r="E9" s="27">
        <v>2</v>
      </c>
      <c r="F9" s="27">
        <v>4</v>
      </c>
      <c r="G9" s="27">
        <v>4</v>
      </c>
      <c r="H9" s="27">
        <v>4</v>
      </c>
      <c r="I9" s="27">
        <v>4</v>
      </c>
      <c r="J9" s="27">
        <v>4</v>
      </c>
      <c r="K9" s="27">
        <v>4</v>
      </c>
      <c r="L9" s="27">
        <v>4</v>
      </c>
      <c r="M9" s="27">
        <v>4</v>
      </c>
      <c r="N9" s="27">
        <v>4</v>
      </c>
      <c r="O9" s="27">
        <v>4</v>
      </c>
      <c r="P9" s="27">
        <v>4</v>
      </c>
      <c r="Q9" s="27">
        <v>5</v>
      </c>
      <c r="R9" s="27">
        <v>4</v>
      </c>
      <c r="S9" s="27">
        <v>5</v>
      </c>
      <c r="T9" s="28">
        <f>IF(T10&gt;0, (T11/T10)*20, 0)</f>
        <v>79.334000000000003</v>
      </c>
    </row>
    <row r="10" spans="1:20" ht="22" customHeight="1">
      <c r="A10" s="21" t="s">
        <v>139</v>
      </c>
      <c r="B10" s="29">
        <v>0.05</v>
      </c>
      <c r="C10" s="29">
        <v>0.05</v>
      </c>
      <c r="D10" s="29">
        <v>0.05</v>
      </c>
      <c r="E10" s="29">
        <v>0.05</v>
      </c>
      <c r="F10" s="29">
        <v>6.6699999999999995E-2</v>
      </c>
      <c r="G10" s="29">
        <v>6.6699999999999995E-2</v>
      </c>
      <c r="H10" s="29">
        <v>6.6600000000000006E-2</v>
      </c>
      <c r="I10" s="29">
        <v>7.4999999999999997E-2</v>
      </c>
      <c r="J10" s="29">
        <v>7.4999999999999997E-2</v>
      </c>
      <c r="K10" s="29">
        <v>6.6699999999999995E-2</v>
      </c>
      <c r="L10" s="29">
        <v>6.6699999999999995E-2</v>
      </c>
      <c r="M10" s="29">
        <v>6.6600000000000006E-2</v>
      </c>
      <c r="N10" s="29">
        <v>0.05</v>
      </c>
      <c r="O10" s="29">
        <v>0.05</v>
      </c>
      <c r="P10" s="29">
        <v>0.05</v>
      </c>
      <c r="Q10" s="29">
        <v>3.3300000000000003E-2</v>
      </c>
      <c r="R10" s="29">
        <v>3.3300000000000003E-2</v>
      </c>
      <c r="S10" s="29">
        <v>3.3399999999999999E-2</v>
      </c>
      <c r="T10" s="29">
        <f>SUM(B10:S10)</f>
        <v>1</v>
      </c>
    </row>
    <row r="11" spans="1:20" ht="24" customHeight="1">
      <c r="A11" s="21" t="s">
        <v>140</v>
      </c>
      <c r="B11" s="30">
        <f t="shared" ref="B11:S11" si="0">B9*B10</f>
        <v>0.2</v>
      </c>
      <c r="C11" s="30">
        <f t="shared" si="0"/>
        <v>0.2</v>
      </c>
      <c r="D11" s="30">
        <f t="shared" si="0"/>
        <v>0.2</v>
      </c>
      <c r="E11" s="30">
        <f t="shared" si="0"/>
        <v>0.1</v>
      </c>
      <c r="F11" s="30">
        <f t="shared" si="0"/>
        <v>0.26679999999999998</v>
      </c>
      <c r="G11" s="30">
        <f t="shared" si="0"/>
        <v>0.26679999999999998</v>
      </c>
      <c r="H11" s="30">
        <f t="shared" si="0"/>
        <v>0.26640000000000003</v>
      </c>
      <c r="I11" s="30">
        <f t="shared" si="0"/>
        <v>0.3</v>
      </c>
      <c r="J11" s="30">
        <f t="shared" si="0"/>
        <v>0.3</v>
      </c>
      <c r="K11" s="30">
        <f t="shared" si="0"/>
        <v>0.26679999999999998</v>
      </c>
      <c r="L11" s="30">
        <f t="shared" si="0"/>
        <v>0.26679999999999998</v>
      </c>
      <c r="M11" s="30">
        <f t="shared" si="0"/>
        <v>0.26640000000000003</v>
      </c>
      <c r="N11" s="30">
        <f t="shared" si="0"/>
        <v>0.2</v>
      </c>
      <c r="O11" s="30">
        <f t="shared" si="0"/>
        <v>0.2</v>
      </c>
      <c r="P11" s="30">
        <f t="shared" si="0"/>
        <v>0.2</v>
      </c>
      <c r="Q11" s="30">
        <f t="shared" si="0"/>
        <v>0.16650000000000001</v>
      </c>
      <c r="R11" s="30">
        <f t="shared" si="0"/>
        <v>0.13320000000000001</v>
      </c>
      <c r="S11" s="30">
        <f t="shared" si="0"/>
        <v>0.16699999999999998</v>
      </c>
      <c r="T11" s="30">
        <f>SUM(B11:S11)</f>
        <v>3.9667000000000003</v>
      </c>
    </row>
    <row r="12" spans="1:20" ht="115" customHeight="1">
      <c r="A12" s="21" t="s">
        <v>141</v>
      </c>
      <c r="B12" s="24" t="s">
        <v>286</v>
      </c>
      <c r="C12" s="24" t="s">
        <v>287</v>
      </c>
      <c r="D12" s="24" t="s">
        <v>288</v>
      </c>
      <c r="E12" s="24" t="s">
        <v>289</v>
      </c>
      <c r="F12" s="24" t="s">
        <v>290</v>
      </c>
      <c r="G12" s="24" t="s">
        <v>291</v>
      </c>
      <c r="H12" s="24" t="s">
        <v>292</v>
      </c>
      <c r="I12" s="24" t="s">
        <v>293</v>
      </c>
      <c r="J12" s="24" t="s">
        <v>294</v>
      </c>
      <c r="K12" s="24" t="s">
        <v>295</v>
      </c>
      <c r="L12" s="24" t="s">
        <v>296</v>
      </c>
      <c r="M12" s="24" t="s">
        <v>297</v>
      </c>
      <c r="N12" s="24" t="s">
        <v>298</v>
      </c>
      <c r="O12" s="24" t="s">
        <v>299</v>
      </c>
      <c r="P12" s="24" t="s">
        <v>300</v>
      </c>
      <c r="Q12" s="24" t="s">
        <v>301</v>
      </c>
      <c r="R12" s="24" t="s">
        <v>302</v>
      </c>
      <c r="S12" s="24" t="s">
        <v>303</v>
      </c>
      <c r="T12" s="31" t="str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>ผ่านแบบมีเงื่อนไข (CONDITIONALLY VIABLE)</v>
      </c>
    </row>
    <row r="13" spans="1:20" ht="70" customHeight="1">
      <c r="A13" s="21" t="s">
        <v>160</v>
      </c>
      <c r="B13" s="24" t="s">
        <v>304</v>
      </c>
      <c r="C13" s="24" t="s">
        <v>305</v>
      </c>
      <c r="D13" s="24" t="s">
        <v>306</v>
      </c>
      <c r="E13" s="24" t="s">
        <v>307</v>
      </c>
      <c r="F13" s="24" t="s">
        <v>308</v>
      </c>
      <c r="G13" s="24" t="s">
        <v>309</v>
      </c>
      <c r="H13" s="24" t="s">
        <v>310</v>
      </c>
      <c r="I13" s="24" t="s">
        <v>311</v>
      </c>
      <c r="J13" s="24" t="s">
        <v>312</v>
      </c>
      <c r="K13" s="24" t="s">
        <v>313</v>
      </c>
      <c r="L13" s="24" t="s">
        <v>314</v>
      </c>
      <c r="M13" s="24" t="s">
        <v>315</v>
      </c>
      <c r="N13" s="24" t="s">
        <v>316</v>
      </c>
      <c r="O13" s="24" t="s">
        <v>317</v>
      </c>
      <c r="P13" s="24" t="s">
        <v>318</v>
      </c>
      <c r="Q13" s="24" t="s">
        <v>319</v>
      </c>
      <c r="R13" s="24" t="s">
        <v>320</v>
      </c>
      <c r="S13" s="24" t="s">
        <v>321</v>
      </c>
      <c r="T13" s="23" t="s">
        <v>179</v>
      </c>
    </row>
    <row r="14" spans="1:20" ht="15" customHeight="1"/>
    <row r="15" spans="1:20" ht="26.05" customHeight="1">
      <c r="A15" s="17" t="s">
        <v>180</v>
      </c>
    </row>
    <row r="16" spans="1:20" ht="24" customHeight="1">
      <c r="A16" s="32" t="s">
        <v>70</v>
      </c>
      <c r="B16" s="32" t="s">
        <v>181</v>
      </c>
      <c r="C16" s="32" t="s">
        <v>182</v>
      </c>
      <c r="D16" s="32" t="s">
        <v>183</v>
      </c>
      <c r="E16" s="32" t="s">
        <v>184</v>
      </c>
      <c r="F16" s="32" t="s">
        <v>185</v>
      </c>
    </row>
    <row r="17" spans="1:6" ht="22" customHeight="1">
      <c r="A17" s="33" t="s">
        <v>186</v>
      </c>
      <c r="B17" s="34">
        <v>0.2</v>
      </c>
      <c r="C17" s="35">
        <v>20</v>
      </c>
      <c r="D17" s="36">
        <f>SUM(B11:E11)*20</f>
        <v>14.000000000000002</v>
      </c>
      <c r="E17" s="37">
        <f t="shared" ref="E17:E23" si="1">IF(C17&gt;0, (D17/C17)*5, 0)</f>
        <v>3.5000000000000004</v>
      </c>
      <c r="F17" s="23" t="str">
        <f>IF(D17&gt;=16, "พร้อมระดับสูง (High)", IF(D17&gt;=12, "ปานกลาง (Medium)", "เสี่ยงวิกฤต (Critical)"))</f>
        <v>ปานกลาง (Medium)</v>
      </c>
    </row>
    <row r="18" spans="1:6" ht="22" customHeight="1">
      <c r="A18" s="33" t="s">
        <v>187</v>
      </c>
      <c r="B18" s="34">
        <v>0.2</v>
      </c>
      <c r="C18" s="35">
        <v>20</v>
      </c>
      <c r="D18" s="36">
        <f>SUM(F11:H11)*20</f>
        <v>16</v>
      </c>
      <c r="E18" s="37">
        <f t="shared" si="1"/>
        <v>4</v>
      </c>
      <c r="F18" s="23" t="str">
        <f>IF(D18&gt;=16, "พร้อมระดับสูง (High)", IF(D18&gt;=12, "ปานกลาง (Medium)", "เสี่ยงวิกฤต (Critical)"))</f>
        <v>พร้อมระดับสูง (High)</v>
      </c>
    </row>
    <row r="19" spans="1:6" ht="22" customHeight="1">
      <c r="A19" s="33" t="s">
        <v>188</v>
      </c>
      <c r="B19" s="34">
        <v>0.15</v>
      </c>
      <c r="C19" s="35">
        <v>15</v>
      </c>
      <c r="D19" s="36">
        <f>SUM(I11:J11)*20</f>
        <v>12</v>
      </c>
      <c r="E19" s="37">
        <f t="shared" si="1"/>
        <v>4</v>
      </c>
      <c r="F19" s="23" t="str">
        <f>IF(D19&gt;=12, "พร้อมระดับสูง (High)", IF(D19&gt;=9, "ปานกลาง (Medium)", "เสี่ยงวิกฤต (Critical)"))</f>
        <v>พร้อมระดับสูง (High)</v>
      </c>
    </row>
    <row r="20" spans="1:6" ht="22" customHeight="1">
      <c r="A20" s="33" t="s">
        <v>189</v>
      </c>
      <c r="B20" s="34">
        <v>0.2</v>
      </c>
      <c r="C20" s="35">
        <v>20</v>
      </c>
      <c r="D20" s="36">
        <f>SUM(K11:M11)*20</f>
        <v>16</v>
      </c>
      <c r="E20" s="37">
        <f t="shared" si="1"/>
        <v>4</v>
      </c>
      <c r="F20" s="23" t="str">
        <f>IF(D20&gt;=16, "พร้อมระดับสูง (High)", IF(D20&gt;=12, "ปานกลาง (Medium)", "เสี่ยงวิกฤต (Critical)"))</f>
        <v>พร้อมระดับสูง (High)</v>
      </c>
    </row>
    <row r="21" spans="1:6" ht="22" customHeight="1">
      <c r="A21" s="33" t="s">
        <v>190</v>
      </c>
      <c r="B21" s="34">
        <v>0.15</v>
      </c>
      <c r="C21" s="35">
        <v>15</v>
      </c>
      <c r="D21" s="36">
        <f>SUM(N11:P11)*20</f>
        <v>12.000000000000002</v>
      </c>
      <c r="E21" s="37">
        <f t="shared" si="1"/>
        <v>4.0000000000000009</v>
      </c>
      <c r="F21" s="23" t="str">
        <f>IF(D21&gt;=12, "พร้อมระดับสูง (High)", IF(D21&gt;=9, "ปานกลาง (Medium)", "เสี่ยงวิกฤต (Critical)"))</f>
        <v>พร้อมระดับสูง (High)</v>
      </c>
    </row>
    <row r="22" spans="1:6" ht="22" customHeight="1">
      <c r="A22" s="33" t="s">
        <v>191</v>
      </c>
      <c r="B22" s="34">
        <v>0.1</v>
      </c>
      <c r="C22" s="35">
        <v>10</v>
      </c>
      <c r="D22" s="36">
        <f>SUM(Q11:S11)*20</f>
        <v>9.3339999999999996</v>
      </c>
      <c r="E22" s="37">
        <f t="shared" si="1"/>
        <v>4.6669999999999998</v>
      </c>
      <c r="F22" s="23" t="str">
        <f>IF(D22&gt;=8, "พร้อมระดับสูง (High)", IF(D22&gt;=6, "ปานกลาง (Medium)", "เสี่ยงวิกฤต (Critical)"))</f>
        <v>พร้อมระดับสูง (High)</v>
      </c>
    </row>
    <row r="23" spans="1:6" ht="26.05" customHeight="1">
      <c r="A23" s="38" t="s">
        <v>192</v>
      </c>
      <c r="B23" s="29">
        <f>SUM(B17:B22)</f>
        <v>1</v>
      </c>
      <c r="C23" s="39">
        <f>SUM(C17:C22)</f>
        <v>100</v>
      </c>
      <c r="D23" s="40">
        <f>SUM(D17:D22)</f>
        <v>79.334000000000003</v>
      </c>
      <c r="E23" s="30">
        <f t="shared" si="1"/>
        <v>3.9667000000000003</v>
      </c>
      <c r="F23" s="41" t="str">
        <f>IF(D23&gt;=80, "ผ่านเกณฑ์ระดับสูง (HIGHLY VIABLE)", IF(D23&gt;=60, "ผ่านแบบมีเงื่อนไข (CONDITIONALLY VIABLE)", "ความเสี่ยงสูง (HIGH RISK)"))</f>
        <v>ผ่านแบบมีเงื่อนไข (CONDITIONALLY VIABLE)</v>
      </c>
    </row>
    <row r="24" spans="1:6" ht="12" customHeight="1"/>
    <row r="25" spans="1:6" ht="26.05" customHeight="1">
      <c r="A25" s="17" t="s">
        <v>193</v>
      </c>
    </row>
    <row r="26" spans="1:6" ht="22" customHeight="1">
      <c r="A26" s="18" t="s">
        <v>194</v>
      </c>
    </row>
    <row r="27" spans="1:6" ht="24" customHeight="1">
      <c r="A27" s="42" t="s">
        <v>195</v>
      </c>
      <c r="B27" s="42" t="s">
        <v>196</v>
      </c>
      <c r="C27" s="42" t="s">
        <v>197</v>
      </c>
      <c r="D27" s="42" t="s">
        <v>198</v>
      </c>
      <c r="E27" s="42" t="s">
        <v>199</v>
      </c>
      <c r="F27" s="42" t="s">
        <v>200</v>
      </c>
    </row>
    <row r="28" spans="1:6" ht="95.05" customHeight="1">
      <c r="A28" s="43" t="s">
        <v>201</v>
      </c>
      <c r="B28" s="44">
        <v>6.5</v>
      </c>
      <c r="C28" s="24" t="s">
        <v>322</v>
      </c>
      <c r="D28" s="24" t="s">
        <v>323</v>
      </c>
      <c r="E28" s="24" t="s">
        <v>324</v>
      </c>
      <c r="F28" s="24" t="s">
        <v>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8"/>
  <sheetViews>
    <sheetView workbookViewId="0"/>
  </sheetViews>
  <sheetFormatPr defaultRowHeight="14.6"/>
  <cols>
    <col min="1" max="1" width="38" customWidth="1"/>
    <col min="2" max="20" width="36" customWidth="1"/>
  </cols>
  <sheetData>
    <row r="1" spans="1:20" ht="19.3">
      <c r="A1" s="17" t="s">
        <v>325</v>
      </c>
    </row>
    <row r="2" spans="1:20" ht="15">
      <c r="A2" s="18" t="s">
        <v>49</v>
      </c>
    </row>
    <row r="4" spans="1:20" ht="24" customHeight="1">
      <c r="A4" s="19" t="s">
        <v>50</v>
      </c>
      <c r="B4" s="20" t="s">
        <v>51</v>
      </c>
      <c r="C4" s="20" t="s">
        <v>52</v>
      </c>
      <c r="D4" s="20" t="s">
        <v>53</v>
      </c>
      <c r="E4" s="20" t="s">
        <v>54</v>
      </c>
      <c r="F4" s="20" t="s">
        <v>55</v>
      </c>
      <c r="G4" s="20" t="s">
        <v>56</v>
      </c>
      <c r="H4" s="20" t="s">
        <v>57</v>
      </c>
      <c r="I4" s="20" t="s">
        <v>58</v>
      </c>
      <c r="J4" s="20" t="s">
        <v>59</v>
      </c>
      <c r="K4" s="20" t="s">
        <v>60</v>
      </c>
      <c r="L4" s="20" t="s">
        <v>61</v>
      </c>
      <c r="M4" s="20" t="s">
        <v>62</v>
      </c>
      <c r="N4" s="20" t="s">
        <v>63</v>
      </c>
      <c r="O4" s="20" t="s">
        <v>64</v>
      </c>
      <c r="P4" s="20" t="s">
        <v>65</v>
      </c>
      <c r="Q4" s="20" t="s">
        <v>66</v>
      </c>
      <c r="R4" s="20" t="s">
        <v>67</v>
      </c>
      <c r="S4" s="20" t="s">
        <v>68</v>
      </c>
      <c r="T4" s="20" t="s">
        <v>69</v>
      </c>
    </row>
    <row r="5" spans="1:20" ht="24" customHeight="1">
      <c r="A5" s="21" t="s">
        <v>70</v>
      </c>
      <c r="B5" s="22" t="s">
        <v>71</v>
      </c>
      <c r="C5" s="22" t="s">
        <v>71</v>
      </c>
      <c r="D5" s="22" t="s">
        <v>71</v>
      </c>
      <c r="E5" s="22" t="s">
        <v>71</v>
      </c>
      <c r="F5" s="22" t="s">
        <v>72</v>
      </c>
      <c r="G5" s="22" t="s">
        <v>72</v>
      </c>
      <c r="H5" s="22" t="s">
        <v>72</v>
      </c>
      <c r="I5" s="22" t="s">
        <v>73</v>
      </c>
      <c r="J5" s="22" t="s">
        <v>73</v>
      </c>
      <c r="K5" s="22" t="s">
        <v>74</v>
      </c>
      <c r="L5" s="22" t="s">
        <v>74</v>
      </c>
      <c r="M5" s="22" t="s">
        <v>74</v>
      </c>
      <c r="N5" s="22" t="s">
        <v>75</v>
      </c>
      <c r="O5" s="22" t="s">
        <v>75</v>
      </c>
      <c r="P5" s="22" t="s">
        <v>75</v>
      </c>
      <c r="Q5" s="22" t="s">
        <v>76</v>
      </c>
      <c r="R5" s="22" t="s">
        <v>76</v>
      </c>
      <c r="S5" s="22" t="s">
        <v>76</v>
      </c>
      <c r="T5" s="23" t="s">
        <v>77</v>
      </c>
    </row>
    <row r="6" spans="1:20" ht="80.05" customHeight="1">
      <c r="A6" s="21" t="s">
        <v>78</v>
      </c>
      <c r="B6" s="24" t="s">
        <v>79</v>
      </c>
      <c r="C6" s="24" t="s">
        <v>80</v>
      </c>
      <c r="D6" s="24" t="s">
        <v>81</v>
      </c>
      <c r="E6" s="24" t="s">
        <v>82</v>
      </c>
      <c r="F6" s="24" t="s">
        <v>83</v>
      </c>
      <c r="G6" s="24" t="s">
        <v>84</v>
      </c>
      <c r="H6" s="24" t="s">
        <v>85</v>
      </c>
      <c r="I6" s="24" t="s">
        <v>86</v>
      </c>
      <c r="J6" s="24" t="s">
        <v>87</v>
      </c>
      <c r="K6" s="24" t="s">
        <v>88</v>
      </c>
      <c r="L6" s="24" t="s">
        <v>89</v>
      </c>
      <c r="M6" s="24" t="s">
        <v>90</v>
      </c>
      <c r="N6" s="24" t="s">
        <v>91</v>
      </c>
      <c r="O6" s="24" t="s">
        <v>92</v>
      </c>
      <c r="P6" s="24" t="s">
        <v>93</v>
      </c>
      <c r="Q6" s="24" t="s">
        <v>94</v>
      </c>
      <c r="R6" s="24" t="s">
        <v>95</v>
      </c>
      <c r="S6" s="24" t="s">
        <v>96</v>
      </c>
      <c r="T6" s="25" t="s">
        <v>97</v>
      </c>
    </row>
    <row r="7" spans="1:20" ht="95.05" customHeight="1">
      <c r="A7" s="21" t="s">
        <v>98</v>
      </c>
      <c r="B7" s="24" t="s">
        <v>99</v>
      </c>
      <c r="C7" s="24" t="s">
        <v>100</v>
      </c>
      <c r="D7" s="24" t="s">
        <v>101</v>
      </c>
      <c r="E7" s="24" t="s">
        <v>102</v>
      </c>
      <c r="F7" s="24" t="s">
        <v>103</v>
      </c>
      <c r="G7" s="24" t="s">
        <v>104</v>
      </c>
      <c r="H7" s="24" t="s">
        <v>105</v>
      </c>
      <c r="I7" s="24" t="s">
        <v>106</v>
      </c>
      <c r="J7" s="24" t="s">
        <v>107</v>
      </c>
      <c r="K7" s="24" t="s">
        <v>108</v>
      </c>
      <c r="L7" s="24" t="s">
        <v>109</v>
      </c>
      <c r="M7" s="24" t="s">
        <v>110</v>
      </c>
      <c r="N7" s="24" t="s">
        <v>111</v>
      </c>
      <c r="O7" s="24" t="s">
        <v>112</v>
      </c>
      <c r="P7" s="24" t="s">
        <v>113</v>
      </c>
      <c r="Q7" s="24" t="s">
        <v>114</v>
      </c>
      <c r="R7" s="24" t="s">
        <v>115</v>
      </c>
      <c r="S7" s="24" t="s">
        <v>116</v>
      </c>
      <c r="T7" s="25" t="s">
        <v>117</v>
      </c>
    </row>
    <row r="8" spans="1:20" ht="150" customHeight="1">
      <c r="A8" s="21" t="s">
        <v>118</v>
      </c>
      <c r="B8" s="24" t="s">
        <v>119</v>
      </c>
      <c r="C8" s="24" t="s">
        <v>120</v>
      </c>
      <c r="D8" s="24" t="s">
        <v>121</v>
      </c>
      <c r="E8" s="24" t="s">
        <v>122</v>
      </c>
      <c r="F8" s="24" t="s">
        <v>123</v>
      </c>
      <c r="G8" s="24" t="s">
        <v>124</v>
      </c>
      <c r="H8" s="24" t="s">
        <v>125</v>
      </c>
      <c r="I8" s="24" t="s">
        <v>126</v>
      </c>
      <c r="J8" s="24" t="s">
        <v>127</v>
      </c>
      <c r="K8" s="24" t="s">
        <v>128</v>
      </c>
      <c r="L8" s="24" t="s">
        <v>129</v>
      </c>
      <c r="M8" s="24" t="s">
        <v>130</v>
      </c>
      <c r="N8" s="24" t="s">
        <v>131</v>
      </c>
      <c r="O8" s="24" t="s">
        <v>132</v>
      </c>
      <c r="P8" s="24" t="s">
        <v>133</v>
      </c>
      <c r="Q8" s="24" t="s">
        <v>134</v>
      </c>
      <c r="R8" s="24" t="s">
        <v>135</v>
      </c>
      <c r="S8" s="24" t="s">
        <v>136</v>
      </c>
      <c r="T8" s="25" t="s">
        <v>137</v>
      </c>
    </row>
    <row r="9" spans="1:20" ht="36" customHeight="1">
      <c r="A9" s="26" t="s">
        <v>138</v>
      </c>
      <c r="B9" s="27">
        <v>4</v>
      </c>
      <c r="C9" s="27">
        <v>4</v>
      </c>
      <c r="D9" s="27">
        <v>4</v>
      </c>
      <c r="E9" s="27">
        <v>3</v>
      </c>
      <c r="F9" s="27">
        <v>3</v>
      </c>
      <c r="G9" s="27">
        <v>4</v>
      </c>
      <c r="H9" s="27">
        <v>4</v>
      </c>
      <c r="I9" s="27">
        <v>3</v>
      </c>
      <c r="J9" s="27">
        <v>4</v>
      </c>
      <c r="K9" s="27">
        <v>4</v>
      </c>
      <c r="L9" s="27">
        <v>4</v>
      </c>
      <c r="M9" s="27">
        <v>3</v>
      </c>
      <c r="N9" s="27">
        <v>4</v>
      </c>
      <c r="O9" s="27">
        <v>4</v>
      </c>
      <c r="P9" s="27">
        <v>4</v>
      </c>
      <c r="Q9" s="27">
        <v>5</v>
      </c>
      <c r="R9" s="27">
        <v>4</v>
      </c>
      <c r="S9" s="27">
        <v>5</v>
      </c>
      <c r="T9" s="28">
        <f>IF(T10&gt;0, (T11/T10)*20, 0)</f>
        <v>76.168000000000006</v>
      </c>
    </row>
    <row r="10" spans="1:20" ht="22" customHeight="1">
      <c r="A10" s="21" t="s">
        <v>139</v>
      </c>
      <c r="B10" s="29">
        <v>0.05</v>
      </c>
      <c r="C10" s="29">
        <v>0.05</v>
      </c>
      <c r="D10" s="29">
        <v>0.05</v>
      </c>
      <c r="E10" s="29">
        <v>0.05</v>
      </c>
      <c r="F10" s="29">
        <v>6.6699999999999995E-2</v>
      </c>
      <c r="G10" s="29">
        <v>6.6699999999999995E-2</v>
      </c>
      <c r="H10" s="29">
        <v>6.6600000000000006E-2</v>
      </c>
      <c r="I10" s="29">
        <v>7.4999999999999997E-2</v>
      </c>
      <c r="J10" s="29">
        <v>7.4999999999999997E-2</v>
      </c>
      <c r="K10" s="29">
        <v>6.6699999999999995E-2</v>
      </c>
      <c r="L10" s="29">
        <v>6.6699999999999995E-2</v>
      </c>
      <c r="M10" s="29">
        <v>6.6600000000000006E-2</v>
      </c>
      <c r="N10" s="29">
        <v>0.05</v>
      </c>
      <c r="O10" s="29">
        <v>0.05</v>
      </c>
      <c r="P10" s="29">
        <v>0.05</v>
      </c>
      <c r="Q10" s="29">
        <v>3.3300000000000003E-2</v>
      </c>
      <c r="R10" s="29">
        <v>3.3300000000000003E-2</v>
      </c>
      <c r="S10" s="29">
        <v>3.3399999999999999E-2</v>
      </c>
      <c r="T10" s="29">
        <f>SUM(B10:S10)</f>
        <v>1</v>
      </c>
    </row>
    <row r="11" spans="1:20" ht="24" customHeight="1">
      <c r="A11" s="21" t="s">
        <v>140</v>
      </c>
      <c r="B11" s="30">
        <f t="shared" ref="B11:S11" si="0">B9*B10</f>
        <v>0.2</v>
      </c>
      <c r="C11" s="30">
        <f t="shared" si="0"/>
        <v>0.2</v>
      </c>
      <c r="D11" s="30">
        <f t="shared" si="0"/>
        <v>0.2</v>
      </c>
      <c r="E11" s="30">
        <f t="shared" si="0"/>
        <v>0.15000000000000002</v>
      </c>
      <c r="F11" s="30">
        <f t="shared" si="0"/>
        <v>0.2001</v>
      </c>
      <c r="G11" s="30">
        <f t="shared" si="0"/>
        <v>0.26679999999999998</v>
      </c>
      <c r="H11" s="30">
        <f t="shared" si="0"/>
        <v>0.26640000000000003</v>
      </c>
      <c r="I11" s="30">
        <f t="shared" si="0"/>
        <v>0.22499999999999998</v>
      </c>
      <c r="J11" s="30">
        <f t="shared" si="0"/>
        <v>0.3</v>
      </c>
      <c r="K11" s="30">
        <f t="shared" si="0"/>
        <v>0.26679999999999998</v>
      </c>
      <c r="L11" s="30">
        <f t="shared" si="0"/>
        <v>0.26679999999999998</v>
      </c>
      <c r="M11" s="30">
        <f t="shared" si="0"/>
        <v>0.19980000000000003</v>
      </c>
      <c r="N11" s="30">
        <f t="shared" si="0"/>
        <v>0.2</v>
      </c>
      <c r="O11" s="30">
        <f t="shared" si="0"/>
        <v>0.2</v>
      </c>
      <c r="P11" s="30">
        <f t="shared" si="0"/>
        <v>0.2</v>
      </c>
      <c r="Q11" s="30">
        <f t="shared" si="0"/>
        <v>0.16650000000000001</v>
      </c>
      <c r="R11" s="30">
        <f t="shared" si="0"/>
        <v>0.13320000000000001</v>
      </c>
      <c r="S11" s="30">
        <f t="shared" si="0"/>
        <v>0.16699999999999998</v>
      </c>
      <c r="T11" s="30">
        <f>SUM(B11:S11)</f>
        <v>3.8084000000000002</v>
      </c>
    </row>
    <row r="12" spans="1:20" ht="115" customHeight="1">
      <c r="A12" s="21" t="s">
        <v>141</v>
      </c>
      <c r="B12" s="24" t="s">
        <v>326</v>
      </c>
      <c r="C12" s="24" t="s">
        <v>327</v>
      </c>
      <c r="D12" s="24" t="s">
        <v>328</v>
      </c>
      <c r="E12" s="24" t="s">
        <v>329</v>
      </c>
      <c r="F12" s="24" t="s">
        <v>330</v>
      </c>
      <c r="G12" s="24" t="s">
        <v>331</v>
      </c>
      <c r="H12" s="24" t="s">
        <v>332</v>
      </c>
      <c r="I12" s="24" t="s">
        <v>333</v>
      </c>
      <c r="J12" s="24" t="s">
        <v>334</v>
      </c>
      <c r="K12" s="24" t="s">
        <v>335</v>
      </c>
      <c r="L12" s="24" t="s">
        <v>336</v>
      </c>
      <c r="M12" s="24" t="s">
        <v>337</v>
      </c>
      <c r="N12" s="24" t="s">
        <v>338</v>
      </c>
      <c r="O12" s="24" t="s">
        <v>339</v>
      </c>
      <c r="P12" s="24" t="s">
        <v>340</v>
      </c>
      <c r="Q12" s="24" t="s">
        <v>341</v>
      </c>
      <c r="R12" s="24" t="s">
        <v>342</v>
      </c>
      <c r="S12" s="24" t="s">
        <v>343</v>
      </c>
      <c r="T12" s="31" t="str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>ผ่านแบบมีเงื่อนไข (CONDITIONALLY VIABLE)</v>
      </c>
    </row>
    <row r="13" spans="1:20" ht="70" customHeight="1">
      <c r="A13" s="21" t="s">
        <v>160</v>
      </c>
      <c r="B13" s="24" t="s">
        <v>344</v>
      </c>
      <c r="C13" s="24" t="s">
        <v>345</v>
      </c>
      <c r="D13" s="24" t="s">
        <v>346</v>
      </c>
      <c r="E13" s="24" t="s">
        <v>347</v>
      </c>
      <c r="F13" s="24" t="s">
        <v>348</v>
      </c>
      <c r="G13" s="24" t="s">
        <v>349</v>
      </c>
      <c r="H13" s="24" t="s">
        <v>350</v>
      </c>
      <c r="I13" s="24" t="s">
        <v>351</v>
      </c>
      <c r="J13" s="24" t="s">
        <v>352</v>
      </c>
      <c r="K13" s="24" t="s">
        <v>353</v>
      </c>
      <c r="L13" s="24" t="s">
        <v>354</v>
      </c>
      <c r="M13" s="24" t="s">
        <v>355</v>
      </c>
      <c r="N13" s="24" t="s">
        <v>356</v>
      </c>
      <c r="O13" s="24" t="s">
        <v>357</v>
      </c>
      <c r="P13" s="24" t="s">
        <v>358</v>
      </c>
      <c r="Q13" s="24" t="s">
        <v>359</v>
      </c>
      <c r="R13" s="24" t="s">
        <v>360</v>
      </c>
      <c r="S13" s="24" t="s">
        <v>361</v>
      </c>
      <c r="T13" s="23" t="s">
        <v>179</v>
      </c>
    </row>
    <row r="14" spans="1:20" ht="15" customHeight="1"/>
    <row r="15" spans="1:20" ht="26.05" customHeight="1">
      <c r="A15" s="17" t="s">
        <v>180</v>
      </c>
    </row>
    <row r="16" spans="1:20" ht="24" customHeight="1">
      <c r="A16" s="32" t="s">
        <v>70</v>
      </c>
      <c r="B16" s="32" t="s">
        <v>181</v>
      </c>
      <c r="C16" s="32" t="s">
        <v>182</v>
      </c>
      <c r="D16" s="32" t="s">
        <v>183</v>
      </c>
      <c r="E16" s="32" t="s">
        <v>184</v>
      </c>
      <c r="F16" s="32" t="s">
        <v>185</v>
      </c>
    </row>
    <row r="17" spans="1:6" ht="22" customHeight="1">
      <c r="A17" s="33" t="s">
        <v>186</v>
      </c>
      <c r="B17" s="34">
        <v>0.2</v>
      </c>
      <c r="C17" s="35">
        <v>20</v>
      </c>
      <c r="D17" s="36">
        <f>SUM(B11:E11)*20</f>
        <v>15.000000000000002</v>
      </c>
      <c r="E17" s="37">
        <f t="shared" ref="E17:E23" si="1">IF(C17&gt;0, (D17/C17)*5, 0)</f>
        <v>3.7500000000000004</v>
      </c>
      <c r="F17" s="23" t="str">
        <f>IF(D17&gt;=16, "พร้อมระดับสูง (High)", IF(D17&gt;=12, "ปานกลาง (Medium)", "เสี่ยงวิกฤต (Critical)"))</f>
        <v>ปานกลาง (Medium)</v>
      </c>
    </row>
    <row r="18" spans="1:6" ht="22" customHeight="1">
      <c r="A18" s="33" t="s">
        <v>187</v>
      </c>
      <c r="B18" s="34">
        <v>0.2</v>
      </c>
      <c r="C18" s="35">
        <v>20</v>
      </c>
      <c r="D18" s="36">
        <f>SUM(F11:H11)*20</f>
        <v>14.666</v>
      </c>
      <c r="E18" s="37">
        <f t="shared" si="1"/>
        <v>3.6665000000000001</v>
      </c>
      <c r="F18" s="23" t="str">
        <f>IF(D18&gt;=16, "พร้อมระดับสูง (High)", IF(D18&gt;=12, "ปานกลาง (Medium)", "เสี่ยงวิกฤต (Critical)"))</f>
        <v>ปานกลาง (Medium)</v>
      </c>
    </row>
    <row r="19" spans="1:6" ht="22" customHeight="1">
      <c r="A19" s="33" t="s">
        <v>188</v>
      </c>
      <c r="B19" s="34">
        <v>0.15</v>
      </c>
      <c r="C19" s="35">
        <v>15</v>
      </c>
      <c r="D19" s="36">
        <f>SUM(I11:J11)*20</f>
        <v>10.499999999999998</v>
      </c>
      <c r="E19" s="37">
        <f t="shared" si="1"/>
        <v>3.4999999999999991</v>
      </c>
      <c r="F19" s="23" t="str">
        <f>IF(D19&gt;=12, "พร้อมระดับสูง (High)", IF(D19&gt;=9, "ปานกลาง (Medium)", "เสี่ยงวิกฤต (Critical)"))</f>
        <v>ปานกลาง (Medium)</v>
      </c>
    </row>
    <row r="20" spans="1:6" ht="22" customHeight="1">
      <c r="A20" s="33" t="s">
        <v>189</v>
      </c>
      <c r="B20" s="34">
        <v>0.2</v>
      </c>
      <c r="C20" s="35">
        <v>20</v>
      </c>
      <c r="D20" s="36">
        <f>SUM(K11:M11)*20</f>
        <v>14.668000000000001</v>
      </c>
      <c r="E20" s="37">
        <f t="shared" si="1"/>
        <v>3.6670000000000003</v>
      </c>
      <c r="F20" s="23" t="str">
        <f>IF(D20&gt;=16, "พร้อมระดับสูง (High)", IF(D20&gt;=12, "ปานกลาง (Medium)", "เสี่ยงวิกฤต (Critical)"))</f>
        <v>ปานกลาง (Medium)</v>
      </c>
    </row>
    <row r="21" spans="1:6" ht="22" customHeight="1">
      <c r="A21" s="33" t="s">
        <v>190</v>
      </c>
      <c r="B21" s="34">
        <v>0.15</v>
      </c>
      <c r="C21" s="35">
        <v>15</v>
      </c>
      <c r="D21" s="36">
        <f>SUM(N11:P11)*20</f>
        <v>12.000000000000002</v>
      </c>
      <c r="E21" s="37">
        <f t="shared" si="1"/>
        <v>4.0000000000000009</v>
      </c>
      <c r="F21" s="23" t="str">
        <f>IF(D21&gt;=12, "พร้อมระดับสูง (High)", IF(D21&gt;=9, "ปานกลาง (Medium)", "เสี่ยงวิกฤต (Critical)"))</f>
        <v>พร้อมระดับสูง (High)</v>
      </c>
    </row>
    <row r="22" spans="1:6" ht="22" customHeight="1">
      <c r="A22" s="33" t="s">
        <v>191</v>
      </c>
      <c r="B22" s="34">
        <v>0.1</v>
      </c>
      <c r="C22" s="35">
        <v>10</v>
      </c>
      <c r="D22" s="36">
        <f>SUM(Q11:S11)*20</f>
        <v>9.3339999999999996</v>
      </c>
      <c r="E22" s="37">
        <f t="shared" si="1"/>
        <v>4.6669999999999998</v>
      </c>
      <c r="F22" s="23" t="str">
        <f>IF(D22&gt;=8, "พร้อมระดับสูง (High)", IF(D22&gt;=6, "ปานกลาง (Medium)", "เสี่ยงวิกฤต (Critical)"))</f>
        <v>พร้อมระดับสูง (High)</v>
      </c>
    </row>
    <row r="23" spans="1:6" ht="26.05" customHeight="1">
      <c r="A23" s="38" t="s">
        <v>192</v>
      </c>
      <c r="B23" s="29">
        <f>SUM(B17:B22)</f>
        <v>1</v>
      </c>
      <c r="C23" s="39">
        <f>SUM(C17:C22)</f>
        <v>100</v>
      </c>
      <c r="D23" s="40">
        <f>SUM(D17:D22)</f>
        <v>76.168000000000006</v>
      </c>
      <c r="E23" s="30">
        <f t="shared" si="1"/>
        <v>3.8084000000000002</v>
      </c>
      <c r="F23" s="41" t="str">
        <f>IF(D23&gt;=80, "ผ่านเกณฑ์ระดับสูง (HIGHLY VIABLE)", IF(D23&gt;=60, "ผ่านแบบมีเงื่อนไข (CONDITIONALLY VIABLE)", "ความเสี่ยงสูง (HIGH RISK)"))</f>
        <v>ผ่านแบบมีเงื่อนไข (CONDITIONALLY VIABLE)</v>
      </c>
    </row>
    <row r="24" spans="1:6" ht="12" customHeight="1"/>
    <row r="25" spans="1:6" ht="26.05" customHeight="1">
      <c r="A25" s="17" t="s">
        <v>193</v>
      </c>
    </row>
    <row r="26" spans="1:6" ht="22" customHeight="1">
      <c r="A26" s="18" t="s">
        <v>194</v>
      </c>
    </row>
    <row r="27" spans="1:6" ht="24" customHeight="1">
      <c r="A27" s="42" t="s">
        <v>195</v>
      </c>
      <c r="B27" s="42" t="s">
        <v>196</v>
      </c>
      <c r="C27" s="42" t="s">
        <v>197</v>
      </c>
      <c r="D27" s="42" t="s">
        <v>198</v>
      </c>
      <c r="E27" s="42" t="s">
        <v>199</v>
      </c>
      <c r="F27" s="42" t="s">
        <v>200</v>
      </c>
    </row>
    <row r="28" spans="1:6" ht="95.05" customHeight="1">
      <c r="A28" s="43" t="s">
        <v>201</v>
      </c>
      <c r="B28" s="44">
        <v>9</v>
      </c>
      <c r="C28" s="24" t="s">
        <v>362</v>
      </c>
      <c r="D28" s="24" t="s">
        <v>363</v>
      </c>
      <c r="E28" s="24" t="s">
        <v>364</v>
      </c>
      <c r="F28" s="24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เปรียบเทียบทุก Solution</vt:lpstr>
      <vt:lpstr>Solution-1</vt:lpstr>
      <vt:lpstr>Solution-2</vt:lpstr>
      <vt:lpstr>Solution-3</vt:lpstr>
      <vt:lpstr>Solution-4</vt:lpstr>
      <vt:lpstr>Solution-5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PIRAKARN YOU</cp:lastModifiedBy>
  <dcterms:created xsi:type="dcterms:W3CDTF">2026-09-23T09:01:09Z</dcterms:created>
  <dcterms:modified xsi:type="dcterms:W3CDTF">2026-09-23T13:45:49Z</dcterms:modified>
</cp:coreProperties>
</file>