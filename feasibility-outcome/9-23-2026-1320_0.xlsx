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เปรียบเทียบทุก Solution" sheetId="1" state="visible" r:id="rId1"/>
    <sheet name="Solution-1" sheetId="2" state="visible" r:id="rId2"/>
    <sheet name="Solution-2" sheetId="3" state="visible" r:id="rId3"/>
    <sheet name="Solution-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20">
    <font>
      <name val="Calibri"/>
      <family val="2"/>
      <color theme="1"/>
      <sz val="11"/>
      <scheme val="minor"/>
    </font>
    <font>
      <name val="Segoe UI"/>
      <b val="1"/>
      <color rgb="001F497D"/>
      <sz val="13"/>
    </font>
    <font>
      <name val="Segoe UI"/>
      <i val="1"/>
      <color rgb="00595959"/>
      <sz val="9.5"/>
    </font>
    <font>
      <name val="Segoe UI"/>
      <b val="1"/>
      <color rgb="001F497D"/>
      <sz val="11"/>
    </font>
    <font>
      <name val="Segoe UI"/>
      <b val="1"/>
      <color rgb="00FFFFFF"/>
      <sz val="10"/>
    </font>
    <font>
      <name val="Segoe UI"/>
      <b val="1"/>
      <sz val="9.5"/>
    </font>
    <font>
      <name val="Segoe UI"/>
      <sz val="9"/>
    </font>
    <font>
      <name val="Segoe UI"/>
      <b val="1"/>
      <color rgb="00002060"/>
      <sz val="15"/>
    </font>
    <font>
      <name val="Segoe UI"/>
      <b val="1"/>
      <color rgb="00006100"/>
      <sz val="16"/>
    </font>
    <font>
      <name val="Segoe UI"/>
      <b val="1"/>
      <color rgb="00006100"/>
      <sz val="12"/>
    </font>
    <font>
      <name val="Segoe UI"/>
      <b val="1"/>
      <color rgb="009C0006"/>
      <sz val="16"/>
    </font>
    <font>
      <name val="Segoe UI"/>
      <b val="1"/>
      <color rgb="009C0006"/>
      <sz val="11"/>
    </font>
    <font>
      <name val="Segoe UI"/>
      <b val="1"/>
      <color rgb="001F497D"/>
      <sz val="14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  <font>
      <name val="Segoe UI"/>
      <b val="1"/>
      <color rgb="00006100"/>
      <sz val="13"/>
    </font>
    <font>
      <name val="Segoe UI"/>
      <b val="1"/>
      <color rgb="009C0006"/>
      <sz val="13"/>
    </font>
    <font>
      <name val="Segoe UI"/>
      <b val="1"/>
      <color rgb="009C0006"/>
      <sz val="10"/>
    </font>
  </fonts>
  <fills count="9">
    <fill>
      <patternFill/>
    </fill>
    <fill>
      <patternFill patternType="gray125"/>
    </fill>
    <fill>
      <patternFill patternType="solid">
        <fgColor rgb="00F2F4F7"/>
        <bgColor rgb="00F2F4F7"/>
      </patternFill>
    </fill>
    <fill>
      <patternFill patternType="solid">
        <fgColor rgb="001F497D"/>
        <bgColor rgb="001F497D"/>
      </patternFill>
    </fill>
    <fill>
      <patternFill patternType="solid">
        <fgColor rgb="00002060"/>
        <bgColor rgb="00002060"/>
      </patternFill>
    </fill>
    <fill>
      <patternFill patternType="solid">
        <fgColor rgb="00DCE6F1"/>
        <bgColor rgb="00DCE6F1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9FAFC"/>
        <bgColor rgb="00F9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/>
    </xf>
    <xf numFmtId="0" fontId="15" fillId="8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left" vertical="center" wrapText="1"/>
    </xf>
    <xf numFmtId="165" fontId="17" fillId="6" borderId="1" applyAlignment="1" pivotButton="0" quotePrefix="0" xfId="0">
      <alignment horizontal="center" vertical="center"/>
    </xf>
    <xf numFmtId="0" fontId="15" fillId="8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center" vertical="center" wrapText="1"/>
    </xf>
    <xf numFmtId="165" fontId="18" fillId="7" borderId="1" applyAlignment="1" pivotButton="0" quotePrefix="0" xfId="0">
      <alignment horizontal="center" vertical="center"/>
    </xf>
    <xf numFmtId="0" fontId="19" fillId="7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wrapText="1"/>
    </xf>
    <xf numFmtId="0" fontId="4" fillId="4" borderId="1" applyAlignment="1" pivotButton="0" quotePrefix="0" xfId="0">
      <alignment horizontal="left" vertical="center" wrapText="1"/>
    </xf>
    <xf numFmtId="1" fontId="7" fillId="5" borderId="1" applyAlignment="1" pivotButton="0" quotePrefix="0" xfId="0">
      <alignment horizontal="center" vertical="center"/>
    </xf>
    <xf numFmtId="165" fontId="8" fillId="6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 wrapText="1"/>
    </xf>
    <xf numFmtId="165" fontId="10" fillId="7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34" customWidth="1" min="3" max="3"/>
    <col width="18" customWidth="1" min="4" max="4"/>
    <col width="28" customWidth="1" min="5" max="5"/>
    <col width="35" customWidth="1" min="6" max="6"/>
    <col width="35" customWidth="1" min="7" max="7"/>
    <col width="35" customWidth="1" min="8" max="8"/>
  </cols>
  <sheetData>
    <row r="1">
      <c r="A1" s="1" t="inlineStr">
        <is>
          <t>ตารางเปรียบเทียบความเป็นไปได้ของทุกข้อเสนอ (Multi-Solution Feasibility Summary)</t>
        </is>
      </c>
    </row>
    <row r="2">
      <c r="A2" s="2" t="inlineStr">
        <is>
          <t>วิเคราะห์เปรียบเทียบเชิงระบบ (Systems-Thinking) ตามเกณฑ์ TELOS+S จาก AI Agents | รวมทุก Solution ในไฟล์เดียว</t>
        </is>
      </c>
    </row>
    <row r="4" ht="28" customHeight="1">
      <c r="A4" s="3" t="inlineStr">
        <is>
          <t>ลำดับ</t>
        </is>
      </c>
      <c r="B4" s="3" t="inlineStr">
        <is>
          <t>รหัสข้อเสนอ (Solution ID)</t>
        </is>
      </c>
      <c r="C4" s="3" t="inlineStr">
        <is>
          <t>ชื่อแนวทางแก้ปัญหา (Title / Concept)</t>
        </is>
      </c>
      <c r="D4" s="3" t="inlineStr">
        <is>
          <t>คะแนนรวม (เต็ม 100)</t>
        </is>
      </c>
      <c r="E4" s="3" t="inlineStr">
        <is>
          <t>ผลการประเมิน (Verdict)</t>
        </is>
      </c>
      <c r="F4" s="3" t="inlineStr">
        <is>
          <t>จุดแข็งสำคัญ (Key Strengths)</t>
        </is>
      </c>
      <c r="G4" s="3" t="inlineStr">
        <is>
          <t>จุดติดขัดวิกฤต (Critical Bottlenecks)</t>
        </is>
      </c>
      <c r="H4" s="3" t="inlineStr">
        <is>
          <t>คำแนะนำเชิงระบบ (Strategic Advice)</t>
        </is>
      </c>
    </row>
    <row r="5" ht="55" customHeight="1">
      <c r="A5" s="4" t="n">
        <v>1</v>
      </c>
      <c r="B5" s="5" t="inlineStr">
        <is>
          <t>Solution-1</t>
        </is>
      </c>
      <c r="C5" s="6" t="inlineStr">
        <is>
          <t>คำนวณอัตราการลดระดับน้ำ (Recession Rate) กรอง Empty Cases สำหรับหน่วย QRT</t>
        </is>
      </c>
      <c r="D5" s="7">
        <f>'Solution-1'!T9</f>
        <v/>
      </c>
      <c r="E5" s="8">
        <f>'Solution-1'!T12</f>
        <v/>
      </c>
      <c r="F5" s="6" t="inlineStr">
        <is>
          <t>Leverage Point แม่นยำ, JK เชี่ยวชาญคณิตศาสตร์ควบคุมและ ROS2, ต้นทุนต่ำ (&lt; 3,500 บ.), COTS 100%</t>
        </is>
      </c>
      <c r="G5" s="6" t="inlineStr">
        <is>
          <t>ระเบียบรูปถ่ายปิดเรื่องของ Traffy Fondue (O-01) และสัปดาห์สอบของมหาวิทยาลัย 4 สัปดาห์ (S-01)</t>
        </is>
      </c>
      <c r="H5" s="6" t="inlineStr">
        <is>
          <t>พัฒนาใบปิดงานดิจิทัล (Digital Evidence Card) พร้อมกราฟ dh/dt และล็อกสเปกฮาร์ดแวร์ก่อนสัปดาห์ที่ 9</t>
        </is>
      </c>
    </row>
    <row r="6" ht="55" customHeight="1">
      <c r="A6" s="9" t="n">
        <v>2</v>
      </c>
      <c r="B6" s="10" t="inlineStr">
        <is>
          <t>Solution-2</t>
        </is>
      </c>
      <c r="C6" s="11" t="inlineStr">
        <is>
          <t>CCTV Edge-AI Visual Flood Detection ตรวจจับระดับน้ำจากกล้องวงจรปิด</t>
        </is>
      </c>
      <c r="D6" s="7">
        <f>'Solution-2'!T9</f>
        <v/>
      </c>
      <c r="E6" s="12">
        <f>'Solution-2'!T12</f>
        <v/>
      </c>
      <c r="F6" s="11" t="inlineStr">
        <is>
          <t>ใช้ประโยชน์จากกล้อง CCTV เดิมของ กทม., ถ่ายรูปยืนยันปิดเคส Traffy Fondue ได้ทันที (O-01=5)</t>
        </is>
      </c>
      <c r="G6" s="11" t="inlineStr">
        <is>
          <t>ความเสี่ยงละเมิดกฎหมาย PDPA (L-01=2), ความร้อนสะสมของบอร์ด AI (T-02=2), อุปสรรคทัศนวิสัยตอนฝนตก (T-04=2)</t>
        </is>
      </c>
      <c r="H6" s="11" t="inlineStr">
        <is>
          <t>ทำระบบ Masking/Blurring ใบหน้าบนบอร์ด Edge, ติดตั้งฮีตซิงก์ขนาดใหญ่ และของบสนับสนุนจากภาครัฐ</t>
        </is>
      </c>
    </row>
    <row r="7" ht="55" customHeight="1">
      <c r="A7" s="4" t="n">
        <v>3</v>
      </c>
      <c r="B7" s="5" t="inlineStr">
        <is>
          <t>Solution-3</t>
        </is>
      </c>
      <c r="C7" s="6" t="inlineStr">
        <is>
          <t>Acoustic Sewer Profiling &amp; Pipe Blockage Screening ตรวจสอบการอุดตันของท่อระบายน้ำด้วยคลื่นเสียง</t>
        </is>
      </c>
      <c r="D7" s="13">
        <f>'Solution-3'!T9</f>
        <v/>
      </c>
      <c r="E7" s="14">
        <f>'Solution-3'!T12</f>
        <v/>
      </c>
      <c r="F7" s="6" t="inlineStr">
        <is>
          <t>ให้ข้อมูลเชิงลึกเกี่ยวกับความสะอาดของท่อใต้ดิน (Pipe Mapping) เพื่อการวางแผนระยะยาว</t>
        </is>
      </c>
      <c r="G7" s="6" t="inlineStr">
        <is>
          <t>อันตรายถึงชีวิตจากการเปิดฝาท่อ (O-03=1), ผิดกฎหมายจราจร/ทางหลวง (L-01=1), งบประมาณเกินเพดาน 5 เท่า (E-01=1), ขนส่ง 6 สัปดาห์ (S-03=1)</t>
        </is>
      </c>
      <c r="H7" s="6" t="inlineStr">
        <is>
          <t>VETOED: ยุติโครงการชั่วคราว ไม่สามารถ de-scope ให้ปลอดภัยและถูกกฎหมายได้ภายใต้กรอบโครงงานนักศึกษาเดี่ยว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3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</cols>
  <sheetData>
    <row r="1">
      <c r="A1" s="15" t="inlineStr">
        <is>
          <t>เมทริกซ์ประเมินความเป็นไปได้เชิงระบบ TELOS+S: คำนวณอัตราการลดระดับน้ำ (Recession Rate) กรอง Empty Cases สำหรับหน่วย QRT</t>
        </is>
      </c>
    </row>
    <row r="2">
      <c r="A2" s="16" t="inlineStr">
        <is>
          <t>ระบบคะแนนจำนวนเต็มเด็ดขาด: 1, 2, 3, 4, 5 เท่านั้น (ไม่มีจุดทศนิยม / ไม่มี 0.5) | โครงสร้างแบบ Transposed แนวนอน</t>
        </is>
      </c>
    </row>
    <row r="4" ht="24" customHeight="1">
      <c r="A4" s="17" t="inlineStr">
        <is>
          <t>รหัสคำถาม (Question Code)</t>
        </is>
      </c>
      <c r="B4" s="18" t="inlineStr">
        <is>
          <t>T-01</t>
        </is>
      </c>
      <c r="C4" s="18" t="inlineStr">
        <is>
          <t>T-02</t>
        </is>
      </c>
      <c r="D4" s="18" t="inlineStr">
        <is>
          <t>T-03</t>
        </is>
      </c>
      <c r="E4" s="18" t="inlineStr">
        <is>
          <t>T-04</t>
        </is>
      </c>
      <c r="F4" s="18" t="inlineStr">
        <is>
          <t>E-01</t>
        </is>
      </c>
      <c r="G4" s="18" t="inlineStr">
        <is>
          <t>E-02</t>
        </is>
      </c>
      <c r="H4" s="18" t="inlineStr">
        <is>
          <t>E-03</t>
        </is>
      </c>
      <c r="I4" s="18" t="inlineStr">
        <is>
          <t>L-01</t>
        </is>
      </c>
      <c r="J4" s="18" t="inlineStr">
        <is>
          <t>L-02</t>
        </is>
      </c>
      <c r="K4" s="18" t="inlineStr">
        <is>
          <t>O-01</t>
        </is>
      </c>
      <c r="L4" s="18" t="inlineStr">
        <is>
          <t>O-02</t>
        </is>
      </c>
      <c r="M4" s="18" t="inlineStr">
        <is>
          <t>O-03</t>
        </is>
      </c>
      <c r="N4" s="18" t="inlineStr">
        <is>
          <t>S-01</t>
        </is>
      </c>
      <c r="O4" s="18" t="inlineStr">
        <is>
          <t>S-02</t>
        </is>
      </c>
      <c r="P4" s="18" t="inlineStr">
        <is>
          <t>S-03</t>
        </is>
      </c>
      <c r="Q4" s="18" t="inlineStr">
        <is>
          <t>SDG-01</t>
        </is>
      </c>
      <c r="R4" s="18" t="inlineStr">
        <is>
          <t>SDG-02</t>
        </is>
      </c>
      <c r="S4" s="18" t="inlineStr">
        <is>
          <t>SDG-03</t>
        </is>
      </c>
      <c r="T4" s="18" t="inlineStr">
        <is>
          <t>สรุปภาพรวม (SUMMARY)</t>
        </is>
      </c>
    </row>
    <row r="5" ht="24" customHeight="1">
      <c r="A5" s="19" t="inlineStr">
        <is>
          <t>มิติการประเมิน (TELOS+S Pillar)</t>
        </is>
      </c>
      <c r="B5" s="20" t="inlineStr">
        <is>
          <t>ด้านเทคนิค (Technical 2.2)</t>
        </is>
      </c>
      <c r="C5" s="20" t="inlineStr">
        <is>
          <t>ด้านเทคนิค (Technical 2.2)</t>
        </is>
      </c>
      <c r="D5" s="20" t="inlineStr">
        <is>
          <t>ด้านเทคนิค (Technical 2.2)</t>
        </is>
      </c>
      <c r="E5" s="20" t="inlineStr">
        <is>
          <t>ด้านเทคนิค (Technical 2.2)</t>
        </is>
      </c>
      <c r="F5" s="20" t="inlineStr">
        <is>
          <t>ด้านเศรษฐศาสตร์ (Economic 2.3)</t>
        </is>
      </c>
      <c r="G5" s="20" t="inlineStr">
        <is>
          <t>ด้านเศรษฐศาสตร์ (Economic 2.3)</t>
        </is>
      </c>
      <c r="H5" s="20" t="inlineStr">
        <is>
          <t>ด้านเศรษฐศาสตร์ (Economic 2.3)</t>
        </is>
      </c>
      <c r="I5" s="20" t="inlineStr">
        <is>
          <t>ด้านกฎหมายและหน่วยงาน (Legal 2.4)</t>
        </is>
      </c>
      <c r="J5" s="20" t="inlineStr">
        <is>
          <t>ด้านกฎหมายและหน่วยงาน (Legal 2.4)</t>
        </is>
      </c>
      <c r="K5" s="20" t="inlineStr">
        <is>
          <t>ด้านการปฏิบัติการ (Operational 2.5)</t>
        </is>
      </c>
      <c r="L5" s="20" t="inlineStr">
        <is>
          <t>ด้านการปฏิบัติการ (Operational 2.5)</t>
        </is>
      </c>
      <c r="M5" s="20" t="inlineStr">
        <is>
          <t>ด้านการปฏิบัติการ (Operational 2.5)</t>
        </is>
      </c>
      <c r="N5" s="20" t="inlineStr">
        <is>
          <t>ด้านตารางเวลา (Schedule 2.6)</t>
        </is>
      </c>
      <c r="O5" s="20" t="inlineStr">
        <is>
          <t>ด้านตารางเวลา (Schedule 2.6)</t>
        </is>
      </c>
      <c r="P5" s="20" t="inlineStr">
        <is>
          <t>ด้านตารางเวลา (Schedule 2.6)</t>
        </is>
      </c>
      <c r="Q5" s="20" t="inlineStr">
        <is>
          <t>เป้าหมายความยั่งยืน (SDGs 2.7)</t>
        </is>
      </c>
      <c r="R5" s="20" t="inlineStr">
        <is>
          <t>เป้าหมายความยั่งยืน (SDGs 2.7)</t>
        </is>
      </c>
      <c r="S5" s="20" t="inlineStr">
        <is>
          <t>เป้าหมายความยั่งยืน (SDGs 2.7)</t>
        </is>
      </c>
      <c r="T5" s="21" t="inlineStr">
        <is>
          <t>ผลรวมทุกมิติ (All Pillars)</t>
        </is>
      </c>
    </row>
    <row r="6" ht="75" customHeight="1">
      <c r="A6" s="19" t="inlineStr">
        <is>
          <t>คำถามทดสอบความเสี่ยงจริง (Stress-Test Question)</t>
        </is>
      </c>
      <c r="B6" s="22" t="inlineStr">
        <is>
          <t>เมื่อพิจารณาว่าผู้พัฒนาไม่มีทักษะการกลึง/ตัดโลหะและไม่สามารถเข้าถึงโรงประลอง (Machine Shop) ได้ โครงสร้างฮาร์ดแวร์ภายนอกของระบบสามารถประกอบขึ้นจากอุปกรณ์สำเร็จรูปมาตรฐาน (COTS) เพื่อทนต่อสภาวะแวดล้อมน้ำท่วม/มรสุมของ กทม. ได้อย่างสมบูรณ์หรือไม่?</t>
        </is>
      </c>
      <c r="C6" s="22" t="inlineStr">
        <is>
          <t>เมื่อพิจารณาว่าผู้พัฒนาไม่มีทักษะการออกแบบ Custom PCB และมีทักษะการบัดกรีต่ำ สถาปัตยกรรมฮาร์ดแวร์อิเล็กทรอนิกส์และวงจรของระบบสามารถติดตั้งและทำงานได้อย่างมีเสถียรภาพโดยไม่เกิดความร้อนสะสมหรือวงจรล้มเหลวหรือไม่?</t>
        </is>
      </c>
      <c r="D6" s="22" t="inlineStr">
        <is>
          <t>ความสามารถและอัลกอริทึมในการตรวจวัดและทำนายระดับน้ำหรือการระบายน้ำ สามารถประมวลผลและให้ผลลัพธ์ที่แม่นยำได้ทันก่อนกรอบเวลาเดินทางของทีม QRT (20-30 นาที) หรือไม่?</t>
        </is>
      </c>
      <c r="E6" s="22" t="inlineStr">
        <is>
          <t>ระบบมีความแข็งแกร่ง (Robustness) ต่อปัจจัยรบกวนในสิ่งแวดล้อมจริงของ กทม. (เช่น คราบสิ่งสกปรก ขยะลอย ทัศนวิสัยต่ำตอนฝนตกหนัก น้ำทะเลหนุน) โดยไม่เกิดความล้มเหลวในการตรวจวัดหรือไม่?</t>
        </is>
      </c>
      <c r="F6" s="22" t="inlineStr">
        <is>
          <t>งบประมาณจัดซื้ออุปกรณ์ต้นแบบ (BOM) ทั้งหมด สามารถควบคุมให้อยู่ภายใต้เพดานงบประมาณโครงงานนักศึกษา (&lt; 5,000 บาท) ได้อย่างแท้จริงหรือไม่?</t>
        </is>
      </c>
      <c r="G6" s="22" t="inlineStr">
        <is>
          <t>โครงการได้จัดสรรงบประมาณสำรองสำหรับอะไหล่ทดแทน 100% (Scrap Allowance) กรณีอุปกรณ์ลัดวงจรหรือเสียหายจากการทดสอบหน้างานจริงหรือไม่?</t>
        </is>
      </c>
      <c r="H6" s="22" t="inlineStr">
        <is>
          <t>ค่าใช้จ่ายในการบำรุงรักษาและทำความสะอาดอุปกรณ์ (OpEx) คุ้มค่าเมื่อเทียบกับต้นทุนค่าน้ำมันและกำลังพลที่ประหยัดได้จากการลดการปล่อยรถ QRT ไปเก้อหรือไม่?</t>
        </is>
      </c>
      <c r="I6" s="22" t="inlineStr">
        <is>
          <t>การติดตั้งและปฏิบัติการของระบบ สอดคล้องกับกฎหมายคุ้มครองข้อมูลส่วนบุคคล (PDPA), กฎหมายจราจร, และระเบียบความปลอดภัยในที่สาธารณะโดยไม่ละเมิดข้อบังคับหรือไม่?</t>
        </is>
      </c>
      <c r="J6" s="22" t="inlineStr">
        <is>
          <t>อุปกรณ์สื่อสารไร้สายได้รับการรับรองมาตรฐานจาก กสทช. (NBTC) และทีมงานมีความพร้อมในการประสานงานขอความร่วมมือจากหน่วยงานภาครัฐ (กทม./สำนักการระบายน้ำ) หรือไม่?</t>
        </is>
      </c>
      <c r="K6" s="22" t="inlineStr">
        <is>
          <t>ระบบสามารถสร้างหลักฐานยืนยันที่สอดคล้องกับระเบียบราชการ (เช่น ภาพถ่ายปิดเคสใน Traffy Fondue) เพื่อให้เจ้าหน้าที่ศูนย์สั่งการกล้าตัดสินใจยกเลิกหรือชะลอการปล่อยรถ QRT โดยไม่กลัวความผิดทางวินัยหรือไม่?</t>
        </is>
      </c>
      <c r="L6" s="22" t="inlineStr">
        <is>
          <t>ความซับซ้อนในการติดตั้ง การบำรุงรักษา และการใช้งานระบบ ไม่สร้างภาระงานส่วนเกินหรือต้องอาศัยการฝึกอบรมบุคลากรหน้างานอย่างซับซ้อนหรือไม่?</t>
        </is>
      </c>
      <c r="M6" s="22" t="inlineStr">
        <is>
          <t>การทดสอบและติดตั้งระบบจริงหน้างาน สามารถดำเนินการได้อย่างปลอดภัยโดยไม่นำพาผู้พัฒนาไปสู่สภาวะอันตรายถึงชีวิต (เช่น พื้นที่อับอากาศ/การจราจรหนาแน่น) หรือทำให้เกิดภาวะหมดไฟ (Burnout) หรือไม่?</t>
        </is>
      </c>
      <c r="N6" s="22" t="inlineStr">
        <is>
          <t>แผนงานและสถาปัตยกรรมระบบสามารถดูดซับช่วงเวลาหยุดนิ่งจากการสอบของมหาวิทยาลัย 4 สัปดาห์ (สัปดาห์ 10+1, 10+2, 15+1, 15+2) และส่งมอบต้นแบบได้ทันกรอบเวลา 16 สัปดาห์หรือไม่?</t>
        </is>
      </c>
      <c r="O6" s="22" t="inlineStr">
        <is>
          <t>ความก้าวหน้าทางวิศวกรรมสามารถบรรลุเกณฑ์ TRL ตามกำหนด (สัปดาห์ 9: TRL 2 Model, สัปดาห์ 13: TRL 3 PoC, สัปดาห์ 16: TRL 4 Lab Verification) ได้อย่างสมบูรณ์หรือไม่?</t>
        </is>
      </c>
      <c r="P6" s="22" t="inlineStr">
        <is>
          <t>ระยะเวลาในการสั่งซื้อและขนส่งอุปกรณ์ (Lead Time) มีการสำรองเวลา (Buffer) อย่างน้อย 2-3 สัปดาห์เพื่อการรวมระบบและแก้จุดบกพร่องก่อนส่งมอบจริงหรือไม่?</t>
        </is>
      </c>
      <c r="Q6" s="22" t="inlineStr">
        <is>
          <t>ระบบส่งเสริมการลดความสูญเสียจากภัยพิบัติน้ำท่วมเมือง (SDG 11.5) และยกระดับการเฝ้าระวังระบบระบายน้ำ (SDG 6.3) อย่างวัดผลได้จริงเชิงปฏิบัติการหรือไม่?</t>
        </is>
      </c>
      <c r="R6" s="22" t="inlineStr">
        <is>
          <t>อุปกรณ์ที่นำไปติดตั้ง ไม่เสี่ยงต่อการชะล้างสารพิษ การสร้างขยะอิเล็กทรอนิกส์ตกค้างในทางน้ำ (SDG 6/12) หรือการหลุดลอยไปอุดตันท่อระบายน้ำหรือไม่?</t>
        </is>
      </c>
      <c r="S6" s="22" t="inlineStr">
        <is>
          <t>ตรรกะการประเมินและการกรองเหตุร้องเรียน มีความเป็นธรรม ไม่สร้างความเหลื่อมล้ำในการตอบสนองระหว่างพื้นที่เมืองชั้นในที่มีการร้องเรียนหนาแน่น กับชุมชนชานเมืองหรือไม่?</t>
        </is>
      </c>
      <c r="T6" s="23" t="inlineStr">
        <is>
          <t>ประเมินคำถามทั้งสิ้น 18 ข้อ</t>
        </is>
      </c>
    </row>
    <row r="7" ht="95" customHeight="1">
      <c r="A7" s="19" t="inlineStr">
        <is>
          <t>เหตุผลในการถาม &amp; โหมดความล้มเหลวที่เฝ้าระวัง (Rationale)</t>
        </is>
      </c>
      <c r="B7" s="22" t="inlineStr">
        <is>
          <t>หากฝืนออกแบบโครงสร้างที่ต้องกลึงหรือเชื่อมโลหะเอง เมื่อไม่มีสิทธิ์เข้าใช้โรงประลอง (Machine Shop) งานฮาร์ดแวร์จะติดคอตันทันทีในสัปดาห์แรก ๆ นอกจากนี้ อุปกรณ์กลางแจ้งต้องทนลมพายุมรสุมและละอองน้ำขัง หากกล่องพิมพ์ 3D ซีลไม่ดี น้ำจะซึมเข้ากล่องทำให้วงจรลัดวงจร เซนเซอร์ดับกลางคัน และส่งข้อมูลหลอกศูนย์สั่งการ</t>
        </is>
      </c>
      <c r="C7" s="22" t="inlineStr">
        <is>
          <t>การสั่งผลิต Custom PCB ใช้เวลาแก้แบบและรอส่ง 2-3 สัปดาห์ต่อรอบ หากออกแบบลายวงจรผิดหรือบัดกรีพลาด จะทำให้โครงการล่มทันที นอกจากนี้ การนำบอร์ดประมวลผลสูงไปปิดผนึกในกล่องกันน้ำกลางแดด 40°C ของ กทม. เสี่ยงต่อการเกิดความร้อนสะสม (Thermal Throttling) จนชิปค้างหรือรีบูตตัวเองขณะฝนตกหนัก ซึ่งเป็นช่วงเวลาที่ต้องการข้อมูลมากที่สุด</t>
        </is>
      </c>
      <c r="D7" s="22" t="inlineStr">
        <is>
          <t>หัวใจเชิงระบบของโครงการนี้คือการแยกเคส 'น้ำท่วมชั่วคราวที่ระบายเองได้' ออกจากเคสวิกฤต หากอัลกอริทึมต้องพึ่งพา AI ข้อมูลมหาศาลที่ยังไม่มีชุดข้อมูล หรือประมวลผลช้าเกิน 20-30 นาที รถ QRT จะถูกส่งออกไปหน้างานและพบว่าน้ำแห้งแล้วก่อนที่ระบบจะคำนวณเสร็จ กลายเป็นระบบไร้ประโยชน์ที่แก้ปัญหาไม่ได้จริงในหน้างาน</t>
        </is>
      </c>
      <c r="E7" s="22" t="inlineStr">
        <is>
          <t>คลองและผิวจราจร กทม. เต็มไปด้วยขยะลอย ผักตบชวา คราบน้ำมัน และคลื่นผิวน้ำจากลมพายุ หากใช้เซนเซอร์ที่สัมผัสน้ำตรง ๆ ขยะจะพันติดจนเซนเซอร์พัง หรือถ้าใช้คลื่นสะท้อนโดยไม่มีตัวกรองเชิงสถิติกำจัดสัญญาณรบกวน ค่าระดับน้ำจะกระโดดไปมา นำไปสู่การประเมินอัตราน้ำลดผิดพลาดและสั่งยกเลิกรถผิดจังหวะ</t>
        </is>
      </c>
      <c r="F7" s="22" t="inlineStr">
        <is>
          <t>โครงงานนักศึกษาไม่มีงบจัดซื้อจากรัฐหรือสปอนเซอร์ภายนอก หากเลือกสถาปัตยกรรมที่ใช้อุปกรณ์อุตสาหกรรมราคาแพง (เช่น เซนเซอร์เสียงใต้ดินตัวละ 25,000 บาท หรือกล้อง AI เกรดราชการ) ผู้พัฒนาจะต้องควักเงินส่วนตัวจนเงินหมดก่อนได้ต้นแบบ หรือต้องยอมตัดทอนอุปกรณ์หลักจนระบบใช้งานไม่ได้</t>
        </is>
      </c>
      <c r="G7" s="22" t="inlineStr">
        <is>
          <t>งานวิศวกรรมฮาร์ดแวร์และน้ำไม่เคยต่อครั้งเดียวแล้วติด การทดสอบหน้างานมีความเสี่ยงสูงที่จะทำบอร์ดไหม้ เซนเซอร์ช็อต หรืออุปกรณ์ตกน้ำสูญหาย หากตั้งงบไว้พอดีเป๊ะ 1x BOM โดยไม่มีงบอะไหล่สำรอง 100% ความเสียหายเพียงครั้งเดียวจะทำให้การทดลองหยุดชะงักและไม่มีเงินสั่งซื้อใหม่</t>
        </is>
      </c>
      <c r="H7" s="22" t="inlineStr">
        <is>
          <t>ระบบต้องตอบคำถามความคุ้มค่าเชิงระบบได้ชัดเจน หากค่าซิม 4G รายเดือน ค่าไฟฟ้า และค่าแรงเจ้าหน้าที่ที่ต้องคอยปีนไปเช็ดกล้องหรือล้างเซนเซอร์สูงกว่าค่าน้ำมันรถ QRT ที่ประหยัดได้จากเคสว่างเปล่า โครงการนี้จะกลายเป็น 'ภาระทางงบประมาณ' ของ กทม. และถูกถอดทิ้งหลังจบการทดลอง</t>
        </is>
      </c>
      <c r="I7" s="22" t="inlineStr">
        <is>
          <t>การติดตั้งเทคโนโลยีในที่สาธารณะมักตายด้วยข้อกฎหมาย ไม่ใช่เทคโนโลยี การใช้กล้องส่องถนนจะติด พ.ร.บ. PDPA มาตรา 24 ทันทีที่มีใบหน้าคนหรือทะเบียนรถ หรือการเปิดฝาท่อบนผิวจราจรโดยไม่มีตำรวจกั้นทางจะผิด พ.ร.บ. ทางหลวงและเสี่ยงต่ออุบัติเหตุรถตกท่อ ซึ่งอาจนำไปสู่คดีความอาญาและคำสั่งระงับโครงการทันที</t>
        </is>
      </c>
      <c r="J7" s="22" t="inlineStr">
        <is>
          <t>แม้อุปกรณ์จะใช้ได้จริง แต่หากคลื่นวิทยุไม่ผ่าน กสทช. จะนำไปติดตั้งจริงไม่ได้ และที่สำคัญที่สุดคือ ระบบต้องไปแตะโครงสร้างสะพาน ท่อระบายน้ำ หรือเสาไฟของ กทม. หากทีมงานไม่มีคอนเนกชันเชิงสถาบันหรือหนังสือรับรองจากอาจารย์ที่ปรึกษาเพื่อขอเปิดพื้นที่ การลงหน้างานจะถูกเทศกิจสั่งรื้อถอนทันที</t>
        </is>
      </c>
      <c r="K7" s="22" t="inlineStr">
        <is>
          <t>จุดตายอันดับหนึ่งของระบบคัดกรองอัตโนมัติ เจ้าหน้าที่ศูนย์สั่งการ กทม. ต้องรับผิดชอบทางวินัยต่อเรื่องร้องเรียนของประชาชนใน Traffy Fondue หากระบบบอกว่า 'น้ำแห้งเองได้' แต่ไม่มีหลักฐานรูปภาพยืนยันปิดเคส เจ้าหน้าที่ก็ยังคง 'ต้องส่งรถออกไปถ่ายรูปอยู่ดี' เพื่อเอาตัวรอดจากข้อร้องเรียน ทำให้การลงทุนทำระบบกรองล้มเหลวโดยสิ้นเชิง</t>
        </is>
      </c>
      <c r="L7" s="22" t="inlineStr">
        <is>
          <t>อุปกรณ์ที่ออกแบบมาให้คนอื่นใช้ ถ้าติดตั้งยาก บำรุงรักษาซับซ้อน หรือต้องอบรมใช้งานหลายวัน จะถูกเจ้าหน้าที่หน้างานต่อต้านและปฏิเสธการใช้งาน เจ้าหน้าที่ระบายน้ำหน้างานต้องการเพียงกล่องที่ขันยึดเสร็จใน 10 นาที และแดชบอร์ดที่บอกชัดเจนว่า 'ส่งรถ' หรือ 'ไม่ต้องส่ง' โดยไม่ต้องแปลผลกราฟซับซ้อน</t>
        </is>
      </c>
      <c r="M7" s="22" t="inlineStr">
        <is>
          <t>ประเมินความปลอดภัยในชีวิตจริงของผู้พัฒนา การปล่อยให้นักศึกษาเดี่ยว (Solo Developer) ต้องลงไปเปิดฝาท่อระบายน้ำที่มีก๊าซไข่เน่าพิษ (H2S) ขาดอากาศหายใจ หรือยืนปรับมุมกล้องริมถนนใหญ่ที่มีรถวิ่งเร็ว เป็นการกระทำที่อันตรายถึงชีวิตและขัดต่อจรรยาบรรณวิศวกรรม หากผู้พัฒนาบาดเจ็บ โครงการจะยุติทันที</t>
        </is>
      </c>
      <c r="N7" s="22" t="inlineStr">
        <is>
          <t>โครงงานภาคการศึกษา 16 สัปดาห์ มีช่วงสอบกลางภาคและปลายภาคของมหาวิทยาลัยถึง 4 สัปดาห์เต็ม ซึ่งสมองและเวลาของนักศึกษาจะถูกดึงไปกับการสอบ 100% หากสถาปัตยกรรมระบบไม่แยกส่วนให้ชัดเจนและไม่ล็อกสเปกฮาร์ดแวร์ก่อนสอบ โครงการจะเกิดภาวะขวดโหลแตก (Schedule Collapse) และประกอบงานส่งไม่ทัน</t>
        </is>
      </c>
      <c r="O7" s="22" t="inlineStr">
        <is>
          <t>ป้องกันภาพลวงตาของการพัฒนา (Illusion of Progress) ที่นักศึกษาคิดว่าโปรเจกต์เดินหน้าแต่มีแค่สไลด์ เกณฑ์ TRL2 (สัปดาห์ 9) ต้องมีสมการคณิตศาสตร์ที่พิสูจน์ได้, TRL3 (สัปดาห์ 13) ต้องมีฮาร์ดแวร์วัดจริงในถังทดลอง, และ TRL4 (สัปดาห์ 16) ต้องทดสอบในแล็บ/คลองจริง หากวางแผนข้ามขั้นจะสอบตกการประเมินความก้าวหน้า</t>
        </is>
      </c>
      <c r="P7" s="22" t="inlineStr">
        <is>
          <t>การสั่งซื้อชิ้นส่วนพิเศษจากต่างประเทศ (AliExpress, JLCPCB, ยุโรป) มักเจอปัญหาติดด่านศุลกากร ขนส่งล่าช้า 3-6 สัปดาห์ หรือได้ของชำรุด หากไม่มี Buffer รวมระบบอย่างน้อย 2-3 สัปดาห์ก่อนส่งงาน การที่ของมาถึงในสัปดาห์ที่ 15 จะทำให้ไม่มีเวลาแก้บักและระบบจะพังต่อหน้ากรรมการในวันสอบ Final</t>
        </is>
      </c>
      <c r="Q7" s="22" t="inlineStr">
        <is>
          <t>ประเมินว่าโครงการแก้ปัญหาที่ Pain Point จริงของเมืองหรือไม่ การลด Empty Cases ไม่ใช่แค่การเขียนโค้ดเล่น แต่เป็นการปลดล็อกรถดูดน้ำและหน่วยเคลื่อนที่เร็วให้สามารถวิ่งไปช่วยชุมชนที่น้ำท่วมขังวิกฤตจริงได้เร็วขึ้น 15-20 นาที ลดความเสียหายต่อทรัพย์สินและบ้านเรือนของประชาชนตามเป้าหมาย SDG 11.5</t>
        </is>
      </c>
      <c r="R7" s="22" t="inlineStr">
        <is>
          <t>วิศวกรต้องไม่สร้างปัญหาใหม่ทับซ้อนปัญหาเดิม กล่องเซนเซอร์หรืออุปกรณ์ที่ติดตั้งในทางระบายน้ำ หากยึดไม่แน่นหนาแล้วหลุดลอยไปในคลอง ตัวกล่องและแบตเตอรี่จะกลายเป็นขยะอิเล็กทรอนิกส์มีพิษ (E-Waste) ที่ไปอุดตันเครื่องสูบน้ำของ กทม. ทำให้เกิดน้ำท่วมหนักกว่าเดิม</t>
        </is>
      </c>
      <c r="S7" s="22" t="inlineStr">
        <is>
          <t>แอปพลิเคชันอย่าง Traffy Fondue มีอคติเชิงพื้นที่ (Geospatial Bias) สูงมาก เพราะคนในย่านธุรกิจใจกลางเมืองจะแจ้งเรื่องบ่อยและส่งเสียงดังกว่าชุมชนชานเมือง หากระบบใช้อัลกอริทึมที่อิงตามความถี่การแจ้งเรื่อง ชุมชนยากจนจะถูกละเลย ระบบจึงต้องใช้ฟิสิกส์อัตราการระบายน้ำที่เป็นกลางในการตัดสินใจอย่างเท่าเทียม</t>
        </is>
      </c>
      <c r="T7" s="23" t="inlineStr">
        <is>
          <t>สังเคราะห์จาก AI Agents Group 2</t>
        </is>
      </c>
    </row>
    <row r="8" ht="110" customHeight="1">
      <c r="A8" s="19" t="inlineStr">
        <is>
          <t>เกณฑ์การให้คะแนน (Scoring Rubric Definition: ระดับ 1, 2, 3, 4, 5 ครบทุกระดับ)</t>
        </is>
      </c>
      <c r="B8" s="22" t="inlineStr">
        <is>
          <t>1: บังคับต้องกลึงหรือตัดขึ้นรูปชิ้นงานโลหะ custom เองทั้งหมดโดยไม่มีเครื่องจักร (Fatal Flaw / ไม่ผ่านเกณฑ์)
2: ต้องจ้างโรงกลึงภายนอกผลิตชิ้นงานเฉพาะจุดโดยไม่มีงบประมาณและเสี่ยงต่อความล่าช้า
3: ใช้ชิ้นงานพิมพ์ 3D PETG ซีลกันน้ำด้วยซิลิโคนมือ ทนทานปานกลางต่อแรงลมมรสุม
4: ใช้กล่องกันน้ำ COTS ร่วมกับขายึดดัดแปลงเล็กน้อย มีการทดสอบการรั่วซึมเบื้องต้น
5: ใช้กล่องกันน้ำสำเร็จรูปมาตรฐาน IP67/68 ร่วมกับแคลมป์รัดท่อ/เสามาตรฐานอุตสาหกรรมที่มีขายทั่วไป ไม่ต้องดัดแปลง</t>
        </is>
      </c>
      <c r="C8" s="22" t="inlineStr">
        <is>
          <t>1: บังคับต้องออกแบบและผลิต Custom PCB หลายชั้นเองโดยไม่มีทักษะและเวลาไม่พอ (Fatal Flaw)
2: อุปกรณ์ประมวลผลเกิดความร้อนสะสมสูงจัด (เช่น ชิป GPU รันกลางแดด 40°C) เสี่ยงต่อการดับตัวเอง
3: บัดกรีด้วยมือบนแผ่นไข่ปลา (Perfboard) วงจรทนต่อแรงสั่นสะเทือนได้จำกัด
4: ใช้บอร์ดไมโครคอนโทรลเลอร์สำเร็จรูปเชื่อมต่อสายไฟแบบขันสกรู มีการป้องกันสัญญาณรบกวนเบื้องต้น
5: ใช้ Industrial Screw Terminal Shield สำเร็จรูปมาตรฐานอุตสาหกรรม มีวงจรป้องกันไฟกระชากและระบายความร้อนได้ดีเยี่ยม</t>
        </is>
      </c>
      <c r="D8" s="22" t="inlineStr">
        <is>
          <t>1: ต้องพึ่งพาโมเดล AI ข้อมูลมหาศาลที่ยังไม่มีชุดข้อมูล หรืออัลกอริทึมประมวลผลช้าเกินกว่ากรอบเวลา 30 นาที (Fatal Flaw)
2: ใช้อัลกอริทึมที่ซับซ้อนเกินไปจนไม่สามารถรันบนฮาร์ดแวร์จริงได้ทันเวลาเดินทางของ QRT
3: ใช้เกณฑ์ระดับน้ำแบบคงที่ (Static Threshold) ซึ่งแยกเคสฝนตกหนักชั่วคราวไม่ออก
4: ใช้อัลกอริทึมวิเคราะห์อัตราการเปลี่ยนแปลงหรือโมเดลน้ำหนักเบา ประมวลผลได้ภายในไม่กี่วินาที
5: ใช้สมการอนุพันธ์ชลศาสตร์ (dh/dt) คำนวณเทียบเวลาระบายจริง ประมวลผลเสร็จในระดับมิลลิวินาที แม่นยำสูง</t>
        </is>
      </c>
      <c r="E8" s="22" t="inlineStr">
        <is>
          <t>1: ระบบล้มเหลวโดยสิ้นเชิงเมื่อเจอสภาวะแวดล้อมจริง (เช่น ขยะลอย น้ำขุ่น ฝนตกหนัก หรือก๊าซในท่อ) (Fatal Flaw)
2: เซนเซอร์อ่านค่าผิดพลาดบ่อยครั้งเมื่อทัศนวิสัยต่ำหรือมีสิ่งสกปรกเกาะ ต้องอาศัยการรีเซ็ตด้วยมือ
3: ทนต่อสิ่งรบกวนได้ปานกลาง แต่อาจเกิด False Positive ชั่วคราวเมื่อมีฝนตกหนักจัด
4: มีการติดตั้งฮูดกำบัง และใส่อัลกอริทึมกรองสัญญาณรบกวนเชิงสถิติ (Statistical Filter)
5: เซนเซอร์ติดตั้งแบบไม่สัมผัสสิ่งรบกวน พร้อมอัลกอริทึม Median Filter กรองสัญญาณสะท้อนหลอกจากขยะและคลื่นผิวน้ำได้อย่างสมบูรณ์</t>
        </is>
      </c>
      <c r="F8" s="22" t="inlineStr">
        <is>
          <t>1: งบประมาณ BOM เกิน 20,000 บาท (เกินเพดาน 5,000 บาทของนักศึกษาถึง 4-5 เท่าตัว / Fatal Flaw)
2: งบประมาณ BOM อยู่ระหว่าง 10,000 - 20,000 บาท ต้องจัดหาทุนสนับสนุนภายนอก
3: งบประมาณ BOM อยู่ระหว่าง 5,000 - 10,000 บาท เกินงบส่วนตัวเล็กน้อย ต้องตัดทอนอุปกรณ์
4: งบประมาณ BOM รวมอยู่ระหว่าง 3,500 - 5,000 บาท พอดีกับเพดานงบประมาณ
5: งบประมาณ BOM รวมต่ำกว่า 3,500 บาท ใช้อุปกรณ์ COTS ราคาประหยัด ควบคุมค่าใช้จ่ายได้อย่างเด็ดขาด</t>
        </is>
      </c>
      <c r="G8" s="22" t="inlineStr">
        <is>
          <t>1: ไม่มีงบสำรองอะไหล่เลย (0%) หากชิ้นส่วนเสียหายชิ้นเดียว โครงการหยุดชะงักทันที (Fatal Flaw)
2: มีงบสำรองอะไหล่เพียง 10-20% ซื้ออะไหล่ทดแทนได้เฉพาะชิ้นส่วนเล็ก ๆ
3: มีงบสำรองอะไหล่ประมาณ 50% สามารถสำรองเซนเซอร์ได้แต่ไม่มีบอร์ดหลักสำรอง
4: มีงบสำรองอะไหล่ 80-100% สำหรับเซนเซอร์และบอร์ดหลักบางส่วน
5: มีงบสำรองอะไหล่ 100% ครอบคลุมเซนเซอร์ 3 ชุด และบอร์ดประมวลผล 2 ชุด ภายใต้งบรวมไม่เกิน 5,000 บาท</t>
        </is>
      </c>
      <c r="H8" s="22" t="inlineStr">
        <is>
          <t>1: ค่าใช้จ่ายในการดำเนินงานและบำรุงรักษา (OpEx) สูงกว่ามูลค่าทรัพยากรที่ประหยัดได้ ไม่คุ้มทุนทางเศรษฐศาสตร์ (Fatal Flaw)
2: ประหยัดทรัพยากรได้น้อยมากเมื่อหักลบค่าซิมการ์ด ค่าไฟฟ้า และค่าแรงบำรุงรักษา
3: จุดคุ้มทุนปานกลาง ใช้เวลามากกว่า 1-2 ปีในการคืนทุนค่าน้ำมันรถ
4: ประหยัดค่าน้ำมันและค่าเบี้ยเลี้ยงเจ้าหน้าที่ได้ชัดเจน คุ้มทุนภายในฤดูมรสุมเดียว
5: ลดการปล่อยรถเก้อได้ 30-40% ประหยัดงบประมาณค่าน้ำมันและค่าสึกหรอของเมืองได้หลายหมื่นบาทต่อปี โดยระบบกินไฟต่ำมาก</t>
        </is>
      </c>
      <c r="I8" s="22" t="inlineStr">
        <is>
          <t>1: ละเมิดกฎหมายอย่างร้ายแรง (เช่น บันทึกภาพบุคคลผิด PDPA หรือเปิดฝาท่อบนทางหลวงโดยไม่ได้รับอนุญาต / Fatal Flaw)
2: สุ่มเสี่ยงต่อการละเมิดกฎหมาย ต้องใช้กระบวนการทางเทคนิคที่ซับซ้อนช่วยลดทอนและยังไม่มีเอกสารยินยอม
3: มีข้อตกลงเบื้องต้นหรือใช้วิธีเบลอภาพอัตโนมัติ แต่ยังต้องรอการอนุมัติระเบียบอย่างเป็นทางการ
4: ปฏิบัติตามกฎหมายอย่างถูกต้อง มีการขออนุญาตติดตั้งตามระเบียบองค์กร และไม่มีการเก็บข้อมูลส่วนบุคคลที่เป็นอันตราย
5: ปลอดจากการละเมิดกฎหมาย 100% ไม่เก็บข้อมูลระบุตัวตน (No PII) และติดตั้งบนโครงสร้างสะพานอย่างปลอดภัยตามระเบียบ</t>
        </is>
      </c>
      <c r="J8" s="22" t="inlineStr">
        <is>
          <t>1: ใช้อุปกรณ์ส่งคลื่นวิทยุผิดกฎหมาย กสทช. หรือไม่มีช่องทางติดต่อประสานงานหน่วยงานรัฐเลยแม้แต่น้อย (Fatal Flaw)
2: อุปกรณ์ไม่ได้รับการรับรอง และการประสานงานอาศัยเพียงจดหมายทางการที่ไม่มีการตอบรับ
3: อุปกรณ์ได้รับรอง แต่การขออนุญาตเข้าพื้นที่สาธารณะต้องผ่านกระบวนการทำ MoU ล่าช้า
4: ใช้โมดูลสื่อสารที่ได้รับใบรับรอง กสทช. ถูกต้อง และมีอาจารย์ที่ปรึกษาช่วยเปิดช่องทางประสานงาน
5: โมดูลสื่อสารผ่านมาตรฐาน กสทช. 100% และมีเครือข่ายความร่วมมือทางวิชาการกับสำนักการระบายน้ำ กทม. ดำเนินการได้อย่างรวดเร็ว</t>
        </is>
      </c>
      <c r="K8" s="22" t="inlineStr">
        <is>
          <t>1: ระบบให้เพียงตัวเลขที่ไม่มีหลักฐานเชิงประจักษ์ เจ้าหน้าที่ไม่กล้าใช้ตัดสินใจเพราะกลัวถูกสอบวินัย (Fatal Flaw)
2: เจ้าหน้าที่ปฏิเสธการใช้งานเนื่องจากไม่สอดคล้องกับขั้นตอนการทำงานปกติ
3: เจ้าหน้าที่ยอมรับเฉพาะบางกรณี และยังคงต้องส่งรถออกไปถ่ายรูปปิดเคสหน้างานอยู่ดี
4: ระบบสร้างรายงานดิจิทัลพร้อมหลักฐานชัดเจนที่หัวหน้างานให้การยอมรับในการชะลอการปล่อยรถ
5: ระบบสร้างใบปิดงานดิจิทัล (Digital Evidence Card) ที่ระบุค่า dh/dt พิกัด และเวลา ที่ กทม. ยอมรับเป็นรูปภาพปิดเคสใน Traffy Fondue ได้ทันที</t>
        </is>
      </c>
      <c r="L8" s="22" t="inlineStr">
        <is>
          <t>1: ใช้งานยากมาก สร้างภาระงานหนักแก่เจ้าหน้าที่ และต้องใช้ช่างผู้เชี่ยวชาญดูแลรายวัน (Fatal Flaw)
2: ต้องฝึกอบรมเจ้าหน้าที่หลายวันและมีขั้นตอนการบำรุงรักษาที่ยุ่งยากซับซ้อน
3: ต้องมีการฝึกอบรมเจ้าหน้าที่ 1-2 ชั่วโมง และต้องคอยเช็ดทำความสะอาดระบบทุกเดือน
4: เจ้าหน้าที่เข้าใจได้ง่ายภายใน 15 นาที การติดตั้งสะดวกรวดเร็ว
5: ติดตั้งเสร็จใน 10 นาทีด้วยแคลมป์รัด ไม่ต้องเจาะทำลายสะพาน แดชบอร์ดแสดงสถานะ ชะลอ/ปล่อยรถ ชัดเจน ไม่ต้องอบรม</t>
        </is>
      </c>
      <c r="M8" s="22" t="inlineStr">
        <is>
          <t>1: ต้องลงไปปฏิบัติงานในพื้นที่อันตรายถึงชีวิต (เช่น ท่อระบายน้ำอับอากาศ หรือช่องจราจรความเร็วสูง) เพียงลำพัง (Fatal Flaw)
2: ปฏิบัติงานในพื้นที่เสี่ยงสูงโดยไม่มีอุปกรณ์คุ้มครองความปลอดภัยส่วนบุคคลที่เพียงพอ
3: ปฏิบัติงานริมถนนสาธารณะที่มีความเสี่ยงปานกลาง ต้องมีเพื่อนร่วมงานคอยดูแลความปลอดภัยตลอดเวลา
4: ปฏิบัติงานบนทางเท้าหรือสะพานลอยคนข้ามที่มีรั้วกั้นปลอดภัย สวมใส่อุปกรณ์สะท้อนแสง
5: ติดตั้งบนราวสะพานคนข้ามที่ปลอดภัย 100% และสามารถทดสอบระบบจำลองบนโต๊ะแล็บได้เกือบทั้งหมดก่อนลงพื้นที่จริง</t>
        </is>
      </c>
      <c r="N8" s="22" t="inlineStr">
        <is>
          <t>1: โครงการหยุดชะงักอย่างสิ้นเชิงจากช่วงสอบ 4 สัปดาห์ และไม่สามารถส่งมอบงานได้ทันสัปดาห์ที่ 16 (Fatal Flaw)
2: ติดสอบจนงานล่าช้ากว่ากำหนดมากกว่า 3 สัปดาห์ และต้องตัดทอนระบบสำคัญออก
3: งานล่าช้าเล็กน้อยและต้องเร่งทำงานอย่างหนักหลังสอบเสร็จ ไม่มีเวลาทดสอบรวมระบบ
4: แผนงานจัดสรรเวลาได้ดี สามารถหยุดอ่านหนังสือสอบได้โดยโครงการยังอยู่ในกรอบเวลา
5: สถาปัตยกรรมแยกส่วนชัดเจน โค้ดหลักเสร็จก่อนสอบกลางภาค และฮาร์ดแวร์ COTS ประกอบเสร็จทันทีหลังสอบ มีเวลาเหลือเฟือ</t>
        </is>
      </c>
      <c r="O8" s="22" t="inlineStr">
        <is>
          <t>1: ไม่สามารถบรรลุเกณฑ์ TRL ขั้นต่ำ (TRL 2 ภายในสัปดาห์ที่ 9) ได้เลย (Fatal Flaw)
2: บรรลุเกณฑ์ TRL ได้ล่าช้ากว่ากำหนดมากกว่า 2 สัปดาห์
3: บรรลุ TRL 2 ได้ทัน แต่ TRL 3 และ TRL 4 ต้องลดทอนข้อกำหนดลงอย่างมาก
4: บรรลุเกณฑ์ TRL 2, TRL 3, และ TRL 4 ได้ตามกรอบเวลาของรายวิชาเกือบครบถ้วน
5: บรรลุ TRL 2 ในสัปดาห์ 9 (Mathematical Model), TRL 3 ในสัปดาห์ 13 (Bench PoC), และ TRL 4 ในสัปดาห์ 16 (Canal/Lab) ได้อย่างสมบูรณ์แบบ</t>
        </is>
      </c>
      <c r="P8" s="22" t="inlineStr">
        <is>
          <t>1: อุปกรณ์ต้องนำเข้าต่างประเทศใช้เวลาขนส่ง 4-6 สัปดาห์ ทำลายเส้นทางวิกฤตของโปรเจกต์ 16 สัปดาห์ (Fatal Flaw)
2: อุปกรณ์จัดส่งล่าช้า 2-3 สัปดาห์ ทำให้ไม่มีเวลาสำหรับการทดสอบและแก้ไขจุดบกพร่อง
3: มี Buffer เวลาสำหรับการทดสอบรวมระบบเพียง 1 สัปดาห์ เสี่ยงต่อการส่งงานไม่ทันหากมีข้อผิดพลาด
4: อุปกรณ์จัดส่งภายใน 5-7 วัน มี Buffer สำหรับการรวมระบบและแก้บักอย่างน้อย 2 สัปดาห์
5: อุปกรณ์ทุกชิ้นมีสต็อกในประเทศ จัดส่งถึงภายใน 2-3 วันทำการ มี Buffer รวมระบบก่อนส่งมอบมากกว่า 3 สัปดาห์</t>
        </is>
      </c>
      <c r="Q8" s="22" t="inlineStr">
        <is>
          <t>1: ไม่สอดคล้องกับเป้าหมายความยั่งยืนใด ๆ หรือสร้างผลกระทบเชิงลบต่อการจัดการภัยพิบัติ (Fatal Flaw)
2: สอดคล้องในเชิงทฤษฎีเท่านั้น แต่ไม่มีผลลัพธ์หรือตัวชี้วัดที่จับต้องได้ในทางปฏิบัติ
3: ส่งเสริมการเฝ้าระวังทางอ้อม แต่ไม่สามารถวัดผลการลดความสูญเสียได้อย่างชัดเจน
4: ช่วยลดเวลาในการเข้าถึงพื้นที่น้ำท่วมขัง และมีตัวชี้วัดความสำเร็จที่สอดคล้องกับ SDG 11.5
5: ตอบโจทย์ SDG 11.5 (ลดความสูญเสียทางเศรษฐกิจ) และ SDG 6.3 (เฝ้าระวังระบบระบายน้ำ) อย่างชัดเจน ปลดล็อกกำลังพลช่วยเหลือพื้นที่วิกฤตได้เร็วขึ้น</t>
        </is>
      </c>
      <c r="R8" s="22" t="inlineStr">
        <is>
          <t>1: ใช้วัสดุที่ชะสารพิษลงน้ำ หรืออุปกรณ์เสี่ยงหลุดลอยไปอุดตันท่อระบายน้ำกลายเป็นมลพิษ (Fatal Flaw)
2: มีความเสี่ยงที่อุปกรณ์จะเสื่อมสภาพและปล่อยไมโครพลาสติกหรือสารเคมีลงสู่แหล่งน้ำ
3: อุปกรณ์ปลอดภัยในสภาวะปกติ แต่อาจชำรุดเสียหายหากเกิดกระแสน้ำหลากฉับพลัน
4: อุปกรณ์ติดตั้งเหนือน้ำ กล่องกันน้ำมิดชิด มีการป้องกันการหลุดร่วงอย่างเหมาะสม
5: ตัวกล่องมาตรฐาน IP67 ไม่สัมผัสน้ำ มีสลิงนิรภัยสแตนเลสยึดสองชั้น และใช้แบตเตอรี่แห้งปลอดภัยที่ไม่ปล่อยสารเคมี 100%</t>
        </is>
      </c>
      <c r="S8" s="22" t="inlineStr">
        <is>
          <t>1: อัลกอริทึมเลือกปฏิบัติต่อพื้นที่ หรือตัดการให้บริการแก่ชุมชนยากจนอย่างไม่เป็นธรรม (Fatal Flaw)
2: มีความเหลื่อมล้ำเชิงพื้นที่สูง ระบบทำงานได้เฉพาะเขตเมืองชั้นในที่ร่ำรวย ละเลยชุมชนชานเมือง
3: มีความเหลื่อมล้ำเล็กน้อยตามปริมาณข้อมูลหรือสัญญาณเครือข่าย แต่ไม่ได้เลือกปฏิบัติโดยเจตนา
4: ระบบกระจายการให้บริการอย่างทั่วถึง และมีกลไกชดเชยสำหรับพื้นที่ที่มีข้อมูลน้อย
5: ใช้อัตราการลดระดับน้ำตามกฎฟิสิกส์ชลศาสตร์เป็นเกณฑ์สากลอย่างเสมอภาคเท่าเทียม ไม่ขึ้นกับฐานะทางเศรษฐกิจหรือเสียงร้องเรียน</t>
        </is>
      </c>
      <c r="T8" s="23" t="inlineStr">
        <is>
          <t>เกณฑ์รวม: &gt;=80 ผ่านสูง, &gt;=60 มีเงื่อนไข, &lt;60 เสี่ยงสูง | หากมีข้อใดได้ 1 = VETOED ตกเกณฑ์ทันที</t>
        </is>
      </c>
    </row>
    <row r="9" ht="36" customHeight="1">
      <c r="A9" s="24" t="inlineStr">
        <is>
          <t>คะแนนที่ได้รับ (ASSIGNED SCORE: 1, 2, 3, 4, 5 STRICT INTEGER)</t>
        </is>
      </c>
      <c r="B9" s="25" t="n">
        <v>4</v>
      </c>
      <c r="C9" s="25" t="n">
        <v>4</v>
      </c>
      <c r="D9" s="25" t="n">
        <v>5</v>
      </c>
      <c r="E9" s="25" t="n">
        <v>4</v>
      </c>
      <c r="F9" s="25" t="n">
        <v>5</v>
      </c>
      <c r="G9" s="25" t="n">
        <v>5</v>
      </c>
      <c r="H9" s="25" t="n">
        <v>4</v>
      </c>
      <c r="I9" s="25" t="n">
        <v>5</v>
      </c>
      <c r="J9" s="25" t="n">
        <v>4</v>
      </c>
      <c r="K9" s="25" t="n">
        <v>3</v>
      </c>
      <c r="L9" s="25" t="n">
        <v>4</v>
      </c>
      <c r="M9" s="25" t="n">
        <v>4</v>
      </c>
      <c r="N9" s="25" t="n">
        <v>4</v>
      </c>
      <c r="O9" s="25" t="n">
        <v>5</v>
      </c>
      <c r="P9" s="25" t="n">
        <v>5</v>
      </c>
      <c r="Q9" s="25" t="n">
        <v>5</v>
      </c>
      <c r="R9" s="25" t="n">
        <v>5</v>
      </c>
      <c r="S9" s="25" t="n">
        <v>5</v>
      </c>
      <c r="T9" s="26">
        <f>IF(T10&gt;0, (T11/T10)*20, 0)</f>
        <v/>
      </c>
    </row>
    <row r="10" ht="22" customHeight="1">
      <c r="A10" s="19" t="inlineStr">
        <is>
          <t>ค่าน้ำหนัก (Weight %)</t>
        </is>
      </c>
      <c r="B10" s="27" t="n">
        <v>0.05</v>
      </c>
      <c r="C10" s="27" t="n">
        <v>0.05</v>
      </c>
      <c r="D10" s="27" t="n">
        <v>0.05</v>
      </c>
      <c r="E10" s="27" t="n">
        <v>0.05</v>
      </c>
      <c r="F10" s="27" t="n">
        <v>0.0667</v>
      </c>
      <c r="G10" s="27" t="n">
        <v>0.0667</v>
      </c>
      <c r="H10" s="27" t="n">
        <v>0.06660000000000001</v>
      </c>
      <c r="I10" s="27" t="n">
        <v>0.075</v>
      </c>
      <c r="J10" s="27" t="n">
        <v>0.075</v>
      </c>
      <c r="K10" s="27" t="n">
        <v>0.0667</v>
      </c>
      <c r="L10" s="27" t="n">
        <v>0.0667</v>
      </c>
      <c r="M10" s="27" t="n">
        <v>0.06660000000000001</v>
      </c>
      <c r="N10" s="27" t="n">
        <v>0.05</v>
      </c>
      <c r="O10" s="27" t="n">
        <v>0.05</v>
      </c>
      <c r="P10" s="27" t="n">
        <v>0.05</v>
      </c>
      <c r="Q10" s="27" t="n">
        <v>0.0333</v>
      </c>
      <c r="R10" s="27" t="n">
        <v>0.0333</v>
      </c>
      <c r="S10" s="27" t="n">
        <v>0.0334</v>
      </c>
      <c r="T10" s="27">
        <f>SUM(B10:S10)</f>
        <v/>
      </c>
    </row>
    <row r="11" ht="24" customHeight="1">
      <c r="A11" s="19" t="inlineStr">
        <is>
          <t>คะแนนถ่วงน้ำหนัก (=Score * Weight)</t>
        </is>
      </c>
      <c r="B11" s="28">
        <f>B9*B10</f>
        <v/>
      </c>
      <c r="C11" s="28">
        <f>C9*C10</f>
        <v/>
      </c>
      <c r="D11" s="28">
        <f>D9*D10</f>
        <v/>
      </c>
      <c r="E11" s="28">
        <f>E9*E10</f>
        <v/>
      </c>
      <c r="F11" s="28">
        <f>F9*F10</f>
        <v/>
      </c>
      <c r="G11" s="28">
        <f>G9*G10</f>
        <v/>
      </c>
      <c r="H11" s="28">
        <f>H9*H10</f>
        <v/>
      </c>
      <c r="I11" s="28">
        <f>I9*I10</f>
        <v/>
      </c>
      <c r="J11" s="28">
        <f>J9*J10</f>
        <v/>
      </c>
      <c r="K11" s="28">
        <f>K9*K10</f>
        <v/>
      </c>
      <c r="L11" s="28">
        <f>L9*L10</f>
        <v/>
      </c>
      <c r="M11" s="28">
        <f>M9*M10</f>
        <v/>
      </c>
      <c r="N11" s="28">
        <f>N9*N10</f>
        <v/>
      </c>
      <c r="O11" s="28">
        <f>O9*O10</f>
        <v/>
      </c>
      <c r="P11" s="28">
        <f>P9*P10</f>
        <v/>
      </c>
      <c r="Q11" s="28">
        <f>Q9*Q10</f>
        <v/>
      </c>
      <c r="R11" s="28">
        <f>R9*R10</f>
        <v/>
      </c>
      <c r="S11" s="28">
        <f>S9*S10</f>
        <v/>
      </c>
      <c r="T11" s="28">
        <f>SUM(B11:S11)</f>
        <v/>
      </c>
    </row>
    <row r="12" ht="95" customHeight="1">
      <c r="A12" s="19" t="inlineStr">
        <is>
          <t>คำอธิบาย &amp; หลักฐานอ้างอิงจากไฟล์ Intake (Evidence Citation)</t>
        </is>
      </c>
      <c r="B12" s="22" t="inlineStr">
        <is>
          <t>อ้างอิง solution-1.md ข้อจำกัดทางกายภาพ: ต้องทนฝนและน้ำขัง อ้างอิง team-skills/jk.md หัวข้อ Mechanic: ใช้ SOLIDWORKS ได้แต่ไม่สามารถเข้าถึง Machine Shop ได้ จึงแก้ปัญหาด้วยกล่องสำเร็จรูป COTS</t>
        </is>
      </c>
      <c r="C12" s="22" t="inlineStr">
        <is>
          <t>อ้างอิง solution-1.md ข้อ Requirements b: ใช้เซนเซอร์วัดระดับน้ำและวัดการไหล อ้างอิง team-skills/jk.md หัวข้อ Electronics: ไม่เคยออกแบบ PCB และบัดกรีไม่เก่ง แต่เข้าใจการต่อวงจร IC และใช้บอร์ดสำเร็จรูปได้ กินไฟต่ำ ไม่มีความร้อนสะสม</t>
        </is>
      </c>
      <c r="D12" s="22" t="inlineStr">
        <is>
          <t>อ้างอิง solution-1.md ข้อ Requirements a: คำนวณ dh/dt เทียบกับเวลาเดินทาง QRT 20-30 นาที อ้างอิง team-skills/jk.md หัวข้อ Programming: JK เชี่ยวชาญ Python, C++, ROS2, Linear Algebra และ Differential Equations ขั้นสูง</t>
        </is>
      </c>
      <c r="E12" s="22" t="inlineStr">
        <is>
          <t>อ้างอิง solution-1.md ข้อ Constraints a: เซนเซอร์อาจประเมินค่าผิดพลาดจากขยะลอยและคลื่นผิวน้ำ แต่แก้ไขได้ด้วยการติดตั้งเซนเซอร์แบบไม่สัมผัสน้ำ (Non-contact) และใช้ตัวกรองเชิงสถิติ</t>
        </is>
      </c>
      <c r="F12" s="22" t="inlineStr">
        <is>
          <t>อ้างอิง solution-1.md ข้อ Requirements: ใช้อุปกรณ์ COTS ทั่วไป คำนวณงบประมาณต้นแบบบนโต๊ะทดลองไม่เกิน 3,500 บาท (JSN-SR04T ~120 บ., ESP32 ~150 บ., โมเด็ม 4G ~800 บ., กล่อง IP67 ~150 บ.)</t>
        </is>
      </c>
      <c r="G12" s="22" t="inlineStr">
        <is>
          <t>ราคาต่อหน่วยของอุปกรณ์ COTS ต่ำมาก ทำให้สามารถซื้อบอร์ดสำรอง 2 ชุดและเซนเซอร์สำรอง 3 ชุดได้โดยอยู่ในงบสำรอง 1,500 บาท รวมงบประมาณทั้งสิ้น 5,000 บาทพอดี</t>
        </is>
      </c>
      <c r="H12" s="22" t="inlineStr">
        <is>
          <t>อ้างอิง solution-1.md ข้อ Leverage Point: มุ่งลดการสะสมของ False Flags และลดการเสียเวลาและทรัพยากรของเจ้าหน้าที่หน้างาน โดยอุปกรณ์ใช้แบตเตอรี่ LiFePO4 อยู่ได้นานหลายเดือน</t>
        </is>
      </c>
      <c r="I12" s="22" t="inlineStr">
        <is>
          <t>อ้างอิง solution-1.md ข้อ Requirements c: ตัดสินใจใช้ Local Ultrasonic Sensors วัดเฉพาะระยะห่างผิวน้ำ ปลอดจากข้อมูลระบุตัวตน (No PII) 100% จึงไม่มีความเสี่ยงต่อ พ.ร.บ. PDPA และติดตั้งบนราวสะพานไม่กีดขวางทางสัญจร</t>
        </is>
      </c>
      <c r="J12" s="22" t="inlineStr">
        <is>
          <t>เลือกใช้โมดูล 4G LTE มาตรฐานอุตสาหกรรม (เช่น SIM7600) ที่ได้รับใบรับรองจาก กสทช. ถูกต้อง และอ้างอิง team-skills/jk.md ที่มีอาจารย์ที่ปรึกษามีเครือข่ายความร่วมมือทางวิชาการกับสำนักการระบายน้ำ กทม.</t>
        </is>
      </c>
      <c r="K12" s="22" t="inlineStr">
        <is>
          <t>อ้างอิง solution-1.md ข้อ Constraints b: ขั้นตอนการดำเนินงานต้องมี Evidences ส่งคืนประชาชน ทำให้เกิดการบังคับให้เจ้าหน้าที่ต้องลงหน้างานเพื่อถ่ายรูปปิดเคสใน Traffy Fondue</t>
        </is>
      </c>
      <c r="L12" s="22" t="inlineStr">
        <is>
          <t>การออกแบบเน้นกล่อง COTS ที่มีแคลมป์รัดท่อแบบ Universal ไม่ต้องเจาะทำลายสะพาน และส่งข้อมูลผ่านสัญญาณมือถือขึ้น Web Dashboard แบบ Standalone โดยตรง</t>
        </is>
      </c>
      <c r="M12" s="22" t="inlineStr">
        <is>
          <t>อ้างอิง team-skills/jk.md เป็นนักศึกษาทำงานเดี่ยว (Solo Developer). ตำแหน่งติดตั้งเซนเซอร์อัลตราโซนิกอยู่บนราวสะพานข้ามคลอง ผู้พัฒนาสามารถยืนติดตั้งจากบนสะพานได้อย่างปลอดภัย ไม่ต้องลงน้ำหรือลงผิวจราจร</t>
        </is>
      </c>
      <c r="N12" s="22" t="inlineStr">
        <is>
          <t>อ้างอิง schedule-details/schedule.md ระบุชัดเจนว่ามีช่วงสอบกลางภาคและปลายภาครวม 4 สัปดาห์. โครงสร้างซอฟต์แวร์ของ Solution 1 สามารถทดสอบล่วงหน้าบนคอมพิวเตอร์ด้วยข้อมูลจำลองได้ ทำให้ไม่สะดุดช่วงสอบ</t>
        </is>
      </c>
      <c r="O12" s="22" t="inlineStr">
        <is>
          <t>อ้างอิง schedule-details/schedule.md: สัปดาห์ 9 ส่งสมการ Recession Rate (TRL 2), สัปดาห์ 13 ประกอบเซนเซอร์ทดสอบกับถังน้ำบนโต๊ะ (TRL 3), สัปดาห์ 16 ทดสอบกับคลองมหาวิทยาลัย (TRL 4) สอดคล้องกับทักษะของ JK</t>
        </is>
      </c>
      <c r="P12" s="22" t="inlineStr">
        <is>
          <t>อุปกรณ์ทุกชิ้น (ESP32, JSN-SR04T, กล่อง IP67, โมเด็ม 4G) มีสต็อกพร้อมส่งในประเทศไทย จัดส่งถึงภายใน 2-3 วันทำการ ทำให้มี Buffer รวมระบบมากกว่า 3 สัปดาห์</t>
        </is>
      </c>
      <c r="Q12" s="22" t="inlineStr">
        <is>
          <t>อ้างอิง sdg-rulebook/goals/goal-11.md ตัวชี้วัด 11.5.2 และ goal-06.md ตัวชี้วัด 6.3.2: การกรอง Empty Cases ช่วยปลดล็อกกำลังพลของ QRT ให้สามารถเข้าช่วยเหลือจุดวิกฤตน้ำท่วมขังรุนแรงได้อย่างทันท่วงที</t>
        </is>
      </c>
      <c r="R12" s="22" t="inlineStr">
        <is>
          <t>อ้างอิง sdg-rulebook/goals/goal-06.md ตัวชี้วัด 6.3.2: อุปกรณ์ติดตั้งเหนือน้ำ ไม่สัมผัสน้ำโดยตรง กล่องปิดสนิท และมีสลิงนิรภัยสแตนเลสยึดกับโครงสร้างสะพานป้องกันตัวเครื่องหลุดลอยยามน้ำหลาก</t>
        </is>
      </c>
      <c r="S12" s="22" t="inlineStr">
        <is>
          <t>อ้างอิง sdg-rulebook/goals/goal-10.md: การตัดสินใจใช้สมการชลศาสตร์ทางกายภาพเป็นเกณฑ์เดียวกันทุกพื้นที่ ทำให้ทุกชุมชนได้รับการประเมินตามสภาพน้ำท่วมจริงอย่างเสมอภาค ไม่ถูกเลือกปฏิบัติ</t>
        </is>
      </c>
      <c r="T12" s="29">
        <f>IF(MIN(B9:S9)=1, "VETOED / ตกเกณฑ์ข้อบังคับวิกฤต (คะแนนระดับ 1)", IF(T9&gt;=80, "ผ่านเกณฑ์ระดับสูง (HIGHLY VIABLE)", IF(T9&gt;=60, "ผ่านแบบมีเงื่อนไข (CONDITIONALLY VIABLE)", "ความเสี่ยงสูง (HIGH RISK)")))</f>
        <v/>
      </c>
    </row>
    <row r="13" ht="70" customHeight="1">
      <c r="A13" s="19" t="inlineStr">
        <is>
          <t>แผนลดขอบเขตงาน &amp; มาตรการลดความเสี่ยง (De-scoping Action)</t>
        </is>
      </c>
      <c r="B13" s="22" t="inlineStr">
        <is>
          <t>จัดซื้อกล่องพักสายไฟกันน้ำมาตรฐาน IP67 (~150 บาท) และแคลมป์รัดเสาสำเร็จรูป จำกัดการพิมพ์ 3D ไว้เฉพาะตัวยึดภายในกล่องเท่านั้น</t>
        </is>
      </c>
      <c r="C13" s="22" t="inlineStr">
        <is>
          <t>ห้ามออกแบบ Custom PCB เด็ดขาด ให้ใช้ Screw Terminal Expansion Shield สำเร็จรูปที่มีระบบป้องกันไฟกระชากในตัว</t>
        </is>
      </c>
      <c r="D13" s="22" t="inlineStr">
        <is>
          <t>พัฒนาเป็นโมดูลคำนวณอัตราการลดระดับน้ำด้วย Python/ROS2 พร้อมชุดทดสอบ Unit Test จำลองกราฟการระบายน้ำของ กทม.</t>
        </is>
      </c>
      <c r="E13" s="22" t="inlineStr">
        <is>
          <t>นำแบบจำลองการระบายน้ำของ Ann Arbor มาปรับใช้ร่วมกับการกำหนดค่าเผื่อความปลอดภัย (Safety Margin) ที่รัดกุม</t>
        </is>
      </c>
      <c r="F13" s="22" t="inlineStr">
        <is>
          <t>สั่งซื้ออุปกรณ์อิเล็กทรอนิกส์ทั้งหมดจากผู้จัดจำหน่ายในไทยเพื่อตัดค่าขนส่งระหว่างประเทศและควบคุมงบประมาณอย่างเด็ดขาด</t>
        </is>
      </c>
      <c r="G13" s="22" t="inlineStr">
        <is>
          <t>จัดซื้อเซนเซอร์และตัวแปลงไฟสำรองตั้งแต่สัปดาห์แรกของการเริ่มโครงการ เพื่อป้องกันความล่าช้ากรณีชิ้นส่วนเสียหาย</t>
        </is>
      </c>
      <c r="H13" s="22" t="inlineStr">
        <is>
          <t>คำนวณตัวเลขค่าน้ำมันและชั่วโมงการทำงานของเจ้าหน้าที่ที่ประหยัดได้ต่อปีเพื่อนำเสนอในเล่มรายงาน Final</t>
        </is>
      </c>
      <c r="I13" s="22" t="inlineStr">
        <is>
          <t>ระบุในเอกสารข้อกำหนดระบบอย่างเป็นทางการว่าไม่มีการเก็บภาพถ่ายหรือข้อมูลส่วนบุคคล เพื่อหลีกเลี่ยงกระบวนการขออนุญาต PDPA</t>
        </is>
      </c>
      <c r="J13" s="22" t="inlineStr">
        <is>
          <t>ให้อาจารย์ที่ปรึกษาออกหนังสือนำทางวิชาการสำหรับการขอทดสอบติดตั้งอุปกรณ์บนสะพานคลองในเขตมหาวิทยาลัยก่อน</t>
        </is>
      </c>
      <c r="K13" s="22" t="inlineStr">
        <is>
          <t>พัฒนาฟังก์ชันสร้าง Digital Evidence Card แนบกราฟอัตราน้ำลดลงส่งเข้าสู่ระบบ Traffy Fondue โดยตรง และนัดประชุมชี้แจงหัวหน้าฝ่ายระบายน้ำเพื่อขออนุมัติระเบียบการปิดเคสดิจิทัล</t>
        </is>
      </c>
      <c r="L13" s="22" t="inlineStr">
        <is>
          <t>ออกแบบ Web UI ให้เรียบง่ายที่สุด โดยแสดงแถบสถานะสีเขียว (แห้งเองได้) และสีแดง (ต้องส่งรถ) พร้อมปุ่มกดคัดลอกข้อความสรุปเหตุการณ์</t>
        </is>
      </c>
      <c r="M13" s="22" t="inlineStr">
        <is>
          <t>ดำเนินการทดสอบระบบบนโต๊ะทดลองและคลองทดสอบภายในมหาวิทยาลัยให้สมบูรณ์ 100% ก่อน และสวมเสื้อสะท้อนแสงทุกครั้งที่ลงพื้นที่จริง</t>
        </is>
      </c>
      <c r="N13" s="22" t="inlineStr">
        <is>
          <t>เร่งรัดการล็อกสเปกฮาร์ดแวร์และเขียนโค้ดอัลกอริทึม dh/dt ให้เสร็จสมบูรณ์ 100% ก่อนเข้าสู่สัปดาห์สอบกลางภาค (สัปดาห์ที่ 9)</t>
        </is>
      </c>
      <c r="O13" s="22" t="inlineStr">
        <is>
          <t>กำหนดให้เกณฑ์ผ่าน TRL 3 เป็นการทดสอบในถังน้ำในห้องแล็บ เพื่อรับประกันว่าจะผ่านเกณฑ์ได้โดยไม่ต้องพึ่งพาสภาพฝนตกจริง</t>
        </is>
      </c>
      <c r="P13" s="22" t="inlineStr">
        <is>
          <t>จัดซื้ออุปกรณ์ทั้งหมดจากร้านค้าออนไลน์ในไทยในสัปดาห์แรก และปฏิเสธการสั่งซื้อชิ้นส่วนนำเข้าจากต่างประเทศทุกกรณี</t>
        </is>
      </c>
      <c r="Q13" s="22" t="inlineStr">
        <is>
          <t>รวบรวมสถิติการลดเวลาเดินทางและจำนวนเคสที่ได้รับการแก้ไขเร็วขึ้นเพื่อใช้เป็นตัวชี้วัดความสำเร็จตาม SDG 11.5 ในรายงานขั้นสุดท้าย</t>
        </is>
      </c>
      <c r="R13" s="22" t="inlineStr">
        <is>
          <t>ติดตั้งสายสลิงนิรภัยสองชั้น (Dual Safety Tether) และใช้แบตเตอรี่ LiFePO4 ที่มีความปลอดภัยสูงและไม่มีสารพิษรั่วไหล</t>
        </is>
      </c>
      <c r="S13" s="22" t="inlineStr">
        <is>
          <t>กำหนดให้อัลกอริทึมใช้พารามิเตอร์ทางชลศาสตร์มาตรฐานเดียวกันทุกจุดติดตั้ง เพื่อรักษาความเสมอภาคตาม SDG 10</t>
        </is>
      </c>
      <c r="T13" s="21" t="inlineStr">
        <is>
          <t>ปฏิบัติตามแผนลดขอบเขตงาน (De-scoping Advisory)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3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</cols>
  <sheetData>
    <row r="1">
      <c r="A1" s="15" t="inlineStr">
        <is>
          <t>เมทริกซ์ประเมินความเป็นไปได้เชิงระบบ TELOS+S: CCTV Edge-AI Visual Flood Detection ตรวจจับระดับน้ำจากกล้องวงจรปิด</t>
        </is>
      </c>
    </row>
    <row r="2">
      <c r="A2" s="16" t="inlineStr">
        <is>
          <t>ระบบคะแนนจำนวนเต็มเด็ดขาด: 1, 2, 3, 4, 5 เท่านั้น (ไม่มีจุดทศนิยม / ไม่มี 0.5) | โครงสร้างแบบ Transposed แนวนอน</t>
        </is>
      </c>
    </row>
    <row r="4" ht="24" customHeight="1">
      <c r="A4" s="17" t="inlineStr">
        <is>
          <t>รหัสคำถาม (Question Code)</t>
        </is>
      </c>
      <c r="B4" s="18" t="inlineStr">
        <is>
          <t>T-01</t>
        </is>
      </c>
      <c r="C4" s="18" t="inlineStr">
        <is>
          <t>T-02</t>
        </is>
      </c>
      <c r="D4" s="18" t="inlineStr">
        <is>
          <t>T-03</t>
        </is>
      </c>
      <c r="E4" s="18" t="inlineStr">
        <is>
          <t>T-04</t>
        </is>
      </c>
      <c r="F4" s="18" t="inlineStr">
        <is>
          <t>E-01</t>
        </is>
      </c>
      <c r="G4" s="18" t="inlineStr">
        <is>
          <t>E-02</t>
        </is>
      </c>
      <c r="H4" s="18" t="inlineStr">
        <is>
          <t>E-03</t>
        </is>
      </c>
      <c r="I4" s="18" t="inlineStr">
        <is>
          <t>L-01</t>
        </is>
      </c>
      <c r="J4" s="18" t="inlineStr">
        <is>
          <t>L-02</t>
        </is>
      </c>
      <c r="K4" s="18" t="inlineStr">
        <is>
          <t>O-01</t>
        </is>
      </c>
      <c r="L4" s="18" t="inlineStr">
        <is>
          <t>O-02</t>
        </is>
      </c>
      <c r="M4" s="18" t="inlineStr">
        <is>
          <t>O-03</t>
        </is>
      </c>
      <c r="N4" s="18" t="inlineStr">
        <is>
          <t>S-01</t>
        </is>
      </c>
      <c r="O4" s="18" t="inlineStr">
        <is>
          <t>S-02</t>
        </is>
      </c>
      <c r="P4" s="18" t="inlineStr">
        <is>
          <t>S-03</t>
        </is>
      </c>
      <c r="Q4" s="18" t="inlineStr">
        <is>
          <t>SDG-01</t>
        </is>
      </c>
      <c r="R4" s="18" t="inlineStr">
        <is>
          <t>SDG-02</t>
        </is>
      </c>
      <c r="S4" s="18" t="inlineStr">
        <is>
          <t>SDG-03</t>
        </is>
      </c>
      <c r="T4" s="18" t="inlineStr">
        <is>
          <t>สรุปภาพรวม (SUMMARY)</t>
        </is>
      </c>
    </row>
    <row r="5" ht="24" customHeight="1">
      <c r="A5" s="19" t="inlineStr">
        <is>
          <t>มิติการประเมิน (TELOS+S Pillar)</t>
        </is>
      </c>
      <c r="B5" s="20" t="inlineStr">
        <is>
          <t>ด้านเทคนิค (Technical 2.2)</t>
        </is>
      </c>
      <c r="C5" s="20" t="inlineStr">
        <is>
          <t>ด้านเทคนิค (Technical 2.2)</t>
        </is>
      </c>
      <c r="D5" s="20" t="inlineStr">
        <is>
          <t>ด้านเทคนิค (Technical 2.2)</t>
        </is>
      </c>
      <c r="E5" s="20" t="inlineStr">
        <is>
          <t>ด้านเทคนิค (Technical 2.2)</t>
        </is>
      </c>
      <c r="F5" s="20" t="inlineStr">
        <is>
          <t>ด้านเศรษฐศาสตร์ (Economic 2.3)</t>
        </is>
      </c>
      <c r="G5" s="20" t="inlineStr">
        <is>
          <t>ด้านเศรษฐศาสตร์ (Economic 2.3)</t>
        </is>
      </c>
      <c r="H5" s="20" t="inlineStr">
        <is>
          <t>ด้านเศรษฐศาสตร์ (Economic 2.3)</t>
        </is>
      </c>
      <c r="I5" s="20" t="inlineStr">
        <is>
          <t>ด้านกฎหมายและหน่วยงาน (Legal 2.4)</t>
        </is>
      </c>
      <c r="J5" s="20" t="inlineStr">
        <is>
          <t>ด้านกฎหมายและหน่วยงาน (Legal 2.4)</t>
        </is>
      </c>
      <c r="K5" s="20" t="inlineStr">
        <is>
          <t>ด้านการปฏิบัติการ (Operational 2.5)</t>
        </is>
      </c>
      <c r="L5" s="20" t="inlineStr">
        <is>
          <t>ด้านการปฏิบัติการ (Operational 2.5)</t>
        </is>
      </c>
      <c r="M5" s="20" t="inlineStr">
        <is>
          <t>ด้านการปฏิบัติการ (Operational 2.5)</t>
        </is>
      </c>
      <c r="N5" s="20" t="inlineStr">
        <is>
          <t>ด้านตารางเวลา (Schedule 2.6)</t>
        </is>
      </c>
      <c r="O5" s="20" t="inlineStr">
        <is>
          <t>ด้านตารางเวลา (Schedule 2.6)</t>
        </is>
      </c>
      <c r="P5" s="20" t="inlineStr">
        <is>
          <t>ด้านตารางเวลา (Schedule 2.6)</t>
        </is>
      </c>
      <c r="Q5" s="20" t="inlineStr">
        <is>
          <t>เป้าหมายความยั่งยืน (SDGs 2.7)</t>
        </is>
      </c>
      <c r="R5" s="20" t="inlineStr">
        <is>
          <t>เป้าหมายความยั่งยืน (SDGs 2.7)</t>
        </is>
      </c>
      <c r="S5" s="20" t="inlineStr">
        <is>
          <t>เป้าหมายความยั่งยืน (SDGs 2.7)</t>
        </is>
      </c>
      <c r="T5" s="21" t="inlineStr">
        <is>
          <t>ผลรวมทุกมิติ (All Pillars)</t>
        </is>
      </c>
    </row>
    <row r="6" ht="75" customHeight="1">
      <c r="A6" s="19" t="inlineStr">
        <is>
          <t>คำถามทดสอบความเสี่ยงจริง (Stress-Test Question)</t>
        </is>
      </c>
      <c r="B6" s="22" t="inlineStr">
        <is>
          <t>เมื่อพิจารณาว่าผู้พัฒนาไม่มีทักษะการกลึง/ตัดโลหะและไม่สามารถเข้าถึงโรงประลอง (Machine Shop) ได้ โครงสร้างฮาร์ดแวร์ภายนอกของระบบสามารถประกอบขึ้นจากอุปกรณ์สำเร็จรูปมาตรฐาน (COTS) เพื่อทนต่อสภาวะแวดล้อมน้ำท่วม/มรสุมของ กทม. ได้อย่างสมบูรณ์หรือไม่?</t>
        </is>
      </c>
      <c r="C6" s="22" t="inlineStr">
        <is>
          <t>เมื่อพิจารณาว่าผู้พัฒนาไม่มีทักษะการออกแบบ Custom PCB และมีทักษะการบัดกรีต่ำ สถาปัตยกรรมฮาร์ดแวร์อิเล็กทรอนิกส์และวงจรของระบบสามารถติดตั้งและทำงานได้อย่างมีเสถียรภาพโดยไม่เกิดความร้อนสะสมหรือวงจรล้มเหลวหรือไม่?</t>
        </is>
      </c>
      <c r="D6" s="22" t="inlineStr">
        <is>
          <t>ความสามารถและอัลกอริทึมในการตรวจวัดและทำนายระดับน้ำหรือการระบายน้ำ สามารถประมวลผลและให้ผลลัพธ์ที่แม่นยำได้ทันก่อนกรอบเวลาเดินทางของทีม QRT (20-30 นาที) หรือไม่?</t>
        </is>
      </c>
      <c r="E6" s="22" t="inlineStr">
        <is>
          <t>ระบบมีความแข็งแกร่ง (Robustness) ต่อปัจจัยรบกวนในสิ่งแวดล้อมจริงของ กทม. (เช่น คราบสิ่งสกปรก ขยะลอย ทัศนวิสัยต่ำตอนฝนตกหนัก น้ำทะเลหนุน) โดยไม่เกิดความล้มเหลวในการตรวจวัดหรือไม่?</t>
        </is>
      </c>
      <c r="F6" s="22" t="inlineStr">
        <is>
          <t>งบประมาณจัดซื้ออุปกรณ์ต้นแบบ (BOM) ทั้งหมด สามารถควบคุมให้อยู่ภายใต้เพดานงบประมาณโครงงานนักศึกษา (&lt; 5,000 บาท) ได้อย่างแท้จริงหรือไม่?</t>
        </is>
      </c>
      <c r="G6" s="22" t="inlineStr">
        <is>
          <t>โครงการได้จัดสรรงบประมาณสำรองสำหรับอะไหล่ทดแทน 100% (Scrap Allowance) กรณีอุปกรณ์ลัดวงจรหรือเสียหายจากการทดสอบหน้างานจริงหรือไม่?</t>
        </is>
      </c>
      <c r="H6" s="22" t="inlineStr">
        <is>
          <t>ค่าใช้จ่ายในการบำรุงรักษาและทำความสะอาดอุปกรณ์ (OpEx) คุ้มค่าเมื่อเทียบกับต้นทุนค่าน้ำมันและกำลังพลที่ประหยัดได้จากการลดการปล่อยรถ QRT ไปเก้อหรือไม่?</t>
        </is>
      </c>
      <c r="I6" s="22" t="inlineStr">
        <is>
          <t>การติดตั้งและปฏิบัติการของระบบ สอดคล้องกับกฎหมายคุ้มครองข้อมูลส่วนบุคคล (PDPA), กฎหมายจราจร, และระเบียบความปลอดภัยในที่สาธารณะโดยไม่ละเมิดข้อบังคับหรือไม่?</t>
        </is>
      </c>
      <c r="J6" s="22" t="inlineStr">
        <is>
          <t>อุปกรณ์สื่อสารไร้สายได้รับการรับรองมาตรฐานจาก กสทช. (NBTC) และทีมงานมีความพร้อมในการประสานงานขอความร่วมมือจากหน่วยงานภาครัฐ (กทม./สำนักการระบายน้ำ) หรือไม่?</t>
        </is>
      </c>
      <c r="K6" s="22" t="inlineStr">
        <is>
          <t>ระบบสามารถสร้างหลักฐานยืนยันที่สอดคล้องกับระเบียบราชการ (เช่น ภาพถ่ายปิดเคสใน Traffy Fondue) เพื่อให้เจ้าหน้าที่ศูนย์สั่งการกล้าตัดสินใจยกเลิกหรือชะลอการปล่อยรถ QRT โดยไม่กลัวความผิดทางวินัยหรือไม่?</t>
        </is>
      </c>
      <c r="L6" s="22" t="inlineStr">
        <is>
          <t>ความซับซ้อนในการติดตั้ง การบำรุงรักษา และการใช้งานระบบ ไม่สร้างภาระงานส่วนเกินหรือต้องอาศัยการฝึกอบรมบุคลากรหน้างานอย่างซับซ้อนหรือไม่?</t>
        </is>
      </c>
      <c r="M6" s="22" t="inlineStr">
        <is>
          <t>การทดสอบและติดตั้งระบบจริงหน้างาน สามารถดำเนินการได้อย่างปลอดภัยโดยไม่นำพาผู้พัฒนาไปสู่สภาวะอันตรายถึงชีวิต (เช่น พื้นที่อับอากาศ/การจราจรหนาแน่น) หรือทำให้เกิดภาวะหมดไฟ (Burnout) หรือไม่?</t>
        </is>
      </c>
      <c r="N6" s="22" t="inlineStr">
        <is>
          <t>แผนงานและสถาปัตยกรรมระบบสามารถดูดซับช่วงเวลาหยุดนิ่งจากการสอบของมหาวิทยาลัย 4 สัปดาห์ (สัปดาห์ 10+1, 10+2, 15+1, 15+2) และส่งมอบต้นแบบได้ทันกรอบเวลา 16 สัปดาห์หรือไม่?</t>
        </is>
      </c>
      <c r="O6" s="22" t="inlineStr">
        <is>
          <t>ความก้าวหน้าทางวิศวกรรมสามารถบรรลุเกณฑ์ TRL ตามกำหนด (สัปดาห์ 9: TRL 2 Model, สัปดาห์ 13: TRL 3 PoC, สัปดาห์ 16: TRL 4 Lab Verification) ได้อย่างสมบูรณ์หรือไม่?</t>
        </is>
      </c>
      <c r="P6" s="22" t="inlineStr">
        <is>
          <t>ระยะเวลาในการสั่งซื้อและขนส่งอุปกรณ์ (Lead Time) มีการสำรองเวลา (Buffer) อย่างน้อย 2-3 สัปดาห์เพื่อการรวมระบบและแก้จุดบกพร่องก่อนส่งมอบจริงหรือไม่?</t>
        </is>
      </c>
      <c r="Q6" s="22" t="inlineStr">
        <is>
          <t>ระบบส่งเสริมการลดความสูญเสียจากภัยพิบัติน้ำท่วมเมือง (SDG 11.5) และยกระดับการเฝ้าระวังระบบระบายน้ำ (SDG 6.3) อย่างวัดผลได้จริงเชิงปฏิบัติการหรือไม่?</t>
        </is>
      </c>
      <c r="R6" s="22" t="inlineStr">
        <is>
          <t>อุปกรณ์ที่นำไปติดตั้ง ไม่เสี่ยงต่อการชะล้างสารพิษ การสร้างขยะอิเล็กทรอนิกส์ตกค้างในทางน้ำ (SDG 6/12) หรือการหลุดลอยไปอุดตันท่อระบายน้ำหรือไม่?</t>
        </is>
      </c>
      <c r="S6" s="22" t="inlineStr">
        <is>
          <t>ตรรกะการประเมินและการกรองเหตุร้องเรียน มีความเป็นธรรม ไม่สร้างความเหลื่อมล้ำในการตอบสนองระหว่างพื้นที่เมืองชั้นในที่มีการร้องเรียนหนาแน่น กับชุมชนชานเมืองหรือไม่?</t>
        </is>
      </c>
      <c r="T6" s="23" t="inlineStr">
        <is>
          <t>ประเมินคำถามทั้งสิ้น 18 ข้อ</t>
        </is>
      </c>
    </row>
    <row r="7" ht="95" customHeight="1">
      <c r="A7" s="19" t="inlineStr">
        <is>
          <t>เหตุผลในการถาม &amp; โหมดความล้มเหลวที่เฝ้าระวัง (Rationale)</t>
        </is>
      </c>
      <c r="B7" s="22" t="inlineStr">
        <is>
          <t>หากฝืนออกแบบโครงสร้างที่ต้องกลึงหรือเชื่อมโลหะเอง เมื่อไม่มีสิทธิ์เข้าใช้โรงประลอง (Machine Shop) งานฮาร์ดแวร์จะติดคอตันทันทีในสัปดาห์แรก ๆ นอกจากนี้ อุปกรณ์กลางแจ้งต้องทนลมพายุมรสุมและละอองน้ำขัง หากกล่องพิมพ์ 3D ซีลไม่ดี น้ำจะซึมเข้ากล่องทำให้วงจรลัดวงจร เซนเซอร์ดับกลางคัน และส่งข้อมูลหลอกศูนย์สั่งการ</t>
        </is>
      </c>
      <c r="C7" s="22" t="inlineStr">
        <is>
          <t>การสั่งผลิต Custom PCB ใช้เวลาแก้แบบและรอส่ง 2-3 สัปดาห์ต่อรอบ หากออกแบบลายวงจรผิดหรือบัดกรีพลาด จะทำให้โครงการล่มทันที นอกจากนี้ การนำบอร์ดประมวลผลสูงไปปิดผนึกในกล่องกันน้ำกลางแดด 40°C ของ กทม. เสี่ยงต่อการเกิดความร้อนสะสม (Thermal Throttling) จนชิปค้างหรือรีบูตตัวเองขณะฝนตกหนัก ซึ่งเป็นช่วงเวลาที่ต้องการข้อมูลมากที่สุด</t>
        </is>
      </c>
      <c r="D7" s="22" t="inlineStr">
        <is>
          <t>หัวใจเชิงระบบของโครงการนี้คือการแยกเคส 'น้ำท่วมชั่วคราวที่ระบายเองได้' ออกจากเคสวิกฤต หากอัลกอริทึมต้องพึ่งพา AI ข้อมูลมหาศาลที่ยังไม่มีชุดข้อมูล หรือประมวลผลช้าเกิน 20-30 นาที รถ QRT จะถูกส่งออกไปหน้างานและพบว่าน้ำแห้งแล้วก่อนที่ระบบจะคำนวณเสร็จ กลายเป็นระบบไร้ประโยชน์ที่แก้ปัญหาไม่ได้จริงในหน้างาน</t>
        </is>
      </c>
      <c r="E7" s="22" t="inlineStr">
        <is>
          <t>คลองและผิวจราจร กทม. เต็มไปด้วยขยะลอย ผักตบชวา คราบน้ำมัน และคลื่นผิวน้ำจากลมพายุ หากใช้เซนเซอร์ที่สัมผัสน้ำตรง ๆ ขยะจะพันติดจนเซนเซอร์พัง หรือถ้าใช้คลื่นสะท้อนโดยไม่มีตัวกรองเชิงสถิติกำจัดสัญญาณรบกวน ค่าระดับน้ำจะกระโดดไปมา นำไปสู่การประเมินอัตราน้ำลดผิดพลาดและสั่งยกเลิกรถผิดจังหวะ</t>
        </is>
      </c>
      <c r="F7" s="22" t="inlineStr">
        <is>
          <t>โครงงานนักศึกษาไม่มีงบจัดซื้อจากรัฐหรือสปอนเซอร์ภายนอก หากเลือกสถาปัตยกรรมที่ใช้อุปกรณ์อุตสาหกรรมราคาแพง (เช่น เซนเซอร์เสียงใต้ดินตัวละ 25,000 บาท หรือกล้อง AI เกรดราชการ) ผู้พัฒนาจะต้องควักเงินส่วนตัวจนเงินหมดก่อนได้ต้นแบบ หรือต้องยอมตัดทอนอุปกรณ์หลักจนระบบใช้งานไม่ได้</t>
        </is>
      </c>
      <c r="G7" s="22" t="inlineStr">
        <is>
          <t>งานวิศวกรรมฮาร์ดแวร์และน้ำไม่เคยต่อครั้งเดียวแล้วติด การทดสอบหน้างานมีความเสี่ยงสูงที่จะทำบอร์ดไหม้ เซนเซอร์ช็อต หรืออุปกรณ์ตกน้ำสูญหาย หากตั้งงบไว้พอดีเป๊ะ 1x BOM โดยไม่มีงบอะไหล่สำรอง 100% ความเสียหายเพียงครั้งเดียวจะทำให้การทดลองหยุดชะงักและไม่มีเงินสั่งซื้อใหม่</t>
        </is>
      </c>
      <c r="H7" s="22" t="inlineStr">
        <is>
          <t>ระบบต้องตอบคำถามความคุ้มค่าเชิงระบบได้ชัดเจน หากค่าซิม 4G รายเดือน ค่าไฟฟ้า และค่าแรงเจ้าหน้าที่ที่ต้องคอยปีนไปเช็ดกล้องหรือล้างเซนเซอร์สูงกว่าค่าน้ำมันรถ QRT ที่ประหยัดได้จากเคสว่างเปล่า โครงการนี้จะกลายเป็น 'ภาระทางงบประมาณ' ของ กทม. และถูกถอดทิ้งหลังจบการทดลอง</t>
        </is>
      </c>
      <c r="I7" s="22" t="inlineStr">
        <is>
          <t>การติดตั้งเทคโนโลยีในที่สาธารณะมักตายด้วยข้อกฎหมาย ไม่ใช่เทคโนโลยี การใช้กล้องส่องถนนจะติด พ.ร.บ. PDPA มาตรา 24 ทันทีที่มีใบหน้าคนหรือทะเบียนรถ หรือการเปิดฝาท่อบนผิวจราจรโดยไม่มีตำรวจกั้นทางจะผิด พ.ร.บ. ทางหลวงและเสี่ยงต่ออุบัติเหตุรถตกท่อ ซึ่งอาจนำไปสู่คดีความอาญาและคำสั่งระงับโครงการทันที</t>
        </is>
      </c>
      <c r="J7" s="22" t="inlineStr">
        <is>
          <t>แม้อุปกรณ์จะใช้ได้จริง แต่หากคลื่นวิทยุไม่ผ่าน กสทช. จะนำไปติดตั้งจริงไม่ได้ และที่สำคัญที่สุดคือ ระบบต้องไปแตะโครงสร้างสะพาน ท่อระบายน้ำ หรือเสาไฟของ กทม. หากทีมงานไม่มีคอนเนกชันเชิงสถาบันหรือหนังสือรับรองจากอาจารย์ที่ปรึกษาเพื่อขอเปิดพื้นที่ การลงหน้างานจะถูกเทศกิจสั่งรื้อถอนทันที</t>
        </is>
      </c>
      <c r="K7" s="22" t="inlineStr">
        <is>
          <t>จุดตายอันดับหนึ่งของระบบคัดกรองอัตโนมัติ เจ้าหน้าที่ศูนย์สั่งการ กทม. ต้องรับผิดชอบทางวินัยต่อเรื่องร้องเรียนของประชาชนใน Traffy Fondue หากระบบบอกว่า 'น้ำแห้งเองได้' แต่ไม่มีหลักฐานรูปภาพยืนยันปิดเคส เจ้าหน้าที่ก็ยังคง 'ต้องส่งรถออกไปถ่ายรูปอยู่ดี' เพื่อเอาตัวรอดจากข้อร้องเรียน ทำให้การลงทุนทำระบบกรองล้มเหลวโดยสิ้นเชิง</t>
        </is>
      </c>
      <c r="L7" s="22" t="inlineStr">
        <is>
          <t>อุปกรณ์ที่ออกแบบมาให้คนอื่นใช้ ถ้าติดตั้งยาก บำรุงรักษาซับซ้อน หรือต้องอบรมใช้งานหลายวัน จะถูกเจ้าหน้าที่หน้างานต่อต้านและปฏิเสธการใช้งาน เจ้าหน้าที่ระบายน้ำหน้างานต้องการเพียงกล่องที่ขันยึดเสร็จใน 10 นาที และแดชบอร์ดที่บอกชัดเจนว่า 'ส่งรถ' หรือ 'ไม่ต้องส่ง' โดยไม่ต้องแปลผลกราฟซับซ้อน</t>
        </is>
      </c>
      <c r="M7" s="22" t="inlineStr">
        <is>
          <t>ประเมินความปลอดภัยในชีวิตจริงของผู้พัฒนา การปล่อยให้นักศึกษาเดี่ยว (Solo Developer) ต้องลงไปเปิดฝาท่อระบายน้ำที่มีก๊าซไข่เน่าพิษ (H2S) ขาดอากาศหายใจ หรือยืนปรับมุมกล้องริมถนนใหญ่ที่มีรถวิ่งเร็ว เป็นการกระทำที่อันตรายถึงชีวิตและขัดต่อจรรยาบรรณวิศวกรรม หากผู้พัฒนาบาดเจ็บ โครงการจะยุติทันที</t>
        </is>
      </c>
      <c r="N7" s="22" t="inlineStr">
        <is>
          <t>โครงงานภาคการศึกษา 16 สัปดาห์ มีช่วงสอบกลางภาคและปลายภาคของมหาวิทยาลัยถึง 4 สัปดาห์เต็ม ซึ่งสมองและเวลาของนักศึกษาจะถูกดึงไปกับการสอบ 100% หากสถาปัตยกรรมระบบไม่แยกส่วนให้ชัดเจนและไม่ล็อกสเปกฮาร์ดแวร์ก่อนสอบ โครงการจะเกิดภาวะขวดโหลแตก (Schedule Collapse) และประกอบงานส่งไม่ทัน</t>
        </is>
      </c>
      <c r="O7" s="22" t="inlineStr">
        <is>
          <t>ป้องกันภาพลวงตาของการพัฒนา (Illusion of Progress) ที่นักศึกษาคิดว่าโปรเจกต์เดินหน้าแต่มีแค่สไลด์ เกณฑ์ TRL2 (สัปดาห์ 9) ต้องมีสมการคณิตศาสตร์ที่พิสูจน์ได้, TRL3 (สัปดาห์ 13) ต้องมีฮาร์ดแวร์วัดจริงในถังทดลอง, และ TRL4 (สัปดาห์ 16) ต้องทดสอบในแล็บ/คลองจริง หากวางแผนข้ามขั้นจะสอบตกการประเมินความก้าวหน้า</t>
        </is>
      </c>
      <c r="P7" s="22" t="inlineStr">
        <is>
          <t>การสั่งซื้อชิ้นส่วนพิเศษจากต่างประเทศ (AliExpress, JLCPCB, ยุโรป) มักเจอปัญหาติดด่านศุลกากร ขนส่งล่าช้า 3-6 สัปดาห์ หรือได้ของชำรุด หากไม่มี Buffer รวมระบบอย่างน้อย 2-3 สัปดาห์ก่อนส่งงาน การที่ของมาถึงในสัปดาห์ที่ 15 จะทำให้ไม่มีเวลาแก้บักและระบบจะพังต่อหน้ากรรมการในวันสอบ Final</t>
        </is>
      </c>
      <c r="Q7" s="22" t="inlineStr">
        <is>
          <t>ประเมินว่าโครงการแก้ปัญหาที่ Pain Point จริงของเมืองหรือไม่ การลด Empty Cases ไม่ใช่แค่การเขียนโค้ดเล่น แต่เป็นการปลดล็อกรถดูดน้ำและหน่วยเคลื่อนที่เร็วให้สามารถวิ่งไปช่วยชุมชนที่น้ำท่วมขังวิกฤตจริงได้เร็วขึ้น 15-20 นาที ลดความเสียหายต่อทรัพย์สินและบ้านเรือนของประชาชนตามเป้าหมาย SDG 11.5</t>
        </is>
      </c>
      <c r="R7" s="22" t="inlineStr">
        <is>
          <t>วิศวกรต้องไม่สร้างปัญหาใหม่ทับซ้อนปัญหาเดิม กล่องเซนเซอร์หรืออุปกรณ์ที่ติดตั้งในทางระบายน้ำ หากยึดไม่แน่นหนาแล้วหลุดลอยไปในคลอง ตัวกล่องและแบตเตอรี่จะกลายเป็นขยะอิเล็กทรอนิกส์มีพิษ (E-Waste) ที่ไปอุดตันเครื่องสูบน้ำของ กทม. ทำให้เกิดน้ำท่วมหนักกว่าเดิม</t>
        </is>
      </c>
      <c r="S7" s="22" t="inlineStr">
        <is>
          <t>แอปพลิเคชันอย่าง Traffy Fondue มีอคติเชิงพื้นที่ (Geospatial Bias) สูงมาก เพราะคนในย่านธุรกิจใจกลางเมืองจะแจ้งเรื่องบ่อยและส่งเสียงดังกว่าชุมชนชานเมือง หากระบบใช้อัลกอริทึมที่อิงตามความถี่การแจ้งเรื่อง ชุมชนยากจนจะถูกละเลย ระบบจึงต้องใช้ฟิสิกส์อัตราการระบายน้ำที่เป็นกลางในการตัดสินใจอย่างเท่าเทียม</t>
        </is>
      </c>
      <c r="T7" s="23" t="inlineStr">
        <is>
          <t>สังเคราะห์จาก AI Agents Group 2</t>
        </is>
      </c>
    </row>
    <row r="8" ht="110" customHeight="1">
      <c r="A8" s="19" t="inlineStr">
        <is>
          <t>เกณฑ์การให้คะแนน (Scoring Rubric Definition: ระดับ 1, 2, 3, 4, 5 ครบทุกระดับ)</t>
        </is>
      </c>
      <c r="B8" s="22" t="inlineStr">
        <is>
          <t>1: บังคับต้องกลึงหรือตัดขึ้นรูปชิ้นงานโลหะ custom เองทั้งหมดโดยไม่มีเครื่องจักร (Fatal Flaw / ไม่ผ่านเกณฑ์)
2: ต้องจ้างโรงกลึงภายนอกผลิตชิ้นงานเฉพาะจุดโดยไม่มีงบประมาณและเสี่ยงต่อความล่าช้า
3: ใช้ชิ้นงานพิมพ์ 3D PETG ซีลกันน้ำด้วยซิลิโคนมือ ทนทานปานกลางต่อแรงลมมรสุม
4: ใช้กล่องกันน้ำ COTS ร่วมกับขายึดดัดแปลงเล็กน้อย มีการทดสอบการรั่วซึมเบื้องต้น
5: ใช้กล่องกันน้ำสำเร็จรูปมาตรฐาน IP67/68 ร่วมกับแคลมป์รัดท่อ/เสามาตรฐานอุตสาหกรรมที่มีขายทั่วไป ไม่ต้องดัดแปลง</t>
        </is>
      </c>
      <c r="C8" s="22" t="inlineStr">
        <is>
          <t>1: บังคับต้องออกแบบและผลิต Custom PCB หลายชั้นเองโดยไม่มีทักษะและเวลาไม่พอ (Fatal Flaw)
2: อุปกรณ์ประมวลผลเกิดความร้อนสะสมสูงจัด (เช่น ชิป GPU รันกลางแดด 40°C) เสี่ยงต่อการดับตัวเอง
3: บัดกรีด้วยมือบนแผ่นไข่ปลา (Perfboard) วงจรทนต่อแรงสั่นสะเทือนได้จำกัด
4: ใช้บอร์ดไมโครคอนโทรลเลอร์สำเร็จรูปเชื่อมต่อสายไฟแบบขันสกรู มีการป้องกันสัญญาณรบกวนเบื้องต้น
5: ใช้ Industrial Screw Terminal Shield สำเร็จรูปมาตรฐานอุตสาหกรรม มีวงจรป้องกันไฟกระชากและระบายความร้อนได้ดีเยี่ยม</t>
        </is>
      </c>
      <c r="D8" s="22" t="inlineStr">
        <is>
          <t>1: ต้องพึ่งพาโมเดล AI ข้อมูลมหาศาลที่ยังไม่มีชุดข้อมูล หรืออัลกอริทึมประมวลผลช้าเกินกว่ากรอบเวลา 30 นาที (Fatal Flaw)
2: ใช้อัลกอริทึมที่ซับซ้อนเกินไปจนไม่สามารถรันบนฮาร์ดแวร์จริงได้ทันเวลาเดินทางของ QRT
3: ใช้เกณฑ์ระดับน้ำแบบคงที่ (Static Threshold) ซึ่งแยกเคสฝนตกหนักชั่วคราวไม่ออก
4: ใช้อัลกอริทึมวิเคราะห์อัตราการเปลี่ยนแปลงหรือโมเดลน้ำหนักเบา ประมวลผลได้ภายในไม่กี่วินาที
5: ใช้สมการอนุพันธ์ชลศาสตร์ (dh/dt) คำนวณเทียบเวลาระบายจริง ประมวลผลเสร็จในระดับมิลลิวินาที แม่นยำสูง</t>
        </is>
      </c>
      <c r="E8" s="22" t="inlineStr">
        <is>
          <t>1: ระบบล้มเหลวโดยสิ้นเชิงเมื่อเจอสภาวะแวดล้อมจริง (เช่น ขยะลอย น้ำขุ่น ฝนตกหนัก หรือก๊าซในท่อ) (Fatal Flaw)
2: เซนเซอร์อ่านค่าผิดพลาดบ่อยครั้งเมื่อทัศนวิสัยต่ำหรือมีสิ่งสกปรกเกาะ ต้องอาศัยการรีเซ็ตด้วยมือ
3: ทนต่อสิ่งรบกวนได้ปานกลาง แต่อาจเกิด False Positive ชั่วคราวเมื่อมีฝนตกหนักจัด
4: มีการติดตั้งฮูดกำบัง และใส่อัลกอริทึมกรองสัญญาณรบกวนเชิงสถิติ (Statistical Filter)
5: เซนเซอร์ติดตั้งแบบไม่สัมผัสสิ่งรบกวน พร้อมอัลกอริทึม Median Filter กรองสัญญาณสะท้อนหลอกจากขยะและคลื่นผิวน้ำได้อย่างสมบูรณ์</t>
        </is>
      </c>
      <c r="F8" s="22" t="inlineStr">
        <is>
          <t>1: งบประมาณ BOM เกิน 20,000 บาท (เกินเพดาน 5,000 บาทของนักศึกษาถึง 4-5 เท่าตัว / Fatal Flaw)
2: งบประมาณ BOM อยู่ระหว่าง 10,000 - 20,000 บาท ต้องจัดหาทุนสนับสนุนภายนอก
3: งบประมาณ BOM อยู่ระหว่าง 5,000 - 10,000 บาท เกินงบส่วนตัวเล็กน้อย ต้องตัดทอนอุปกรณ์
4: งบประมาณ BOM รวมอยู่ระหว่าง 3,500 - 5,000 บาท พอดีกับเพดานงบประมาณ
5: งบประมาณ BOM รวมต่ำกว่า 3,500 บาท ใช้อุปกรณ์ COTS ราคาประหยัด ควบคุมค่าใช้จ่ายได้อย่างเด็ดขาด</t>
        </is>
      </c>
      <c r="G8" s="22" t="inlineStr">
        <is>
          <t>1: ไม่มีงบสำรองอะไหล่เลย (0%) หากชิ้นส่วนเสียหายชิ้นเดียว โครงการหยุดชะงักทันที (Fatal Flaw)
2: มีงบสำรองอะไหล่เพียง 10-20% ซื้ออะไหล่ทดแทนได้เฉพาะชิ้นส่วนเล็ก ๆ
3: มีงบสำรองอะไหล่ประมาณ 50% สามารถสำรองเซนเซอร์ได้แต่ไม่มีบอร์ดหลักสำรอง
4: มีงบสำรองอะไหล่ 80-100% สำหรับเซนเซอร์และบอร์ดหลักบางส่วน
5: มีงบสำรองอะไหล่ 100% ครอบคลุมเซนเซอร์ 3 ชุด และบอร์ดประมวลผล 2 ชุด ภายใต้งบรวมไม่เกิน 5,000 บาท</t>
        </is>
      </c>
      <c r="H8" s="22" t="inlineStr">
        <is>
          <t>1: ค่าใช้จ่ายในการดำเนินงานและบำรุงรักษา (OpEx) สูงกว่ามูลค่าทรัพยากรที่ประหยัดได้ ไม่คุ้มทุนทางเศรษฐศาสตร์ (Fatal Flaw)
2: ประหยัดทรัพยากรได้น้อยมากเมื่อหักลบค่าซิมการ์ด ค่าไฟฟ้า และค่าแรงบำรุงรักษา
3: จุดคุ้มทุนปานกลาง ใช้เวลามากกว่า 1-2 ปีในการคืนทุนค่าน้ำมันรถ
4: ประหยัดค่าน้ำมันและค่าเบี้ยเลี้ยงเจ้าหน้าที่ได้ชัดเจน คุ้มทุนภายในฤดูมรสุมเดียว
5: ลดการปล่อยรถเก้อได้ 30-40% ประหยัดงบประมาณค่าน้ำมันและค่าสึกหรอของเมืองได้หลายหมื่นบาทต่อปี โดยระบบกินไฟต่ำมาก</t>
        </is>
      </c>
      <c r="I8" s="22" t="inlineStr">
        <is>
          <t>1: ละเมิดกฎหมายอย่างร้ายแรง (เช่น บันทึกภาพบุคคลผิด PDPA หรือเปิดฝาท่อบนทางหลวงโดยไม่ได้รับอนุญาต / Fatal Flaw)
2: สุ่มเสี่ยงต่อการละเมิดกฎหมาย ต้องใช้กระบวนการทางเทคนิคที่ซับซ้อนช่วยลดทอนและยังไม่มีเอกสารยินยอม
3: มีข้อตกลงเบื้องต้นหรือใช้วิธีเบลอภาพอัตโนมัติ แต่ยังต้องรอการอนุมัติระเบียบอย่างเป็นทางการ
4: ปฏิบัติตามกฎหมายอย่างถูกต้อง มีการขออนุญาตติดตั้งตามระเบียบองค์กร และไม่มีการเก็บข้อมูลส่วนบุคคลที่เป็นอันตราย
5: ปลอดจากการละเมิดกฎหมาย 100% ไม่เก็บข้อมูลระบุตัวตน (No PII) และติดตั้งบนโครงสร้างสะพานอย่างปลอดภัยตามระเบียบ</t>
        </is>
      </c>
      <c r="J8" s="22" t="inlineStr">
        <is>
          <t>1: ใช้อุปกรณ์ส่งคลื่นวิทยุผิดกฎหมาย กสทช. หรือไม่มีช่องทางติดต่อประสานงานหน่วยงานรัฐเลยแม้แต่น้อย (Fatal Flaw)
2: อุปกรณ์ไม่ได้รับการรับรอง และการประสานงานอาศัยเพียงจดหมายทางการที่ไม่มีการตอบรับ
3: อุปกรณ์ได้รับรอง แต่การขออนุญาตเข้าพื้นที่สาธารณะต้องผ่านกระบวนการทำ MoU ล่าช้า
4: ใช้โมดูลสื่อสารที่ได้รับใบรับรอง กสทช. ถูกต้อง และมีอาจารย์ที่ปรึกษาช่วยเปิดช่องทางประสานงาน
5: โมดูลสื่อสารผ่านมาตรฐาน กสทช. 100% และมีเครือข่ายความร่วมมือทางวิชาการกับสำนักการระบายน้ำ กทม. ดำเนินการได้อย่างรวดเร็ว</t>
        </is>
      </c>
      <c r="K8" s="22" t="inlineStr">
        <is>
          <t>1: ระบบให้เพียงตัวเลขที่ไม่มีหลักฐานเชิงประจักษ์ เจ้าหน้าที่ไม่กล้าใช้ตัดสินใจเพราะกลัวถูกสอบวินัย (Fatal Flaw)
2: เจ้าหน้าที่ปฏิเสธการใช้งานเนื่องจากไม่สอดคล้องกับขั้นตอนการทำงานปกติ
3: เจ้าหน้าที่ยอมรับเฉพาะบางกรณี และยังคงต้องส่งรถออกไปถ่ายรูปปิดเคสหน้างานอยู่ดี
4: ระบบสร้างรายงานดิจิทัลพร้อมหลักฐานชัดเจนที่หัวหน้างานให้การยอมรับในการชะลอการปล่อยรถ
5: ระบบสร้างใบปิดงานดิจิทัล (Digital Evidence Card) ที่ระบุค่า dh/dt พิกัด และเวลา ที่ กทม. ยอมรับเป็นรูปภาพปิดเคสใน Traffy Fondue ได้ทันที</t>
        </is>
      </c>
      <c r="L8" s="22" t="inlineStr">
        <is>
          <t>1: ใช้งานยากมาก สร้างภาระงานหนักแก่เจ้าหน้าที่ และต้องใช้ช่างผู้เชี่ยวชาญดูแลรายวัน (Fatal Flaw)
2: ต้องฝึกอบรมเจ้าหน้าที่หลายวันและมีขั้นตอนการบำรุงรักษาที่ยุ่งยากซับซ้อน
3: ต้องมีการฝึกอบรมเจ้าหน้าที่ 1-2 ชั่วโมง และต้องคอยเช็ดทำความสะอาดระบบทุกเดือน
4: เจ้าหน้าที่เข้าใจได้ง่ายภายใน 15 นาที การติดตั้งสะดวกรวดเร็ว
5: ติดตั้งเสร็จใน 10 นาทีด้วยแคลมป์รัด ไม่ต้องเจาะทำลายสะพาน แดชบอร์ดแสดงสถานะ ชะลอ/ปล่อยรถ ชัดเจน ไม่ต้องอบรม</t>
        </is>
      </c>
      <c r="M8" s="22" t="inlineStr">
        <is>
          <t>1: ต้องลงไปปฏิบัติงานในพื้นที่อันตรายถึงชีวิต (เช่น ท่อระบายน้ำอับอากาศ หรือช่องจราจรความเร็วสูง) เพียงลำพัง (Fatal Flaw)
2: ปฏิบัติงานในพื้นที่เสี่ยงสูงโดยไม่มีอุปกรณ์คุ้มครองความปลอดภัยส่วนบุคคลที่เพียงพอ
3: ปฏิบัติงานริมถนนสาธารณะที่มีความเสี่ยงปานกลาง ต้องมีเพื่อนร่วมงานคอยดูแลความปลอดภัยตลอดเวลา
4: ปฏิบัติงานบนทางเท้าหรือสะพานลอยคนข้ามที่มีรั้วกั้นปลอดภัย สวมใส่อุปกรณ์สะท้อนแสง
5: ติดตั้งบนราวสะพานคนข้ามที่ปลอดภัย 100% และสามารถทดสอบระบบจำลองบนโต๊ะแล็บได้เกือบทั้งหมดก่อนลงพื้นที่จริง</t>
        </is>
      </c>
      <c r="N8" s="22" t="inlineStr">
        <is>
          <t>1: โครงการหยุดชะงักอย่างสิ้นเชิงจากช่วงสอบ 4 สัปดาห์ และไม่สามารถส่งมอบงานได้ทันสัปดาห์ที่ 16 (Fatal Flaw)
2: ติดสอบจนงานล่าช้ากว่ากำหนดมากกว่า 3 สัปดาห์ และต้องตัดทอนระบบสำคัญออก
3: งานล่าช้าเล็กน้อยและต้องเร่งทำงานอย่างหนักหลังสอบเสร็จ ไม่มีเวลาทดสอบรวมระบบ
4: แผนงานจัดสรรเวลาได้ดี สามารถหยุดอ่านหนังสือสอบได้โดยโครงการยังอยู่ในกรอบเวลา
5: สถาปัตยกรรมแยกส่วนชัดเจน โค้ดหลักเสร็จก่อนสอบกลางภาค และฮาร์ดแวร์ COTS ประกอบเสร็จทันทีหลังสอบ มีเวลาเหลือเฟือ</t>
        </is>
      </c>
      <c r="O8" s="22" t="inlineStr">
        <is>
          <t>1: ไม่สามารถบรรลุเกณฑ์ TRL ขั้นต่ำ (TRL 2 ภายในสัปดาห์ที่ 9) ได้เลย (Fatal Flaw)
2: บรรลุเกณฑ์ TRL ได้ล่าช้ากว่ากำหนดมากกว่า 2 สัปดาห์
3: บรรลุ TRL 2 ได้ทัน แต่ TRL 3 และ TRL 4 ต้องลดทอนข้อกำหนดลงอย่างมาก
4: บรรลุเกณฑ์ TRL 2, TRL 3, และ TRL 4 ได้ตามกรอบเวลาของรายวิชาเกือบครบถ้วน
5: บรรลุ TRL 2 ในสัปดาห์ 9 (Mathematical Model), TRL 3 ในสัปดาห์ 13 (Bench PoC), และ TRL 4 ในสัปดาห์ 16 (Canal/Lab) ได้อย่างสมบูรณ์แบบ</t>
        </is>
      </c>
      <c r="P8" s="22" t="inlineStr">
        <is>
          <t>1: อุปกรณ์ต้องนำเข้าต่างประเทศใช้เวลาขนส่ง 4-6 สัปดาห์ ทำลายเส้นทางวิกฤตของโปรเจกต์ 16 สัปดาห์ (Fatal Flaw)
2: อุปกรณ์จัดส่งล่าช้า 2-3 สัปดาห์ ทำให้ไม่มีเวลาสำหรับการทดสอบและแก้ไขจุดบกพร่อง
3: มี Buffer เวลาสำหรับการทดสอบรวมระบบเพียง 1 สัปดาห์ เสี่ยงต่อการส่งงานไม่ทันหากมีข้อผิดพลาด
4: อุปกรณ์จัดส่งภายใน 5-7 วัน มี Buffer สำหรับการรวมระบบและแก้บักอย่างน้อย 2 สัปดาห์
5: อุปกรณ์ทุกชิ้นมีสต็อกในประเทศ จัดส่งถึงภายใน 2-3 วันทำการ มี Buffer รวมระบบก่อนส่งมอบมากกว่า 3 สัปดาห์</t>
        </is>
      </c>
      <c r="Q8" s="22" t="inlineStr">
        <is>
          <t>1: ไม่สอดคล้องกับเป้าหมายความยั่งยืนใด ๆ หรือสร้างผลกระทบเชิงลบต่อการจัดการภัยพิบัติ (Fatal Flaw)
2: สอดคล้องในเชิงทฤษฎีเท่านั้น แต่ไม่มีผลลัพธ์หรือตัวชี้วัดที่จับต้องได้ในทางปฏิบัติ
3: ส่งเสริมการเฝ้าระวังทางอ้อม แต่ไม่สามารถวัดผลการลดความสูญเสียได้อย่างชัดเจน
4: ช่วยลดเวลาในการเข้าถึงพื้นที่น้ำท่วมขัง และมีตัวชี้วัดความสำเร็จที่สอดคล้องกับ SDG 11.5
5: ตอบโจทย์ SDG 11.5 (ลดความสูญเสียทางเศรษฐกิจ) และ SDG 6.3 (เฝ้าระวังระบบระบายน้ำ) อย่างชัดเจน ปลดล็อกกำลังพลช่วยเหลือพื้นที่วิกฤตได้เร็วขึ้น</t>
        </is>
      </c>
      <c r="R8" s="22" t="inlineStr">
        <is>
          <t>1: ใช้วัสดุที่ชะสารพิษลงน้ำ หรืออุปกรณ์เสี่ยงหลุดลอยไปอุดตันท่อระบายน้ำกลายเป็นมลพิษ (Fatal Flaw)
2: มีความเสี่ยงที่อุปกรณ์จะเสื่อมสภาพและปล่อยไมโครพลาสติกหรือสารเคมีลงสู่แหล่งน้ำ
3: อุปกรณ์ปลอดภัยในสภาวะปกติ แต่อาจชำรุดเสียหายหากเกิดกระแสน้ำหลากฉับพลัน
4: อุปกรณ์ติดตั้งเหนือน้ำ กล่องกันน้ำมิดชิด มีการป้องกันการหลุดร่วงอย่างเหมาะสม
5: ตัวกล่องมาตรฐาน IP67 ไม่สัมผัสน้ำ มีสลิงนิรภัยสแตนเลสยึดสองชั้น และใช้แบตเตอรี่แห้งปลอดภัยที่ไม่ปล่อยสารเคมี 100%</t>
        </is>
      </c>
      <c r="S8" s="22" t="inlineStr">
        <is>
          <t>1: อัลกอริทึมเลือกปฏิบัติต่อพื้นที่ หรือตัดการให้บริการแก่ชุมชนยากจนอย่างไม่เป็นธรรม (Fatal Flaw)
2: มีความเหลื่อมล้ำเชิงพื้นที่สูง ระบบทำงานได้เฉพาะเขตเมืองชั้นในที่ร่ำรวย ละเลยชุมชนชานเมือง
3: มีความเหลื่อมล้ำเล็กน้อยตามปริมาณข้อมูลหรือสัญญาณเครือข่าย แต่ไม่ได้เลือกปฏิบัติโดยเจตนา
4: ระบบกระจายการให้บริการอย่างทั่วถึง และมีกลไกชดเชยสำหรับพื้นที่ที่มีข้อมูลน้อย
5: ใช้อัตราการลดระดับน้ำตามกฎฟิสิกส์ชลศาสตร์เป็นเกณฑ์สากลอย่างเสมอภาคเท่าเทียม ไม่ขึ้นกับฐานะทางเศรษฐกิจหรือเสียงร้องเรียน</t>
        </is>
      </c>
      <c r="T8" s="23" t="inlineStr">
        <is>
          <t>เกณฑ์รวม: &gt;=80 ผ่านสูง, &gt;=60 มีเงื่อนไข, &lt;60 เสี่ยงสูง | หากมีข้อใดได้ 1 = VETOED ตกเกณฑ์ทันที</t>
        </is>
      </c>
    </row>
    <row r="9" ht="36" customHeight="1">
      <c r="A9" s="24" t="inlineStr">
        <is>
          <t>คะแนนที่ได้รับ (ASSIGNED SCORE: 1, 2, 3, 4, 5 STRICT INTEGER)</t>
        </is>
      </c>
      <c r="B9" s="25" t="n">
        <v>4</v>
      </c>
      <c r="C9" s="25" t="n">
        <v>2</v>
      </c>
      <c r="D9" s="25" t="n">
        <v>4</v>
      </c>
      <c r="E9" s="25" t="n">
        <v>2</v>
      </c>
      <c r="F9" s="25" t="n">
        <v>3</v>
      </c>
      <c r="G9" s="25" t="n">
        <v>2</v>
      </c>
      <c r="H9" s="25" t="n">
        <v>3</v>
      </c>
      <c r="I9" s="25" t="n">
        <v>2</v>
      </c>
      <c r="J9" s="25" t="n">
        <v>3</v>
      </c>
      <c r="K9" s="25" t="n">
        <v>5</v>
      </c>
      <c r="L9" s="25" t="n">
        <v>3</v>
      </c>
      <c r="M9" s="25" t="n">
        <v>3</v>
      </c>
      <c r="N9" s="25" t="n">
        <v>3</v>
      </c>
      <c r="O9" s="25" t="n">
        <v>4</v>
      </c>
      <c r="P9" s="25" t="n">
        <v>3</v>
      </c>
      <c r="Q9" s="25" t="n">
        <v>4</v>
      </c>
      <c r="R9" s="25" t="n">
        <v>4</v>
      </c>
      <c r="S9" s="25" t="n">
        <v>2</v>
      </c>
      <c r="T9" s="26">
        <f>IF(T10&gt;0, (T11/T10)*20, 0)</f>
        <v/>
      </c>
    </row>
    <row r="10" ht="22" customHeight="1">
      <c r="A10" s="19" t="inlineStr">
        <is>
          <t>ค่าน้ำหนัก (Weight %)</t>
        </is>
      </c>
      <c r="B10" s="27" t="n">
        <v>0.05</v>
      </c>
      <c r="C10" s="27" t="n">
        <v>0.05</v>
      </c>
      <c r="D10" s="27" t="n">
        <v>0.05</v>
      </c>
      <c r="E10" s="27" t="n">
        <v>0.05</v>
      </c>
      <c r="F10" s="27" t="n">
        <v>0.0667</v>
      </c>
      <c r="G10" s="27" t="n">
        <v>0.0667</v>
      </c>
      <c r="H10" s="27" t="n">
        <v>0.06660000000000001</v>
      </c>
      <c r="I10" s="27" t="n">
        <v>0.075</v>
      </c>
      <c r="J10" s="27" t="n">
        <v>0.075</v>
      </c>
      <c r="K10" s="27" t="n">
        <v>0.0667</v>
      </c>
      <c r="L10" s="27" t="n">
        <v>0.0667</v>
      </c>
      <c r="M10" s="27" t="n">
        <v>0.06660000000000001</v>
      </c>
      <c r="N10" s="27" t="n">
        <v>0.05</v>
      </c>
      <c r="O10" s="27" t="n">
        <v>0.05</v>
      </c>
      <c r="P10" s="27" t="n">
        <v>0.05</v>
      </c>
      <c r="Q10" s="27" t="n">
        <v>0.0333</v>
      </c>
      <c r="R10" s="27" t="n">
        <v>0.0333</v>
      </c>
      <c r="S10" s="27" t="n">
        <v>0.0334</v>
      </c>
      <c r="T10" s="27">
        <f>SUM(B10:S10)</f>
        <v/>
      </c>
    </row>
    <row r="11" ht="24" customHeight="1">
      <c r="A11" s="19" t="inlineStr">
        <is>
          <t>คะแนนถ่วงน้ำหนัก (=Score * Weight)</t>
        </is>
      </c>
      <c r="B11" s="28">
        <f>B9*B10</f>
        <v/>
      </c>
      <c r="C11" s="28">
        <f>C9*C10</f>
        <v/>
      </c>
      <c r="D11" s="28">
        <f>D9*D10</f>
        <v/>
      </c>
      <c r="E11" s="28">
        <f>E9*E10</f>
        <v/>
      </c>
      <c r="F11" s="28">
        <f>F9*F10</f>
        <v/>
      </c>
      <c r="G11" s="28">
        <f>G9*G10</f>
        <v/>
      </c>
      <c r="H11" s="28">
        <f>H9*H10</f>
        <v/>
      </c>
      <c r="I11" s="28">
        <f>I9*I10</f>
        <v/>
      </c>
      <c r="J11" s="28">
        <f>J9*J10</f>
        <v/>
      </c>
      <c r="K11" s="28">
        <f>K9*K10</f>
        <v/>
      </c>
      <c r="L11" s="28">
        <f>L9*L10</f>
        <v/>
      </c>
      <c r="M11" s="28">
        <f>M9*M10</f>
        <v/>
      </c>
      <c r="N11" s="28">
        <f>N9*N10</f>
        <v/>
      </c>
      <c r="O11" s="28">
        <f>O9*O10</f>
        <v/>
      </c>
      <c r="P11" s="28">
        <f>P9*P10</f>
        <v/>
      </c>
      <c r="Q11" s="28">
        <f>Q9*Q10</f>
        <v/>
      </c>
      <c r="R11" s="28">
        <f>R9*R10</f>
        <v/>
      </c>
      <c r="S11" s="28">
        <f>S9*S10</f>
        <v/>
      </c>
      <c r="T11" s="28">
        <f>SUM(B11:S11)</f>
        <v/>
      </c>
    </row>
    <row r="12" ht="95" customHeight="1">
      <c r="A12" s="19" t="inlineStr">
        <is>
          <t>คำอธิบาย &amp; หลักฐานอ้างอิงจากไฟล์ Intake (Evidence Citation)</t>
        </is>
      </c>
      <c r="B12" s="22" t="inlineStr">
        <is>
          <t>อ้างอิง solution-2.md ข้อ 3.a การดึงภาพจากกล้อง และ team-skills/jk.md ที่ไม่มีสิทธิ์ใช้โรงประลอง แต่สามารถจัดซื้อขายึดเสากล้องและกล่องกันน้ำมาตรฐาน COTS สำหรับติดตั้งกลางแจ้งได้</t>
        </is>
      </c>
      <c r="C12" s="22" t="inlineStr">
        <is>
          <t>อ้างอิง solution-2.md ข้อ 4.b: บอร์ดประมวลผล AI ราคาแพงและใช้พลังงานสูง. บอร์ด GPU (Jetson Nano/Orin) เกิดความร้อนสะสมสูงมากเมื่อติดตั้งในกล่องกันน้ำกลางแดด 40°C ของ กทม. เสี่ยงต่อบอร์ดชัตดาวน์ตัวเอง</t>
        </is>
      </c>
      <c r="D12" s="22" t="inlineStr">
        <is>
          <t>อ้างอิง solution-2.md ข้อ 3.b: โมเดล Computer Vision (Object Detection / Segmentation) สามารถตรวจจับระดับน้ำเทียบขอบทางเท้าได้ภายใน 1-3 วินาที. JK มีทักษะ OpenCV และ Deep Learning (team-skills/jk.md)</t>
        </is>
      </c>
      <c r="E12" s="22" t="inlineStr">
        <is>
          <t>อ้างอิง solution-2.md ข้อ 4.c: กล้องมีมุมอับ ทัศนวิสัยต่ำมากตอนฝนตกหนัก คราบหยดน้ำฝนเกาะหน้าเลนส์ และแสงน้อยตอนกลางคืน ทำให้โมเดล Computer Vision ตรวจจับผิดพลาดสูง</t>
        </is>
      </c>
      <c r="F12" s="22" t="inlineStr">
        <is>
          <t>อ้างอิง solution-2.md ข้อ 4.b: บอร์ด Edge-AI (Jetson Nano ~4,500-6,000 บ.) รวมกับกล้อง Outdoor IP Camera (~2,000 บ.) และพาวเวอร์ซัพพลาย รวมงบประมาณ 8,000 - 10,000 บาท เกินเพดานงบประมาณนักศึกษา 5,000 บาท</t>
        </is>
      </c>
      <c r="G12" s="22" t="inlineStr">
        <is>
          <t>เนื่องจากบอร์ด Edge-AI และกล้องมีราคาสูงเกินงบประมาณตั้งแต่ต้น จึงไม่มีงบประมาณเหลือสำหรับการซื้อบอร์ดสำรองตัวที่สอง หากบอร์ดช็อตหรือเสียหาย โครงการจะหยุดชะงักทันที</t>
        </is>
      </c>
      <c r="H12" s="22" t="inlineStr">
        <is>
          <t>กล้อง CCTV ต้องการกระแสไฟฟ้าต่อเนื่องและค่าบริการอินเทอร์เน็ตบรอดแบนด์ 4G ความเร็วสูงสำหรับการสตรีมวิดีโอ ทำให้ค่าใช้จ่ายรายเดือน (OpEx) สูงกว่าระบบเซนเซอร์วัดระดับน้ำ</t>
        </is>
      </c>
      <c r="I12" s="22" t="inlineStr">
        <is>
          <t>อ้างอิง solution-2.md ข้อ 4.a: กล้องวงจรปิดริมถนนสาธารณะบันทึกภาพใบหน้าประชาชนและป้ายทะเบียนรถยนต์ เข้าข่ายข้อมูลส่วนบุคคลตาม พ.ร.บ. PDPA มาตรา 24 มีความเสี่ยงทางกฎหมายร้ายแรงหากไม่มีระบบเบลอภาพ</t>
        </is>
      </c>
      <c r="J12" s="22" t="inlineStr">
        <is>
          <t>การขอเข้าถึงสตรีมภาพกล้อง CCTV ของ กทม. หรือขอติดตั้งกล้องบนเสาไฟสาธารณะ ต้องผ่านขั้นตอนทำบันทึกข้อตกลง (MoU) ระดับสำนัก ซึ่งใช้เวลานานและซับซ้อนเกินกรอบเวลา 16 สัปดาห์ของนักศึกษา</t>
        </is>
      </c>
      <c r="K12" s="22" t="inlineStr">
        <is>
          <t>อ้างอิง solution-2.md: ภาพถ่ายจากกล้อง CCTV แสดงให้เห็นสภาพถนนแห้งจริงได้อย่างชัดเจน ตอบสนองต่อระเบียบการปิดเคสด้วยรูปถ่ายของ Traffy Fondue 100% เจ้าหน้าที่ศูนย์สั่งการกล้าตัดสินใจยกเลิกการปล่อยรถได้ทันที</t>
        </is>
      </c>
      <c r="L12" s="22" t="inlineStr">
        <is>
          <t>การติดตั้งกล้องมุมสูงต้องใช้รถกระเช้าและช่างไฟฟ้าในการต่อไฟเลี้ยง และต้องมีการเช็ดทำความสะอาดหน้าเลนส์เป็นประจำ สร้างภาระงานบำรุงรักษาเพิ่มเติมแก่เจ้าหน้าที่ กทม.</t>
        </is>
      </c>
      <c r="M12" s="22" t="inlineStr">
        <is>
          <t>การขึ้นไปติดตั้งหรือปรับมุมกล้องริมถนนใหญ่มีความเสี่ยงจากรถยนต์ที่สัญจรไปมา แต่นักศึกษาสามารถสวมเสื้อสะท้อนแสงและขอความร่วมมือจากเพื่อนช่วยระวังความปลอดภัยได้</t>
        </is>
      </c>
      <c r="N12" s="22" t="inlineStr">
        <is>
          <t>อ้างอิง schedule-details/schedule.md: การเตรียมชุดข้อมูลภาพ Labeling และการจูนโมเดล Deep Learning ต้องใช้เวลาต่อเนื่อง การหยุดอ่านหนังสือสอบ 2 สัปดาห์จะทำให้ Pipeline การเทรนโมเดลสะดุด</t>
        </is>
      </c>
      <c r="O12" s="22" t="inlineStr">
        <is>
          <t>สามารถบรรลุ TRL 2 ในสัปดาห์ 9 และ TRL 3 ในสัปดาห์ 13 บนโต๊ะทดลองด้วยคลิปวิดีโอน้ำท่วมที่บันทึกไว้ได้อย่างดี แต่ TRL 4 บนถนนจริงอาจล่าช้าจากปัญหาความร้อนและข้ออนุญาต</t>
        </is>
      </c>
      <c r="P12" s="22" t="inlineStr">
        <is>
          <t>บอร์ดประมวลผล Edge-AI บางรุ่นต้องรอสั่งจากต่างประเทศ 7-14 วัน ทำให้ Buffer เวลาในการทดสอบระบบและแก้บักเหลือเพียง 1 สัปดาห์ก่อนส่งงาน</t>
        </is>
      </c>
      <c r="Q12" s="22" t="inlineStr">
        <is>
          <t>ช่วยให้ศูนย์บัญชาการมองเห็นภาพรวมของน้ำท่วมบนท้องถนนแบบเรียลไทม์ เพิ่มความปลอดภัยในการสัญจรและลดความสูญเสียทางเศรษฐกิจของเมืองตาม SDG 11.5</t>
        </is>
      </c>
      <c r="R12" s="22" t="inlineStr">
        <is>
          <t>กล้องติดตั้งบนเสาไฟหรือสะพานลอยคนข้าม ไม่ได้สัมผัสกับทางน้ำโดยตรง จึงไม่มีความเสี่ยงต่อการปนเปื้อนสารเคมีหรือการหลุดลอยไปอุดตันท่อระบายน้ำ</t>
        </is>
      </c>
      <c r="S12" s="22" t="inlineStr">
        <is>
          <t>กล้อง CCTV มักกระจุกตัวอยู่ในย่านธุรกิจใจกลางเมืองและถนนสายหลัก ทำให้ชุมชนชานเมืองและตรอกซอกซอยที่ยากจนไม่มีกล้องส่องถึง เกิดความเหลื่อมล้ำเชิงพื้นที่ตาม SDG 10 อย่างรุนแรง</t>
        </is>
      </c>
      <c r="T12" s="29">
        <f>IF(MIN(B9:S9)=1, "VETOED / ตกเกณฑ์ข้อบังคับวิกฤต (คะแนนระดับ 1)", IF(T9&gt;=80, "ผ่านเกณฑ์ระดับสูง (HIGHLY VIABLE)", IF(T9&gt;=60, "ผ่านแบบมีเงื่อนไข (CONDITIONALLY VIABLE)", "ความเสี่ยงสูง (HIGH RISK)")))</f>
        <v/>
      </c>
    </row>
    <row r="13" ht="70" customHeight="1">
      <c r="A13" s="19" t="inlineStr">
        <is>
          <t>แผนลดขอบเขตงาน &amp; มาตรการลดความเสี่ยง (De-scoping Action)</t>
        </is>
      </c>
      <c r="B13" s="22" t="inlineStr">
        <is>
          <t>จัดซื้อขายึดกล้องวงจรปิดสำเร็จรูปที่มีขายทั่วไป หลีกเลี่ยงชิ้นงานสั่งทำพิเศษ</t>
        </is>
      </c>
      <c r="C13" s="22" t="inlineStr">
        <is>
          <t>ติดตั้งฮีตซิงก์อะลูมิเนียมขนาดใหญ่ พัดลมระบายความร้อน และตั้งเวลาให้อุปกรณ์ประมวลผลเฉพาะช่วงที่มีรายงานฝนตกหนัก</t>
        </is>
      </c>
      <c r="D13" s="22" t="inlineStr">
        <is>
          <t>ใช้โมเดลน้ำหนักเบา เช่น MobileNet-SSD หรือ Tiny-YOLO เพื่อให้รันบนฮาร์ดแวร์ Edge ได้อย่างรวดเร็ว</t>
        </is>
      </c>
      <c r="E13" s="22" t="inlineStr">
        <is>
          <t>ติดตั้งหมวกบังฝนให้หน้าเลนส์กล้อง และจำกัดการตรวจวัดเฉพาะช่วงเวลาที่มีแสงสว่างเพียงพอ</t>
        </is>
      </c>
      <c r="F13" s="22" t="inlineStr">
        <is>
          <t>ย้ายการรัน AI ไปประมวลผลบนคลาวด์หรือแล็ปท็อปส่วนตัว และใช้กล้อง ESP32-CAM ราคาถูกในการส่งภาพแทน</t>
        </is>
      </c>
      <c r="G13" s="22" t="inlineStr">
        <is>
          <t>สำรองเฉพาะตัวแปลงไฟและสายสัญญาณ แต่ไม่มีบอร์ด AI สำรอง ต้องใช้ความระมัดระวังสูงสุดในการทดสอบ</t>
        </is>
      </c>
      <c r="H13" s="22" t="inlineStr">
        <is>
          <t>สตรีมเฉพาะภาพนิ่ง (Snapshot) ทุก 5 นาที แทนการสตรีมวิดีโอต่อเนื่อง เพื่อประหยัดค่าบริการเครือข่ายมือถือ</t>
        </is>
      </c>
      <c r="I13" s="22" t="inlineStr">
        <is>
          <t>บังคับให้รันโมเดล Masking / Blurring อัตโนมัติบนบอร์ด Edge เพื่อตัดใบหน้าและป้ายทะเบียนทิ้งก่อนส่งภาพออกจากเครื่อง</t>
        </is>
      </c>
      <c r="J13" s="22" t="inlineStr">
        <is>
          <t>ติดตั้งกล้องทดสอบเฉพาะภายในพื้นที่มหาวิทยาลัย หรือใช้คลิปวิดีโอน้ำท่วมที่เผยแพร่เป็นสาธารณะในการทดสอบ</t>
        </is>
      </c>
      <c r="K13" s="22" t="inlineStr">
        <is>
          <t>จุดแข็งสูงสุดของ Solution 2 พัฒนาระบบส่งภาพ Snapshot ผิวถนนที่น้ำแห้งเข้าสู่ระบบ Traffy Fondue โดยอัตโนมัติ</t>
        </is>
      </c>
      <c r="L13" s="22" t="inlineStr">
        <is>
          <t>ออกแบบให้กล้องติดตั้งบนสะพานลอยคนข้ามที่เจ้าหน้าที่สามารถเดินเข้าถึงและเช็ดทำความสะอาดได้สะดวกโดยไม่ต้องใช้รถกระเช้า</t>
        </is>
      </c>
      <c r="M13" s="22" t="inlineStr">
        <is>
          <t>หลีกเลี่ยงถนนใหญ่ ติดตั้งทดสอบเฉพาะบนสะพานลอยคนข้ามหรือเสาไฟภายในรั้วมหาวิทยาลัยเท่านั้น</t>
        </is>
      </c>
      <c r="N13" s="22" t="inlineStr">
        <is>
          <t>ใช้โมเดล Pre-trained มาตรฐานที่มีน้ำหนักสำเร็จรูป และงดการเทรนโมเดลใหม่ตั้งแต่ต้น</t>
        </is>
      </c>
      <c r="O13" s="22" t="inlineStr">
        <is>
          <t>ใช้คลิปวิดีโอจำลองสภาพน้ำท่วมเป็นหลักฐานทดสอบ TRL 4 ในห้องแล็บหากไม่สามารถติดตั้งกล้องบนถนนจริงได้ทัน</t>
        </is>
      </c>
      <c r="P13" s="22" t="inlineStr">
        <is>
          <t>เลือกซื้อบอร์ด AI ที่มีสต็อกพร้อมส่งในประเทศไทยเท่านั้น แม้ราคาจะสูงกว่าเล็กน้อย เพื่อรักษา Buffer เวลาไว้</t>
        </is>
      </c>
      <c r="Q13" s="22" t="inlineStr">
        <is>
          <t>เชื่อมโยงข้อมูลการตรวจจับน้ำเข้ากับระบบแจ้งเตือนการจราจรสาธารณะ</t>
        </is>
      </c>
      <c r="R13" s="22" t="inlineStr">
        <is>
          <t>ยึดสายไฟและกล่องอุปกรณ์ให้แน่นหนาป้องกันการหลุดร่วงลงสู่พื้นผิวจราจร</t>
        </is>
      </c>
      <c r="S13" s="22" t="inlineStr">
        <is>
          <t>กำหนดให้ใช้ข้อมูลกล้องเฉพาะการยืนยันบนถนนสายหลัก ไม่นำมาใช้เป็นเกณฑ์ตัดสิทธิ์การช่วยเหลือของชุมชนที่ไม่มีกล้อง</t>
        </is>
      </c>
      <c r="T13" s="21" t="inlineStr">
        <is>
          <t>ปฏิบัติตามแผนลดขอบเขตงาน (De-scoping Advisory)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</cols>
  <sheetData>
    <row r="1">
      <c r="A1" s="15" t="inlineStr">
        <is>
          <t>เมทริกซ์ประเมินความเป็นไปได้เชิงระบบ TELOS+S: Acoustic Sewer Profiling &amp; Pipe Blockage Screening ตรวจสอบการอุดตันของท่อระบายน้ำด้วยคลื่นเสียง</t>
        </is>
      </c>
    </row>
    <row r="2">
      <c r="A2" s="16" t="inlineStr">
        <is>
          <t>ระบบคะแนนจำนวนเต็มเด็ดขาด: 1, 2, 3, 4, 5 เท่านั้น (ไม่มีจุดทศนิยม / ไม่มี 0.5) | โครงสร้างแบบ Transposed แนวนอน</t>
        </is>
      </c>
    </row>
    <row r="4" ht="24" customHeight="1">
      <c r="A4" s="17" t="inlineStr">
        <is>
          <t>รหัสคำถาม (Question Code)</t>
        </is>
      </c>
      <c r="B4" s="18" t="inlineStr">
        <is>
          <t>T-01</t>
        </is>
      </c>
      <c r="C4" s="18" t="inlineStr">
        <is>
          <t>T-02</t>
        </is>
      </c>
      <c r="D4" s="18" t="inlineStr">
        <is>
          <t>T-03</t>
        </is>
      </c>
      <c r="E4" s="18" t="inlineStr">
        <is>
          <t>T-04</t>
        </is>
      </c>
      <c r="F4" s="18" t="inlineStr">
        <is>
          <t>E-01</t>
        </is>
      </c>
      <c r="G4" s="18" t="inlineStr">
        <is>
          <t>E-02</t>
        </is>
      </c>
      <c r="H4" s="18" t="inlineStr">
        <is>
          <t>E-03</t>
        </is>
      </c>
      <c r="I4" s="18" t="inlineStr">
        <is>
          <t>L-01</t>
        </is>
      </c>
      <c r="J4" s="18" t="inlineStr">
        <is>
          <t>L-02</t>
        </is>
      </c>
      <c r="K4" s="18" t="inlineStr">
        <is>
          <t>O-01</t>
        </is>
      </c>
      <c r="L4" s="18" t="inlineStr">
        <is>
          <t>O-02</t>
        </is>
      </c>
      <c r="M4" s="18" t="inlineStr">
        <is>
          <t>O-03</t>
        </is>
      </c>
      <c r="N4" s="18" t="inlineStr">
        <is>
          <t>S-01</t>
        </is>
      </c>
      <c r="O4" s="18" t="inlineStr">
        <is>
          <t>S-02</t>
        </is>
      </c>
      <c r="P4" s="18" t="inlineStr">
        <is>
          <t>S-03</t>
        </is>
      </c>
      <c r="Q4" s="18" t="inlineStr">
        <is>
          <t>SDG-01</t>
        </is>
      </c>
      <c r="R4" s="18" t="inlineStr">
        <is>
          <t>SDG-02</t>
        </is>
      </c>
      <c r="S4" s="18" t="inlineStr">
        <is>
          <t>SDG-03</t>
        </is>
      </c>
      <c r="T4" s="18" t="inlineStr">
        <is>
          <t>สรุปภาพรวม (SUMMARY)</t>
        </is>
      </c>
    </row>
    <row r="5" ht="24" customHeight="1">
      <c r="A5" s="19" t="inlineStr">
        <is>
          <t>มิติการประเมิน (TELOS+S Pillar)</t>
        </is>
      </c>
      <c r="B5" s="20" t="inlineStr">
        <is>
          <t>ด้านเทคนิค (Technical 2.2)</t>
        </is>
      </c>
      <c r="C5" s="20" t="inlineStr">
        <is>
          <t>ด้านเทคนิค (Technical 2.2)</t>
        </is>
      </c>
      <c r="D5" s="20" t="inlineStr">
        <is>
          <t>ด้านเทคนิค (Technical 2.2)</t>
        </is>
      </c>
      <c r="E5" s="20" t="inlineStr">
        <is>
          <t>ด้านเทคนิค (Technical 2.2)</t>
        </is>
      </c>
      <c r="F5" s="20" t="inlineStr">
        <is>
          <t>ด้านเศรษฐศาสตร์ (Economic 2.3)</t>
        </is>
      </c>
      <c r="G5" s="20" t="inlineStr">
        <is>
          <t>ด้านเศรษฐศาสตร์ (Economic 2.3)</t>
        </is>
      </c>
      <c r="H5" s="20" t="inlineStr">
        <is>
          <t>ด้านเศรษฐศาสตร์ (Economic 2.3)</t>
        </is>
      </c>
      <c r="I5" s="20" t="inlineStr">
        <is>
          <t>ด้านกฎหมายและหน่วยงาน (Legal 2.4)</t>
        </is>
      </c>
      <c r="J5" s="20" t="inlineStr">
        <is>
          <t>ด้านกฎหมายและหน่วยงาน (Legal 2.4)</t>
        </is>
      </c>
      <c r="K5" s="20" t="inlineStr">
        <is>
          <t>ด้านการปฏิบัติการ (Operational 2.5)</t>
        </is>
      </c>
      <c r="L5" s="20" t="inlineStr">
        <is>
          <t>ด้านการปฏิบัติการ (Operational 2.5)</t>
        </is>
      </c>
      <c r="M5" s="20" t="inlineStr">
        <is>
          <t>ด้านการปฏิบัติการ (Operational 2.5)</t>
        </is>
      </c>
      <c r="N5" s="20" t="inlineStr">
        <is>
          <t>ด้านตารางเวลา (Schedule 2.6)</t>
        </is>
      </c>
      <c r="O5" s="20" t="inlineStr">
        <is>
          <t>ด้านตารางเวลา (Schedule 2.6)</t>
        </is>
      </c>
      <c r="P5" s="20" t="inlineStr">
        <is>
          <t>ด้านตารางเวลา (Schedule 2.6)</t>
        </is>
      </c>
      <c r="Q5" s="20" t="inlineStr">
        <is>
          <t>เป้าหมายความยั่งยืน (SDGs 2.7)</t>
        </is>
      </c>
      <c r="R5" s="20" t="inlineStr">
        <is>
          <t>เป้าหมายความยั่งยืน (SDGs 2.7)</t>
        </is>
      </c>
      <c r="S5" s="20" t="inlineStr">
        <is>
          <t>เป้าหมายความยั่งยืน (SDGs 2.7)</t>
        </is>
      </c>
      <c r="T5" s="21" t="inlineStr">
        <is>
          <t>ผลรวมทุกมิติ (All Pillars)</t>
        </is>
      </c>
    </row>
    <row r="6" ht="75" customHeight="1">
      <c r="A6" s="19" t="inlineStr">
        <is>
          <t>คำถามทดสอบความเสี่ยงจริง (Stress-Test Question)</t>
        </is>
      </c>
      <c r="B6" s="22" t="inlineStr">
        <is>
          <t>เมื่อพิจารณาว่าผู้พัฒนาไม่มีทักษะการกลึง/ตัดโลหะและไม่สามารถเข้าถึงโรงประลอง (Machine Shop) ได้ โครงสร้างฮาร์ดแวร์ภายนอกของระบบสามารถประกอบขึ้นจากอุปกรณ์สำเร็จรูปมาตรฐาน (COTS) เพื่อทนต่อสภาวะแวดล้อมน้ำท่วม/มรสุมของ กทม. ได้อย่างสมบูรณ์หรือไม่?</t>
        </is>
      </c>
      <c r="C6" s="22" t="inlineStr">
        <is>
          <t>เมื่อพิจารณาว่าผู้พัฒนาไม่มีทักษะการออกแบบ Custom PCB และมีทักษะการบัดกรีต่ำ สถาปัตยกรรมฮาร์ดแวร์อิเล็กทรอนิกส์และวงจรของระบบสามารถติดตั้งและทำงานได้อย่างมีเสถียรภาพโดยไม่เกิดความร้อนสะสมหรือวงจรล้มเหลวหรือไม่?</t>
        </is>
      </c>
      <c r="D6" s="22" t="inlineStr">
        <is>
          <t>ความสามารถและอัลกอริทึมในการตรวจวัดและทำนายระดับน้ำหรือการระบายน้ำ สามารถประมวลผลและให้ผลลัพธ์ที่แม่นยำได้ทันก่อนกรอบเวลาเดินทางของทีม QRT (20-30 นาที) หรือไม่?</t>
        </is>
      </c>
      <c r="E6" s="22" t="inlineStr">
        <is>
          <t>ระบบมีความแข็งแกร่ง (Robustness) ต่อปัจจัยรบกวนในสิ่งแวดล้อมจริงของ กทม. (เช่น คราบสิ่งสกปรก ขยะลอย ทัศนวิสัยต่ำตอนฝนตกหนัก น้ำทะเลหนุน) โดยไม่เกิดความล้มเหลวในการตรวจวัดหรือไม่?</t>
        </is>
      </c>
      <c r="F6" s="22" t="inlineStr">
        <is>
          <t>งบประมาณจัดซื้ออุปกรณ์ต้นแบบ (BOM) ทั้งหมด สามารถควบคุมให้อยู่ภายใต้เพดานงบประมาณโครงงานนักศึกษา (&lt; 5,000 บาท) ได้อย่างแท้จริงหรือไม่?</t>
        </is>
      </c>
      <c r="G6" s="22" t="inlineStr">
        <is>
          <t>โครงการได้จัดสรรงบประมาณสำรองสำหรับอะไหล่ทดแทน 100% (Scrap Allowance) กรณีอุปกรณ์ลัดวงจรหรือเสียหายจากการทดสอบหน้างานจริงหรือไม่?</t>
        </is>
      </c>
      <c r="H6" s="22" t="inlineStr">
        <is>
          <t>ค่าใช้จ่ายในการบำรุงรักษาและทำความสะอาดอุปกรณ์ (OpEx) คุ้มค่าเมื่อเทียบกับต้นทุนค่าน้ำมันและกำลังพลที่ประหยัดได้จากการลดการปล่อยรถ QRT ไปเก้อหรือไม่?</t>
        </is>
      </c>
      <c r="I6" s="22" t="inlineStr">
        <is>
          <t>การติดตั้งและปฏิบัติการของระบบ สอดคล้องกับกฎหมายคุ้มครองข้อมูลส่วนบุคคล (PDPA), กฎหมายจราจร, และระเบียบความปลอดภัยในที่สาธารณะโดยไม่ละเมิดข้อบังคับหรือไม่?</t>
        </is>
      </c>
      <c r="J6" s="22" t="inlineStr">
        <is>
          <t>อุปกรณ์สื่อสารไร้สายได้รับการรับรองมาตรฐานจาก กสทช. (NBTC) และทีมงานมีความพร้อมในการประสานงานขอความร่วมมือจากหน่วยงานภาครัฐ (กทม./สำนักการระบายน้ำ) หรือไม่?</t>
        </is>
      </c>
      <c r="K6" s="22" t="inlineStr">
        <is>
          <t>ระบบสามารถสร้างหลักฐานยืนยันที่สอดคล้องกับระเบียบราชการ (เช่น ภาพถ่ายปิดเคสใน Traffy Fondue) เพื่อให้เจ้าหน้าที่ศูนย์สั่งการกล้าตัดสินใจยกเลิกหรือชะลอการปล่อยรถ QRT โดยไม่กลัวความผิดทางวินัยหรือไม่?</t>
        </is>
      </c>
      <c r="L6" s="22" t="inlineStr">
        <is>
          <t>ความซับซ้อนในการติดตั้ง การบำรุงรักษา และการใช้งานระบบ ไม่สร้างภาระงานส่วนเกินหรือต้องอาศัยการฝึกอบรมบุคลากรหน้างานอย่างซับซ้อนหรือไม่?</t>
        </is>
      </c>
      <c r="M6" s="22" t="inlineStr">
        <is>
          <t>การทดสอบและติดตั้งระบบจริงหน้างาน สามารถดำเนินการได้อย่างปลอดภัยโดยไม่นำพาผู้พัฒนาไปสู่สภาวะอันตรายถึงชีวิต (เช่น พื้นที่อับอากาศ/การจราจรหนาแน่น) หรือทำให้เกิดภาวะหมดไฟ (Burnout) หรือไม่?</t>
        </is>
      </c>
      <c r="N6" s="22" t="inlineStr">
        <is>
          <t>แผนงานและสถาปัตยกรรมระบบสามารถดูดซับช่วงเวลาหยุดนิ่งจากการสอบของมหาวิทยาลัย 4 สัปดาห์ (สัปดาห์ 10+1, 10+2, 15+1, 15+2) และส่งมอบต้นแบบได้ทันกรอบเวลา 16 สัปดาห์หรือไม่?</t>
        </is>
      </c>
      <c r="O6" s="22" t="inlineStr">
        <is>
          <t>ความก้าวหน้าทางวิศวกรรมสามารถบรรลุเกณฑ์ TRL ตามกำหนด (สัปดาห์ 9: TRL 2 Model, สัปดาห์ 13: TRL 3 PoC, สัปดาห์ 16: TRL 4 Lab Verification) ได้อย่างสมบูรณ์หรือไม่?</t>
        </is>
      </c>
      <c r="P6" s="22" t="inlineStr">
        <is>
          <t>ระยะเวลาในการสั่งซื้อและขนส่งอุปกรณ์ (Lead Time) มีการสำรองเวลา (Buffer) อย่างน้อย 2-3 สัปดาห์เพื่อการรวมระบบและแก้จุดบกพร่องก่อนส่งมอบจริงหรือไม่?</t>
        </is>
      </c>
      <c r="Q6" s="22" t="inlineStr">
        <is>
          <t>ระบบส่งเสริมการลดความสูญเสียจากภัยพิบัติน้ำท่วมเมือง (SDG 11.5) และยกระดับการเฝ้าระวังระบบระบายน้ำ (SDG 6.3) อย่างวัดผลได้จริงเชิงปฏิบัติการหรือไม่?</t>
        </is>
      </c>
      <c r="R6" s="22" t="inlineStr">
        <is>
          <t>อุปกรณ์ที่นำไปติดตั้ง ไม่เสี่ยงต่อการชะล้างสารพิษ การสร้างขยะอิเล็กทรอนิกส์ตกค้างในทางน้ำ (SDG 6/12) หรือการหลุดลอยไปอุดตันท่อระบายน้ำหรือไม่?</t>
        </is>
      </c>
      <c r="S6" s="22" t="inlineStr">
        <is>
          <t>ตรรกะการประเมินและการกรองเหตุร้องเรียน มีความเป็นธรรม ไม่สร้างความเหลื่อมล้ำในการตอบสนองระหว่างพื้นที่เมืองชั้นในที่มีการร้องเรียนหนาแน่น กับชุมชนชานเมืองหรือไม่?</t>
        </is>
      </c>
      <c r="T6" s="23" t="inlineStr">
        <is>
          <t>ประเมินคำถามทั้งสิ้น 18 ข้อ</t>
        </is>
      </c>
    </row>
    <row r="7" ht="95" customHeight="1">
      <c r="A7" s="19" t="inlineStr">
        <is>
          <t>เหตุผลในการถาม &amp; โหมดความล้มเหลวที่เฝ้าระวัง (Rationale)</t>
        </is>
      </c>
      <c r="B7" s="22" t="inlineStr">
        <is>
          <t>หากฝืนออกแบบโครงสร้างที่ต้องกลึงหรือเชื่อมโลหะเอง เมื่อไม่มีสิทธิ์เข้าใช้โรงประลอง (Machine Shop) งานฮาร์ดแวร์จะติดคอตันทันทีในสัปดาห์แรก ๆ นอกจากนี้ อุปกรณ์กลางแจ้งต้องทนลมพายุมรสุมและละอองน้ำขัง หากกล่องพิมพ์ 3D ซีลไม่ดี น้ำจะซึมเข้ากล่องทำให้วงจรลัดวงจร เซนเซอร์ดับกลางคัน และส่งข้อมูลหลอกศูนย์สั่งการ</t>
        </is>
      </c>
      <c r="C7" s="22" t="inlineStr">
        <is>
          <t>การสั่งผลิต Custom PCB ใช้เวลาแก้แบบและรอส่ง 2-3 สัปดาห์ต่อรอบ หากออกแบบลายวงจรผิดหรือบัดกรีพลาด จะทำให้โครงการล่มทันที นอกจากนี้ การนำบอร์ดประมวลผลสูงไปปิดผนึกในกล่องกันน้ำกลางแดด 40°C ของ กทม. เสี่ยงต่อการเกิดความร้อนสะสม (Thermal Throttling) จนชิปค้างหรือรีบูตตัวเองขณะฝนตกหนัก ซึ่งเป็นช่วงเวลาที่ต้องการข้อมูลมากที่สุด</t>
        </is>
      </c>
      <c r="D7" s="22" t="inlineStr">
        <is>
          <t>หัวใจเชิงระบบของโครงการนี้คือการแยกเคส 'น้ำท่วมชั่วคราวที่ระบายเองได้' ออกจากเคสวิกฤต หากอัลกอริทึมต้องพึ่งพา AI ข้อมูลมหาศาลที่ยังไม่มีชุดข้อมูล หรือประมวลผลช้าเกิน 20-30 นาที รถ QRT จะถูกส่งออกไปหน้างานและพบว่าน้ำแห้งแล้วก่อนที่ระบบจะคำนวณเสร็จ กลายเป็นระบบไร้ประโยชน์ที่แก้ปัญหาไม่ได้จริงในหน้างาน</t>
        </is>
      </c>
      <c r="E7" s="22" t="inlineStr">
        <is>
          <t>คลองและผิวจราจร กทม. เต็มไปด้วยขยะลอย ผักตบชวา คราบน้ำมัน และคลื่นผิวน้ำจากลมพายุ หากใช้เซนเซอร์ที่สัมผัสน้ำตรง ๆ ขยะจะพันติดจนเซนเซอร์พัง หรือถ้าใช้คลื่นสะท้อนโดยไม่มีตัวกรองเชิงสถิติกำจัดสัญญาณรบกวน ค่าระดับน้ำจะกระโดดไปมา นำไปสู่การประเมินอัตราน้ำลดผิดพลาดและสั่งยกเลิกรถผิดจังหวะ</t>
        </is>
      </c>
      <c r="F7" s="22" t="inlineStr">
        <is>
          <t>โครงงานนักศึกษาไม่มีงบจัดซื้อจากรัฐหรือสปอนเซอร์ภายนอก หากเลือกสถาปัตยกรรมที่ใช้อุปกรณ์อุตสาหกรรมราคาแพง (เช่น เซนเซอร์เสียงใต้ดินตัวละ 25,000 บาท หรือกล้อง AI เกรดราชการ) ผู้พัฒนาจะต้องควักเงินส่วนตัวจนเงินหมดก่อนได้ต้นแบบ หรือต้องยอมตัดทอนอุปกรณ์หลักจนระบบใช้งานไม่ได้</t>
        </is>
      </c>
      <c r="G7" s="22" t="inlineStr">
        <is>
          <t>งานวิศวกรรมฮาร์ดแวร์และน้ำไม่เคยต่อครั้งเดียวแล้วติด การทดสอบหน้างานมีความเสี่ยงสูงที่จะทำบอร์ดไหม้ เซนเซอร์ช็อต หรืออุปกรณ์ตกน้ำสูญหาย หากตั้งงบไว้พอดีเป๊ะ 1x BOM โดยไม่มีงบอะไหล่สำรอง 100% ความเสียหายเพียงครั้งเดียวจะทำให้การทดลองหยุดชะงักและไม่มีเงินสั่งซื้อใหม่</t>
        </is>
      </c>
      <c r="H7" s="22" t="inlineStr">
        <is>
          <t>ระบบต้องตอบคำถามความคุ้มค่าเชิงระบบได้ชัดเจน หากค่าซิม 4G รายเดือน ค่าไฟฟ้า และค่าแรงเจ้าหน้าที่ที่ต้องคอยปีนไปเช็ดกล้องหรือล้างเซนเซอร์สูงกว่าค่าน้ำมันรถ QRT ที่ประหยัดได้จากเคสว่างเปล่า โครงการนี้จะกลายเป็น 'ภาระทางงบประมาณ' ของ กทม. และถูกถอดทิ้งหลังจบการทดลอง</t>
        </is>
      </c>
      <c r="I7" s="22" t="inlineStr">
        <is>
          <t>การติดตั้งเทคโนโลยีในที่สาธารณะมักตายด้วยข้อกฎหมาย ไม่ใช่เทคโนโลยี การใช้กล้องส่องถนนจะติด พ.ร.บ. PDPA มาตรา 24 ทันทีที่มีใบหน้าคนหรือทะเบียนรถ หรือการเปิดฝาท่อบนผิวจราจรโดยไม่มีตำรวจกั้นทางจะผิด พ.ร.บ. ทางหลวงและเสี่ยงต่ออุบัติเหตุรถตกท่อ ซึ่งอาจนำไปสู่คดีความอาญาและคำสั่งระงับโครงการทันที</t>
        </is>
      </c>
      <c r="J7" s="22" t="inlineStr">
        <is>
          <t>แม้อุปกรณ์จะใช้ได้จริง แต่หากคลื่นวิทยุไม่ผ่าน กสทช. จะนำไปติดตั้งจริงไม่ได้ และที่สำคัญที่สุดคือ ระบบต้องไปแตะโครงสร้างสะพาน ท่อระบายน้ำ หรือเสาไฟของ กทม. หากทีมงานไม่มีคอนเนกชันเชิงสถาบันหรือหนังสือรับรองจากอาจารย์ที่ปรึกษาเพื่อขอเปิดพื้นที่ การลงหน้างานจะถูกเทศกิจสั่งรื้อถอนทันที</t>
        </is>
      </c>
      <c r="K7" s="22" t="inlineStr">
        <is>
          <t>จุดตายอันดับหนึ่งของระบบคัดกรองอัตโนมัติ เจ้าหน้าที่ศูนย์สั่งการ กทม. ต้องรับผิดชอบทางวินัยต่อเรื่องร้องเรียนของประชาชนใน Traffy Fondue หากระบบบอกว่า 'น้ำแห้งเองได้' แต่ไม่มีหลักฐานรูปภาพยืนยันปิดเคส เจ้าหน้าที่ก็ยังคง 'ต้องส่งรถออกไปถ่ายรูปอยู่ดี' เพื่อเอาตัวรอดจากข้อร้องเรียน ทำให้การลงทุนทำระบบกรองล้มเหลวโดยสิ้นเชิง</t>
        </is>
      </c>
      <c r="L7" s="22" t="inlineStr">
        <is>
          <t>อุปกรณ์ที่ออกแบบมาให้คนอื่นใช้ ถ้าติดตั้งยาก บำรุงรักษาซับซ้อน หรือต้องอบรมใช้งานหลายวัน จะถูกเจ้าหน้าที่หน้างานต่อต้านและปฏิเสธการใช้งาน เจ้าหน้าที่ระบายน้ำหน้างานต้องการเพียงกล่องที่ขันยึดเสร็จใน 10 นาที และแดชบอร์ดที่บอกชัดเจนว่า 'ส่งรถ' หรือ 'ไม่ต้องส่ง' โดยไม่ต้องแปลผลกราฟซับซ้อน</t>
        </is>
      </c>
      <c r="M7" s="22" t="inlineStr">
        <is>
          <t>ประเมินความปลอดภัยในชีวิตจริงของผู้พัฒนา การปล่อยให้นักศึกษาเดี่ยว (Solo Developer) ต้องลงไปเปิดฝาท่อระบายน้ำที่มีก๊าซไข่เน่าพิษ (H2S) ขาดอากาศหายใจ หรือยืนปรับมุมกล้องริมถนนใหญ่ที่มีรถวิ่งเร็ว เป็นการกระทำที่อันตรายถึงชีวิตและขัดต่อจรรยาบรรณวิศวกรรม หากผู้พัฒนาบาดเจ็บ โครงการจะยุติทันที</t>
        </is>
      </c>
      <c r="N7" s="22" t="inlineStr">
        <is>
          <t>โครงงานภาคการศึกษา 16 สัปดาห์ มีช่วงสอบกลางภาคและปลายภาคของมหาวิทยาลัยถึง 4 สัปดาห์เต็ม ซึ่งสมองและเวลาของนักศึกษาจะถูกดึงไปกับการสอบ 100% หากสถาปัตยกรรมระบบไม่แยกส่วนให้ชัดเจนและไม่ล็อกสเปกฮาร์ดแวร์ก่อนสอบ โครงการจะเกิดภาวะขวดโหลแตก (Schedule Collapse) และประกอบงานส่งไม่ทัน</t>
        </is>
      </c>
      <c r="O7" s="22" t="inlineStr">
        <is>
          <t>ป้องกันภาพลวงตาของการพัฒนา (Illusion of Progress) ที่นักศึกษาคิดว่าโปรเจกต์เดินหน้าแต่มีแค่สไลด์ เกณฑ์ TRL2 (สัปดาห์ 9) ต้องมีสมการคณิตศาสตร์ที่พิสูจน์ได้, TRL3 (สัปดาห์ 13) ต้องมีฮาร์ดแวร์วัดจริงในถังทดลอง, และ TRL4 (สัปดาห์ 16) ต้องทดสอบในแล็บ/คลองจริง หากวางแผนข้ามขั้นจะสอบตกการประเมินความก้าวหน้า</t>
        </is>
      </c>
      <c r="P7" s="22" t="inlineStr">
        <is>
          <t>การสั่งซื้อชิ้นส่วนพิเศษจากต่างประเทศ (AliExpress, JLCPCB, ยุโรป) มักเจอปัญหาติดด่านศุลกากร ขนส่งล่าช้า 3-6 สัปดาห์ หรือได้ของชำรุด หากไม่มี Buffer รวมระบบอย่างน้อย 2-3 สัปดาห์ก่อนส่งงาน การที่ของมาถึงในสัปดาห์ที่ 15 จะทำให้ไม่มีเวลาแก้บักและระบบจะพังต่อหน้ากรรมการในวันสอบ Final</t>
        </is>
      </c>
      <c r="Q7" s="22" t="inlineStr">
        <is>
          <t>ประเมินว่าโครงการแก้ปัญหาที่ Pain Point จริงของเมืองหรือไม่ การลด Empty Cases ไม่ใช่แค่การเขียนโค้ดเล่น แต่เป็นการปลดล็อกรถดูดน้ำและหน่วยเคลื่อนที่เร็วให้สามารถวิ่งไปช่วยชุมชนที่น้ำท่วมขังวิกฤตจริงได้เร็วขึ้น 15-20 นาที ลดความเสียหายต่อทรัพย์สินและบ้านเรือนของประชาชนตามเป้าหมาย SDG 11.5</t>
        </is>
      </c>
      <c r="R7" s="22" t="inlineStr">
        <is>
          <t>วิศวกรต้องไม่สร้างปัญหาใหม่ทับซ้อนปัญหาเดิม กล่องเซนเซอร์หรืออุปกรณ์ที่ติดตั้งในทางระบายน้ำ หากยึดไม่แน่นหนาแล้วหลุดลอยไปในคลอง ตัวกล่องและแบตเตอรี่จะกลายเป็นขยะอิเล็กทรอนิกส์มีพิษ (E-Waste) ที่ไปอุดตันเครื่องสูบน้ำของ กทม. ทำให้เกิดน้ำท่วมหนักกว่าเดิม</t>
        </is>
      </c>
      <c r="S7" s="22" t="inlineStr">
        <is>
          <t>แอปพลิเคชันอย่าง Traffy Fondue มีอคติเชิงพื้นที่ (Geospatial Bias) สูงมาก เพราะคนในย่านธุรกิจใจกลางเมืองจะแจ้งเรื่องบ่อยและส่งเสียงดังกว่าชุมชนชานเมือง หากระบบใช้อัลกอริทึมที่อิงตามความถี่การแจ้งเรื่อง ชุมชนยากจนจะถูกละเลย ระบบจึงต้องใช้ฟิสิกส์อัตราการระบายน้ำที่เป็นกลางในการตัดสินใจอย่างเท่าเทียม</t>
        </is>
      </c>
      <c r="T7" s="23" t="inlineStr">
        <is>
          <t>สังเคราะห์จาก AI Agents Group 2</t>
        </is>
      </c>
    </row>
    <row r="8" ht="110" customHeight="1">
      <c r="A8" s="19" t="inlineStr">
        <is>
          <t>เกณฑ์การให้คะแนน (Scoring Rubric Definition: ระดับ 1, 2, 3, 4, 5 ครบทุกระดับ)</t>
        </is>
      </c>
      <c r="B8" s="22" t="inlineStr">
        <is>
          <t>1: บังคับต้องกลึงหรือตัดขึ้นรูปชิ้นงานโลหะ custom เองทั้งหมดโดยไม่มีเครื่องจักร (Fatal Flaw / ไม่ผ่านเกณฑ์)
2: ต้องจ้างโรงกลึงภายนอกผลิตชิ้นงานเฉพาะจุดโดยไม่มีงบประมาณและเสี่ยงต่อความล่าช้า
3: ใช้ชิ้นงานพิมพ์ 3D PETG ซีลกันน้ำด้วยซิลิโคนมือ ทนทานปานกลางต่อแรงลมมรสุม
4: ใช้กล่องกันน้ำ COTS ร่วมกับขายึดดัดแปลงเล็กน้อย มีการทดสอบการรั่วซึมเบื้องต้น
5: ใช้กล่องกันน้ำสำเร็จรูปมาตรฐาน IP67/68 ร่วมกับแคลมป์รัดท่อ/เสามาตรฐานอุตสาหกรรมที่มีขายทั่วไป ไม่ต้องดัดแปลง</t>
        </is>
      </c>
      <c r="C8" s="22" t="inlineStr">
        <is>
          <t>1: บังคับต้องออกแบบและผลิต Custom PCB หลายชั้นเองโดยไม่มีทักษะและเวลาไม่พอ (Fatal Flaw)
2: อุปกรณ์ประมวลผลเกิดความร้อนสะสมสูงจัด (เช่น ชิป GPU รันกลางแดด 40°C) เสี่ยงต่อการดับตัวเอง
3: บัดกรีด้วยมือบนแผ่นไข่ปลา (Perfboard) วงจรทนต่อแรงสั่นสะเทือนได้จำกัด
4: ใช้บอร์ดไมโครคอนโทรลเลอร์สำเร็จรูปเชื่อมต่อสายไฟแบบขันสกรู มีการป้องกันสัญญาณรบกวนเบื้องต้น
5: ใช้ Industrial Screw Terminal Shield สำเร็จรูปมาตรฐานอุตสาหกรรม มีวงจรป้องกันไฟกระชากและระบายความร้อนได้ดีเยี่ยม</t>
        </is>
      </c>
      <c r="D8" s="22" t="inlineStr">
        <is>
          <t>1: ต้องพึ่งพาโมเดล AI ข้อมูลมหาศาลที่ยังไม่มีชุดข้อมูล หรืออัลกอริทึมประมวลผลช้าเกินกว่ากรอบเวลา 30 นาที (Fatal Flaw)
2: ใช้อัลกอริทึมที่ซับซ้อนเกินไปจนไม่สามารถรันบนฮาร์ดแวร์จริงได้ทันเวลาเดินทางของ QRT
3: ใช้เกณฑ์ระดับน้ำแบบคงที่ (Static Threshold) ซึ่งแยกเคสฝนตกหนักชั่วคราวไม่ออก
4: ใช้อัลกอริทึมวิเคราะห์อัตราการเปลี่ยนแปลงหรือโมเดลน้ำหนักเบา ประมวลผลได้ภายในไม่กี่วินาที
5: ใช้สมการอนุพันธ์ชลศาสตร์ (dh/dt) คำนวณเทียบเวลาระบายจริง ประมวลผลเสร็จในระดับมิลลิวินาที แม่นยำสูง</t>
        </is>
      </c>
      <c r="E8" s="22" t="inlineStr">
        <is>
          <t>1: ระบบล้มเหลวโดยสิ้นเชิงเมื่อเจอสภาวะแวดล้อมจริง (เช่น ขยะลอย น้ำขุ่น ฝนตกหนัก หรือก๊าซในท่อ) (Fatal Flaw)
2: เซนเซอร์อ่านค่าผิดพลาดบ่อยครั้งเมื่อทัศนวิสัยต่ำหรือมีสิ่งสกปรกเกาะ ต้องอาศัยการรีเซ็ตด้วยมือ
3: ทนต่อสิ่งรบกวนได้ปานกลาง แต่อาจเกิด False Positive ชั่วคราวเมื่อมีฝนตกหนักจัด
4: มีการติดตั้งฮูดกำบัง และใส่อัลกอริทึมกรองสัญญาณรบกวนเชิงสถิติ (Statistical Filter)
5: เซนเซอร์ติดตั้งแบบไม่สัมผัสสิ่งรบกวน พร้อมอัลกอริทึม Median Filter กรองสัญญาณสะท้อนหลอกจากขยะและคลื่นผิวน้ำได้อย่างสมบูรณ์</t>
        </is>
      </c>
      <c r="F8" s="22" t="inlineStr">
        <is>
          <t>1: งบประมาณ BOM เกิน 20,000 บาท (เกินเพดาน 5,000 บาทของนักศึกษาถึง 4-5 เท่าตัว / Fatal Flaw)
2: งบประมาณ BOM อยู่ระหว่าง 10,000 - 20,000 บาท ต้องจัดหาทุนสนับสนุนภายนอก
3: งบประมาณ BOM อยู่ระหว่าง 5,000 - 10,000 บาท เกินงบส่วนตัวเล็กน้อย ต้องตัดทอนอุปกรณ์
4: งบประมาณ BOM รวมอยู่ระหว่าง 3,500 - 5,000 บาท พอดีกับเพดานงบประมาณ
5: งบประมาณ BOM รวมต่ำกว่า 3,500 บาท ใช้อุปกรณ์ COTS ราคาประหยัด ควบคุมค่าใช้จ่ายได้อย่างเด็ดขาด</t>
        </is>
      </c>
      <c r="G8" s="22" t="inlineStr">
        <is>
          <t>1: ไม่มีงบสำรองอะไหล่เลย (0%) หากชิ้นส่วนเสียหายชิ้นเดียว โครงการหยุดชะงักทันที (Fatal Flaw)
2: มีงบสำรองอะไหล่เพียง 10-20% ซื้ออะไหล่ทดแทนได้เฉพาะชิ้นส่วนเล็ก ๆ
3: มีงบสำรองอะไหล่ประมาณ 50% สามารถสำรองเซนเซอร์ได้แต่ไม่มีบอร์ดหลักสำรอง
4: มีงบสำรองอะไหล่ 80-100% สำหรับเซนเซอร์และบอร์ดหลักบางส่วน
5: มีงบสำรองอะไหล่ 100% ครอบคลุมเซนเซอร์ 3 ชุด และบอร์ดประมวลผล 2 ชุด ภายใต้งบรวมไม่เกิน 5,000 บาท</t>
        </is>
      </c>
      <c r="H8" s="22" t="inlineStr">
        <is>
          <t>1: ค่าใช้จ่ายในการดำเนินงานและบำรุงรักษา (OpEx) สูงกว่ามูลค่าทรัพยากรที่ประหยัดได้ ไม่คุ้มทุนทางเศรษฐศาสตร์ (Fatal Flaw)
2: ประหยัดทรัพยากรได้น้อยมากเมื่อหักลบค่าซิมการ์ด ค่าไฟฟ้า และค่าแรงบำรุงรักษา
3: จุดคุ้มทุนปานกลาง ใช้เวลามากกว่า 1-2 ปีในการคืนทุนค่าน้ำมันรถ
4: ประหยัดค่าน้ำมันและค่าเบี้ยเลี้ยงเจ้าหน้าที่ได้ชัดเจน คุ้มทุนภายในฤดูมรสุมเดียว
5: ลดการปล่อยรถเก้อได้ 30-40% ประหยัดงบประมาณค่าน้ำมันและค่าสึกหรอของเมืองได้หลายหมื่นบาทต่อปี โดยระบบกินไฟต่ำมาก</t>
        </is>
      </c>
      <c r="I8" s="22" t="inlineStr">
        <is>
          <t>1: ละเมิดกฎหมายอย่างร้ายแรง (เช่น บันทึกภาพบุคคลผิด PDPA หรือเปิดฝาท่อบนทางหลวงโดยไม่ได้รับอนุญาต / Fatal Flaw)
2: สุ่มเสี่ยงต่อการละเมิดกฎหมาย ต้องใช้กระบวนการทางเทคนิคที่ซับซ้อนช่วยลดทอนและยังไม่มีเอกสารยินยอม
3: มีข้อตกลงเบื้องต้นหรือใช้วิธีเบลอภาพอัตโนมัติ แต่ยังต้องรอการอนุมัติระเบียบอย่างเป็นทางการ
4: ปฏิบัติตามกฎหมายอย่างถูกต้อง มีการขออนุญาตติดตั้งตามระเบียบองค์กร และไม่มีการเก็บข้อมูลส่วนบุคคลที่เป็นอันตราย
5: ปลอดจากการละเมิดกฎหมาย 100% ไม่เก็บข้อมูลระบุตัวตน (No PII) และติดตั้งบนโครงสร้างสะพานอย่างปลอดภัยตามระเบียบ</t>
        </is>
      </c>
      <c r="J8" s="22" t="inlineStr">
        <is>
          <t>1: ใช้อุปกรณ์ส่งคลื่นวิทยุผิดกฎหมาย กสทช. หรือไม่มีช่องทางติดต่อประสานงานหน่วยงานรัฐเลยแม้แต่น้อย (Fatal Flaw)
2: อุปกรณ์ไม่ได้รับการรับรอง และการประสานงานอาศัยเพียงจดหมายทางการที่ไม่มีการตอบรับ
3: อุปกรณ์ได้รับรอง แต่การขออนุญาตเข้าพื้นที่สาธารณะต้องผ่านกระบวนการทำ MoU ล่าช้า
4: ใช้โมดูลสื่อสารที่ได้รับใบรับรอง กสทช. ถูกต้อง และมีอาจารย์ที่ปรึกษาช่วยเปิดช่องทางประสานงาน
5: โมดูลสื่อสารผ่านมาตรฐาน กสทช. 100% และมีเครือข่ายความร่วมมือทางวิชาการกับสำนักการระบายน้ำ กทม. ดำเนินการได้อย่างรวดเร็ว</t>
        </is>
      </c>
      <c r="K8" s="22" t="inlineStr">
        <is>
          <t>1: ระบบให้เพียงตัวเลขที่ไม่มีหลักฐานเชิงประจักษ์ เจ้าหน้าที่ไม่กล้าใช้ตัดสินใจเพราะกลัวถูกสอบวินัย (Fatal Flaw)
2: เจ้าหน้าที่ปฏิเสธการใช้งานเนื่องจากไม่สอดคล้องกับขั้นตอนการทำงานปกติ
3: เจ้าหน้าที่ยอมรับเฉพาะบางกรณี และยังคงต้องส่งรถออกไปถ่ายรูปปิดเคสหน้างานอยู่ดี
4: ระบบสร้างรายงานดิจิทัลพร้อมหลักฐานชัดเจนที่หัวหน้างานให้การยอมรับในการชะลอการปล่อยรถ
5: ระบบสร้างใบปิดงานดิจิทัล (Digital Evidence Card) ที่ระบุค่า dh/dt พิกัด และเวลา ที่ กทม. ยอมรับเป็นรูปภาพปิดเคสใน Traffy Fondue ได้ทันที</t>
        </is>
      </c>
      <c r="L8" s="22" t="inlineStr">
        <is>
          <t>1: ใช้งานยากมาก สร้างภาระงานหนักแก่เจ้าหน้าที่ และต้องใช้ช่างผู้เชี่ยวชาญดูแลรายวัน (Fatal Flaw)
2: ต้องฝึกอบรมเจ้าหน้าที่หลายวันและมีขั้นตอนการบำรุงรักษาที่ยุ่งยากซับซ้อน
3: ต้องมีการฝึกอบรมเจ้าหน้าที่ 1-2 ชั่วโมง และต้องคอยเช็ดทำความสะอาดระบบทุกเดือน
4: เจ้าหน้าที่เข้าใจได้ง่ายภายใน 15 นาที การติดตั้งสะดวกรวดเร็ว
5: ติดตั้งเสร็จใน 10 นาทีด้วยแคลมป์รัด ไม่ต้องเจาะทำลายสะพาน แดชบอร์ดแสดงสถานะ ชะลอ/ปล่อยรถ ชัดเจน ไม่ต้องอบรม</t>
        </is>
      </c>
      <c r="M8" s="22" t="inlineStr">
        <is>
          <t>1: ต้องลงไปปฏิบัติงานในพื้นที่อันตรายถึงชีวิต (เช่น ท่อระบายน้ำอับอากาศ หรือช่องจราจรความเร็วสูง) เพียงลำพัง (Fatal Flaw)
2: ปฏิบัติงานในพื้นที่เสี่ยงสูงโดยไม่มีอุปกรณ์คุ้มครองความปลอดภัยส่วนบุคคลที่เพียงพอ
3: ปฏิบัติงานริมถนนสาธารณะที่มีความเสี่ยงปานกลาง ต้องมีเพื่อนร่วมงานคอยดูแลความปลอดภัยตลอดเวลา
4: ปฏิบัติงานบนทางเท้าหรือสะพานลอยคนข้ามที่มีรั้วกั้นปลอดภัย สวมใส่อุปกรณ์สะท้อนแสง
5: ติดตั้งบนราวสะพานคนข้ามที่ปลอดภัย 100% และสามารถทดสอบระบบจำลองบนโต๊ะแล็บได้เกือบทั้งหมดก่อนลงพื้นที่จริง</t>
        </is>
      </c>
      <c r="N8" s="22" t="inlineStr">
        <is>
          <t>1: โครงการหยุดชะงักอย่างสิ้นเชิงจากช่วงสอบ 4 สัปดาห์ และไม่สามารถส่งมอบงานได้ทันสัปดาห์ที่ 16 (Fatal Flaw)
2: ติดสอบจนงานล่าช้ากว่ากำหนดมากกว่า 3 สัปดาห์ และต้องตัดทอนระบบสำคัญออก
3: งานล่าช้าเล็กน้อยและต้องเร่งทำงานอย่างหนักหลังสอบเสร็จ ไม่มีเวลาทดสอบรวมระบบ
4: แผนงานจัดสรรเวลาได้ดี สามารถหยุดอ่านหนังสือสอบได้โดยโครงการยังอยู่ในกรอบเวลา
5: สถาปัตยกรรมแยกส่วนชัดเจน โค้ดหลักเสร็จก่อนสอบกลางภาค และฮาร์ดแวร์ COTS ประกอบเสร็จทันทีหลังสอบ มีเวลาเหลือเฟือ</t>
        </is>
      </c>
      <c r="O8" s="22" t="inlineStr">
        <is>
          <t>1: ไม่สามารถบรรลุเกณฑ์ TRL ขั้นต่ำ (TRL 2 ภายในสัปดาห์ที่ 9) ได้เลย (Fatal Flaw)
2: บรรลุเกณฑ์ TRL ได้ล่าช้ากว่ากำหนดมากกว่า 2 สัปดาห์
3: บรรลุ TRL 2 ได้ทัน แต่ TRL 3 และ TRL 4 ต้องลดทอนข้อกำหนดลงอย่างมาก
4: บรรลุเกณฑ์ TRL 2, TRL 3, และ TRL 4 ได้ตามกรอบเวลาของรายวิชาเกือบครบถ้วน
5: บรรลุ TRL 2 ในสัปดาห์ 9 (Mathematical Model), TRL 3 ในสัปดาห์ 13 (Bench PoC), และ TRL 4 ในสัปดาห์ 16 (Canal/Lab) ได้อย่างสมบูรณ์แบบ</t>
        </is>
      </c>
      <c r="P8" s="22" t="inlineStr">
        <is>
          <t>1: อุปกรณ์ต้องนำเข้าต่างประเทศใช้เวลาขนส่ง 4-6 สัปดาห์ ทำลายเส้นทางวิกฤตของโปรเจกต์ 16 สัปดาห์ (Fatal Flaw)
2: อุปกรณ์จัดส่งล่าช้า 2-3 สัปดาห์ ทำให้ไม่มีเวลาสำหรับการทดสอบและแก้ไขจุดบกพร่อง
3: มี Buffer เวลาสำหรับการทดสอบรวมระบบเพียง 1 สัปดาห์ เสี่ยงต่อการส่งงานไม่ทันหากมีข้อผิดพลาด
4: อุปกรณ์จัดส่งภายใน 5-7 วัน มี Buffer สำหรับการรวมระบบและแก้บักอย่างน้อย 2 สัปดาห์
5: อุปกรณ์ทุกชิ้นมีสต็อกในประเทศ จัดส่งถึงภายใน 2-3 วันทำการ มี Buffer รวมระบบก่อนส่งมอบมากกว่า 3 สัปดาห์</t>
        </is>
      </c>
      <c r="Q8" s="22" t="inlineStr">
        <is>
          <t>1: ไม่สอดคล้องกับเป้าหมายความยั่งยืนใด ๆ หรือสร้างผลกระทบเชิงลบต่อการจัดการภัยพิบัติ (Fatal Flaw)
2: สอดคล้องในเชิงทฤษฎีเท่านั้น แต่ไม่มีผลลัพธ์หรือตัวชี้วัดที่จับต้องได้ในทางปฏิบัติ
3: ส่งเสริมการเฝ้าระวังทางอ้อม แต่ไม่สามารถวัดผลการลดความสูญเสียได้อย่างชัดเจน
4: ช่วยลดเวลาในการเข้าถึงพื้นที่น้ำท่วมขัง และมีตัวชี้วัดความสำเร็จที่สอดคล้องกับ SDG 11.5
5: ตอบโจทย์ SDG 11.5 (ลดความสูญเสียทางเศรษฐกิจ) และ SDG 6.3 (เฝ้าระวังระบบระบายน้ำ) อย่างชัดเจน ปลดล็อกกำลังพลช่วยเหลือพื้นที่วิกฤตได้เร็วขึ้น</t>
        </is>
      </c>
      <c r="R8" s="22" t="inlineStr">
        <is>
          <t>1: ใช้วัสดุที่ชะสารพิษลงน้ำ หรืออุปกรณ์เสี่ยงหลุดลอยไปอุดตันท่อระบายน้ำกลายเป็นมลพิษ (Fatal Flaw)
2: มีความเสี่ยงที่อุปกรณ์จะเสื่อมสภาพและปล่อยไมโครพลาสติกหรือสารเคมีลงสู่แหล่งน้ำ
3: อุปกรณ์ปลอดภัยในสภาวะปกติ แต่อาจชำรุดเสียหายหากเกิดกระแสน้ำหลากฉับพลัน
4: อุปกรณ์ติดตั้งเหนือน้ำ กล่องกันน้ำมิดชิด มีการป้องกันการหลุดร่วงอย่างเหมาะสม
5: ตัวกล่องมาตรฐาน IP67 ไม่สัมผัสน้ำ มีสลิงนิรภัยสแตนเลสยึดสองชั้น และใช้แบตเตอรี่แห้งปลอดภัยที่ไม่ปล่อยสารเคมี 100%</t>
        </is>
      </c>
      <c r="S8" s="22" t="inlineStr">
        <is>
          <t>1: อัลกอริทึมเลือกปฏิบัติต่อพื้นที่ หรือตัดการให้บริการแก่ชุมชนยากจนอย่างไม่เป็นธรรม (Fatal Flaw)
2: มีความเหลื่อมล้ำเชิงพื้นที่สูง ระบบทำงานได้เฉพาะเขตเมืองชั้นในที่ร่ำรวย ละเลยชุมชนชานเมือง
3: มีความเหลื่อมล้ำเล็กน้อยตามปริมาณข้อมูลหรือสัญญาณเครือข่าย แต่ไม่ได้เลือกปฏิบัติโดยเจตนา
4: ระบบกระจายการให้บริการอย่างทั่วถึง และมีกลไกชดเชยสำหรับพื้นที่ที่มีข้อมูลน้อย
5: ใช้อัตราการลดระดับน้ำตามกฎฟิสิกส์ชลศาสตร์เป็นเกณฑ์สากลอย่างเสมอภาคเท่าเทียม ไม่ขึ้นกับฐานะทางเศรษฐกิจหรือเสียงร้องเรียน</t>
        </is>
      </c>
      <c r="T8" s="23" t="inlineStr">
        <is>
          <t>เกณฑ์รวม: &gt;=80 ผ่านสูง, &gt;=60 มีเงื่อนไข, &lt;60 เสี่ยงสูง | หากมีข้อใดได้ 1 = VETOED ตกเกณฑ์ทันที</t>
        </is>
      </c>
    </row>
    <row r="9" ht="36" customHeight="1">
      <c r="A9" s="24" t="inlineStr">
        <is>
          <t>คะแนนที่ได้รับ (ASSIGNED SCORE: 1, 2, 3, 4, 5 STRICT INTEGER)</t>
        </is>
      </c>
      <c r="B9" s="25" t="n">
        <v>2</v>
      </c>
      <c r="C9" s="25" t="n">
        <v>3</v>
      </c>
      <c r="D9" s="25" t="n">
        <v>3</v>
      </c>
      <c r="E9" s="25" t="n">
        <v>2</v>
      </c>
      <c r="F9" s="25" t="n">
        <v>1</v>
      </c>
      <c r="G9" s="25" t="n">
        <v>1</v>
      </c>
      <c r="H9" s="25" t="n">
        <v>2</v>
      </c>
      <c r="I9" s="25" t="n">
        <v>1</v>
      </c>
      <c r="J9" s="25" t="n">
        <v>2</v>
      </c>
      <c r="K9" s="25" t="n">
        <v>2</v>
      </c>
      <c r="L9" s="25" t="n">
        <v>2</v>
      </c>
      <c r="M9" s="25" t="n">
        <v>1</v>
      </c>
      <c r="N9" s="25" t="n">
        <v>2</v>
      </c>
      <c r="O9" s="25" t="n">
        <v>2</v>
      </c>
      <c r="P9" s="25" t="n">
        <v>1</v>
      </c>
      <c r="Q9" s="25" t="n">
        <v>3</v>
      </c>
      <c r="R9" s="25" t="n">
        <v>3</v>
      </c>
      <c r="S9" s="25" t="n">
        <v>4</v>
      </c>
      <c r="T9" s="30">
        <f>IF(T10&gt;0, (T11/T10)*20, 0)</f>
        <v/>
      </c>
    </row>
    <row r="10" ht="22" customHeight="1">
      <c r="A10" s="19" t="inlineStr">
        <is>
          <t>ค่าน้ำหนัก (Weight %)</t>
        </is>
      </c>
      <c r="B10" s="27" t="n">
        <v>0.05</v>
      </c>
      <c r="C10" s="27" t="n">
        <v>0.05</v>
      </c>
      <c r="D10" s="27" t="n">
        <v>0.05</v>
      </c>
      <c r="E10" s="27" t="n">
        <v>0.05</v>
      </c>
      <c r="F10" s="27" t="n">
        <v>0.0667</v>
      </c>
      <c r="G10" s="27" t="n">
        <v>0.0667</v>
      </c>
      <c r="H10" s="27" t="n">
        <v>0.06660000000000001</v>
      </c>
      <c r="I10" s="27" t="n">
        <v>0.075</v>
      </c>
      <c r="J10" s="27" t="n">
        <v>0.075</v>
      </c>
      <c r="K10" s="27" t="n">
        <v>0.0667</v>
      </c>
      <c r="L10" s="27" t="n">
        <v>0.0667</v>
      </c>
      <c r="M10" s="27" t="n">
        <v>0.06660000000000001</v>
      </c>
      <c r="N10" s="27" t="n">
        <v>0.05</v>
      </c>
      <c r="O10" s="27" t="n">
        <v>0.05</v>
      </c>
      <c r="P10" s="27" t="n">
        <v>0.05</v>
      </c>
      <c r="Q10" s="27" t="n">
        <v>0.0333</v>
      </c>
      <c r="R10" s="27" t="n">
        <v>0.0333</v>
      </c>
      <c r="S10" s="27" t="n">
        <v>0.0334</v>
      </c>
      <c r="T10" s="27">
        <f>SUM(B10:S10)</f>
        <v/>
      </c>
    </row>
    <row r="11" ht="24" customHeight="1">
      <c r="A11" s="19" t="inlineStr">
        <is>
          <t>คะแนนถ่วงน้ำหนัก (=Score * Weight)</t>
        </is>
      </c>
      <c r="B11" s="28">
        <f>B9*B10</f>
        <v/>
      </c>
      <c r="C11" s="28">
        <f>C9*C10</f>
        <v/>
      </c>
      <c r="D11" s="28">
        <f>D9*D10</f>
        <v/>
      </c>
      <c r="E11" s="28">
        <f>E9*E10</f>
        <v/>
      </c>
      <c r="F11" s="28">
        <f>F9*F10</f>
        <v/>
      </c>
      <c r="G11" s="28">
        <f>G9*G10</f>
        <v/>
      </c>
      <c r="H11" s="28">
        <f>H9*H10</f>
        <v/>
      </c>
      <c r="I11" s="28">
        <f>I9*I10</f>
        <v/>
      </c>
      <c r="J11" s="28">
        <f>J9*J10</f>
        <v/>
      </c>
      <c r="K11" s="28">
        <f>K9*K10</f>
        <v/>
      </c>
      <c r="L11" s="28">
        <f>L9*L10</f>
        <v/>
      </c>
      <c r="M11" s="28">
        <f>M9*M10</f>
        <v/>
      </c>
      <c r="N11" s="28">
        <f>N9*N10</f>
        <v/>
      </c>
      <c r="O11" s="28">
        <f>O9*O10</f>
        <v/>
      </c>
      <c r="P11" s="28">
        <f>P9*P10</f>
        <v/>
      </c>
      <c r="Q11" s="28">
        <f>Q9*Q10</f>
        <v/>
      </c>
      <c r="R11" s="28">
        <f>R9*R10</f>
        <v/>
      </c>
      <c r="S11" s="28">
        <f>S9*S10</f>
        <v/>
      </c>
      <c r="T11" s="28">
        <f>SUM(B11:S11)</f>
        <v/>
      </c>
    </row>
    <row r="12" ht="95" customHeight="1">
      <c r="A12" s="19" t="inlineStr">
        <is>
          <t>คำอธิบาย &amp; หลักฐานอ้างอิงจากไฟล์ Intake (Evidence Citation)</t>
        </is>
      </c>
      <c r="B12" s="22" t="inlineStr">
        <is>
          <t>อ้างอิง solution-3.md ข้อ 4.b สภาพในท่อมีก๊าซไข่เน่าและความชื้นสูง และ team-skills/jk.md ที่ไม่มีสิทธิ์ใช้โรงประลอง การสร้างแท่นจับยึดเซนเซอร์เสียงที่ทนแรงดันน้ำและก๊าซกัดกร่อนในบ่อพักน้ำไม่สามารถทำได้ด้วยอุปกรณ์ COTS ทั่วไป</t>
        </is>
      </c>
      <c r="C12" s="22" t="inlineStr">
        <is>
          <t>อ้างอิง solution-3.md ข้อ 3.a: อุปกรณ์ Acoustic Transceiver ต้องใช้วงจรขยายสัญญาณ Piezo และตัวกรองความถี่สูงแบบแอนะล็อก ซึ่งมีความละเอียดอ่อนต่อสัญญาณรบกวน JK ขาดประสบการณ์ออกแบบวงจรแอนะล็อกความถี่สูง</t>
        </is>
      </c>
      <c r="D12" s="22" t="inlineStr">
        <is>
          <t>อ้างอิง solution-3.md ข้อ 3.b: การวิเคราะห์สัญญาณ Time-of-Flight และ Spectral Response ของคลื่นเสียงสะท้อนในท่อเลี้ยวและท่อแยกมีความซับซ้อนทางคณิตศาสตร์สูงมาก และ JK ขาดความเชี่ยวชาญด้าน Acoustic DSP เฉพาะทาง</t>
        </is>
      </c>
      <c r="E12" s="22" t="inlineStr">
        <is>
          <t>อ้างอิง solution-3.md ข้อ 4.b: คราบไขมัน ตะกอน และก๊าซไข่เน่า (H2S) ในท่อระบายน้ำจะเกาะหัวตรวจจับคลื่นเสียงอย่างรวดเร็ว ทำให้อิมพีแดนซ์เปลี่ยนและสัญญาณสะท้อนเพี้ยนจนวัดค่าไม่ได้</t>
        </is>
      </c>
      <c r="F12" s="22" t="inlineStr">
        <is>
          <t>อ้างอิง solution-3.md ข้อ 4.a: อุปกรณ์ Acoustic Transceiver ระดับอุตสาหกรรมสำหรับท่อระบายน้ำมีราคาสูงมาก (&gt; 25,000 บาท) เกินเพดานงบประมาณนักศึกษา 5,000 บาทถึง 5 เท่าตัว (Fatal Flaw ตกเกณฑ์ข้อบังคับวิกฤต!)</t>
        </is>
      </c>
      <c r="G12" s="22" t="inlineStr">
        <is>
          <t>เนื่องจากอุปกรณ์ Acoustic มีราคาสูงเกินงบประมาณตั้งแต่ชิ้นแรก จึงเป็นไปไม่ได้เลยที่จะมีงบสำรองสำหรับซื้ออะไหล่ทดแทน หากอุปกรณ์เสียหายระหว่างทดสอบในท่อ งานจะล้มเหลวทันที (Fatal Flaw!)</t>
        </is>
      </c>
      <c r="H12" s="22" t="inlineStr">
        <is>
          <t>การบำรุงรักษาหัววัดที่ต้องสัมผัสคราบไขมันและสิ่งปฏิกูลในท่อระบายน้ำต้องใช้สารเคมีล้างพิเศษและมีค่าแรงเจ้าหน้าที่สูงมาก ไม่คุ้มค่าเมื่อเทียบกับผลการประหยัดน้ำมัน</t>
        </is>
      </c>
      <c r="I12" s="22" t="inlineStr">
        <is>
          <t>อ้างอิง solution-3.md ข้อ 4.c: การเปิดฝาท่อระบายน้ำบนถนนสาธารณะโดยไม่มีใบอนุญาตจากสำนักการโยธา กทม. และตำรวจจราจร มีความผิดตาม พ.ร.บ. ทางหลวงและ พ.ร.บ. จราจรทางบก และเสี่ยงต่ออุบัติเหตุรถยนต์ตกท่ออย่างร้ายแรง (Fatal Flaw ตกเกณฑ์ข้อบังคับวิกฤต!)</t>
        </is>
      </c>
      <c r="J12" s="22" t="inlineStr">
        <is>
          <t>การขอพิมพ์เขียวแนวท่อระบายน้ำใต้ดินของ กทม. ถือเป็นข้อมูลความมั่นคงด้านโครงสร้างพื้นฐานวิกฤต ซึ่ง กทม. ไม่อนุญาตให้เปิดเผยแก่นักศึกษาเดี่ยวโดยไม่มีข้อตกลงวิจัยอย่างเป็นทางการ</t>
        </is>
      </c>
      <c r="K12" s="22" t="inlineStr">
        <is>
          <t>กราฟคลื่นเสียงสะท้อนในท่อไม่สามารถใช้เป็นหลักฐานที่ประชาชนหรือเจ้าหน้าที่หน้างานเข้าใจได้ว่าน้ำบนถนนแห้งแล้ว เจ้าหน้าที่จึงไม่กล้านำไปใช้อ้างอิงปิดเคสใน Traffy Fondue และต้องส่งรถออกไปหน้างานอยู่ดี</t>
        </is>
      </c>
      <c r="L12" s="22" t="inlineStr">
        <is>
          <t>ต้องใช้เจ้าหน้าที่อย่างน้อย 2-3 นายในการยกฝาท่อเหล็กหล่อหนักและหย่อนอุปกรณ์ลงไปในบ่อพักน้ำ สร้างภาระงานหนักและเสี่ยงต่ออุบัติเหตุจากการทำงาน</t>
        </is>
      </c>
      <c r="M12" s="22" t="inlineStr">
        <is>
          <t>การที่นักศึกษาเดี่ยว (Solo Developer) ต้องลงไปเปิดฝาท่อระบายน้ำริมถนนซึ่งเป็นพื้นที่อับอากาศ (Confined Space) ที่มีก๊าซไข่เน่าพิษ (H2S) และเสี่ยงต่อการถูกรถชน เป็นการละเมิดความปลอดภัยขั้นรุนแรงที่อันตรายถึงชีวิต (Fatal Flaw ตกเกณฑ์ข้อบังคับวิกฤต!)</t>
        </is>
      </c>
      <c r="N12" s="22" t="inlineStr">
        <is>
          <t>การทดลองคลื่นเสียงในท่อต้องใช้การลองผิดลองถูกภาคสนามหลายรอบ ซึ่งจะชนกับช่วงสอบ 4 สัปดาห์ของมหาวิทยาลัย ทำให้ตารางเวลาการพัฒนาพังทลายอย่างแน่นอน</t>
        </is>
      </c>
      <c r="O12" s="22" t="inlineStr">
        <is>
          <t>การทำ TRL 2 ต้องสร้างแบบจำลองการสะท้อนของคลื่นเสียงในท่อจริง และ TRL 3 ต้องทดสอบในบ่อพักน้ำจริง ซึ่ง JK ไม่สามารถทำได้ทันสัปดาห์ที่ 9 และ 13 อย่างแน่นอน</t>
        </is>
      </c>
      <c r="P12" s="22" t="inlineStr">
        <is>
          <t>หัวตรวจวัดคลื่นเสียงและวงจรขยายสัญญาณเกรดท่อระบายน้ำต้องนำเข้าจากต่างประเทศ ใช้เวลาขนส่งและผ่านพิธีการศุลกากร 4-6 สัปดาห์ ทำลายเส้นทางวิกฤต (Critical Path) ของกรอบเวลา 16 สัปดาห์โดยสิ้นเชิง (Fatal Flaw!)</t>
        </is>
      </c>
      <c r="Q12" s="22" t="inlineStr">
        <is>
          <t>การตรวจสภาพความสะอาดของท่อเป็นประโยชน์ต่อการวางแผนลอกท่อระยะยาวตาม SDG 6.3 แต่ไม่สามารถตอบโจทย์การลดความเสียหายจากภัยพิบัติเฉพาะหน้าในกรอบเวลา 20-30 นาทีของหน่วย QRT ตาม SDG 11.5 ได้</t>
        </is>
      </c>
      <c r="R12" s="22" t="inlineStr">
        <is>
          <t>มีความเสี่ยงที่สายสัญญาณหรือหัวเซนเซอร์จะขาดหลุดลอยไประหว่างหย่อนลงไปในท่อระบายน้ำ ซึ่งจะกลายเป็นขยะอิเล็กทรอนิกส์อุดตันท่อระบายน้ำเสียเอง</t>
        </is>
      </c>
      <c r="S12" s="22" t="inlineStr">
        <is>
          <t>การประเมินสภาพความสะอาดของท่ออิงตามข้อมูลทางกายภาพจริงของท่อใต้ดิน ไม่ได้ขึ้นกับชนชั้นทางสังคมหรือปริมาณการร้องเรียนของประชาชน</t>
        </is>
      </c>
      <c r="T12" s="31">
        <f>IF(MIN(B9:S9)=1, "VETOED / ตกเกณฑ์ข้อบังคับวิกฤต (คะแนนระดับ 1)", IF(T9&gt;=80, "ผ่านเกณฑ์ระดับสูง (HIGHLY VIABLE)", IF(T9&gt;=60, "ผ่านแบบมีเงื่อนไข (CONDITIONALLY VIABLE)", "ความเสี่ยงสูง (HIGH RISK)")))</f>
        <v/>
      </c>
    </row>
    <row r="13" ht="70" customHeight="1">
      <c r="A13" s="19" t="inlineStr">
        <is>
          <t>แผนลดขอบเขตงาน &amp; มาตรการลดความเสี่ยง (De-scoping Action)</t>
        </is>
      </c>
      <c r="B13" s="22" t="inlineStr">
        <is>
          <t>จำกัดการทดลองไว้เฉพาะในบ่อทดลองจำลองที่ใช้ท่อ PVC บนโต๊ะแล็บเท่านั้น ไม่ลงท่อจริง</t>
        </is>
      </c>
      <c r="C13" s="22" t="inlineStr">
        <is>
          <t>เลือกใช้โมดูลขยายสัญญาณแบบสำเร็จรูปที่มีวงจรกรองสัญญาณในตัว</t>
        </is>
      </c>
      <c r="D13" s="22" t="inlineStr">
        <is>
          <t>จำกัดการวิเคราะห์ไว้เฉพาะท่อตรงที่มีความยาวแน่นอน ไม่วิเคราะห์ท่อเลี้ยวหรือท่อแยก</t>
        </is>
      </c>
      <c r="E13" s="22" t="inlineStr">
        <is>
          <t>ต้องล้างทำความสะอาดหัววัดด้วยมือทุกครั้งหลังใช้งาน ไม่สามารถติดตั้งทิ้งไว้ถาวรได้</t>
        </is>
      </c>
      <c r="F13" s="22" t="inlineStr">
        <is>
          <t>ไม่สามารถ de-scope ให้อยู่ในงบ 5,000 บาทได้ เป็นจุดตายวิกฤตทางการเงินของแนวทางนี้</t>
        </is>
      </c>
      <c r="G13" s="22" t="inlineStr">
        <is>
          <t>ไม่มีงบสำรองอะไหล่ เป็นความล้มเหลวทางการเงินที่ไม่สามารถแก้ไขได้</t>
        </is>
      </c>
      <c r="H13" s="22" t="inlineStr">
        <is>
          <t>ปรับลดความถี่ในการสำรวจท่อลงเหลือเฉพาะท่อสายหลัก</t>
        </is>
      </c>
      <c r="I13" s="22" t="inlineStr">
        <is>
          <t>ไม่สามารถทดสอบบนถนนสาธารณะได้เด็ดขาด ต้องยกเลิกการทดสอบบนถนนจริงทั้งหมด</t>
        </is>
      </c>
      <c r="J13" s="22" t="inlineStr">
        <is>
          <t>ใช้ข้อมูลแนวท่อจำลองในการทำแบบจำลองคอมพิวเตอร์แทน</t>
        </is>
      </c>
      <c r="K13" s="22" t="inlineStr">
        <is>
          <t>ต้องส่งเจ้าหน้าที่ไปถ่ายรูปหน้างานอยู่ดี ทำให้ไม่สามารถตอบสนองต่อ Leverage Point ในการลดการปล่อยรถเก้อได้</t>
        </is>
      </c>
      <c r="L13" s="22" t="inlineStr">
        <is>
          <t>ต้องจัดหาอุปกรณ์ช่วยยกฝาท่อและชุดอุปกรณ์ความปลอดภัยครบชุด</t>
        </is>
      </c>
      <c r="M13" s="22" t="inlineStr">
        <is>
          <t>ห้ามลงพื้นที่ท่อระบายน้ำจริงเด็ดขาด เป็นจุดตายของแนวคิดนี้</t>
        </is>
      </c>
      <c r="N13" s="22" t="inlineStr">
        <is>
          <t>ตัดการทดลองภาคสนามออกทั้งหมด เหลือเฉพาะการทดลองบนท่อจำลองสั้น ๆ ในแล็บ</t>
        </is>
      </c>
      <c r="O13" s="22" t="inlineStr">
        <is>
          <t>ลดทอนเหลือเพียงการทดลองวัดระยะทางด้วยเสียงธรรมดาในห้องแล็บ</t>
        </is>
      </c>
      <c r="P13" s="22" t="inlineStr">
        <is>
          <t>ไม่สามารถแก้ปัญหา Lead Time ได้หากต้องใช้อุปกรณ์นำเข้าจากต่างประเทศ</t>
        </is>
      </c>
      <c r="Q13" s="22" t="inlineStr">
        <is>
          <t>นำเสนอเป็นระบบฐานข้อมูลสำหรับการบำรุงรักษาเชิงป้องกันประจำปี</t>
        </is>
      </c>
      <c r="R13" s="22" t="inlineStr">
        <is>
          <t>ใช้สายสลิงเหล็กกล้าผูกรั้งหัวเซนเซอร์และทดสอบแรงดึงก่อนหย่อนลงท่อ</t>
        </is>
      </c>
      <c r="S13" s="22" t="inlineStr">
        <is>
          <t>จัดทำแผนที่ท่อระบายน้ำให้ครอบคลุมทั้งเขตเมืองชั้นในและชุมชนชานเมืองอย่างเท่าเทียม</t>
        </is>
      </c>
      <c r="T13" s="21" t="inlineStr">
        <is>
          <t>ปฏิบัติตามแผนลดขอบเขตงาน (De-scoping Advisory)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2026-09-23T06:20:00Z</dcterms:created>
  <dcterms:modified xsi:type="dcterms:W3CDTF">2026-09-23T06:20:00Z</dcterms:modified>
</cp:coreProperties>
</file>