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เปรียบเทียบทุก Solution" sheetId="1" state="visible" r:id="rId1"/>
    <sheet name="Solution_1_CCTV_Crawler" sheetId="2" state="visible" r:id="rId2"/>
    <sheet name="Solution_2_Acoustic_Reflecto" sheetId="3" state="visible" r:id="rId3"/>
    <sheet name="Solution_3_Sonar_Profiling" sheetId="4" state="visible" r:id="rId4"/>
    <sheet name="Solution_4_LiDAR_SLA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23">
    <font>
      <name val="Calibri"/>
      <family val="2"/>
      <color theme="1"/>
      <sz val="11"/>
      <scheme val="minor"/>
    </font>
    <font>
      <name val="Segoe UI"/>
      <b val="1"/>
      <color rgb="001F497D"/>
      <sz val="13"/>
    </font>
    <font>
      <name val="Segoe UI"/>
      <i val="1"/>
      <color rgb="00595959"/>
      <sz val="9.5"/>
    </font>
    <font>
      <name val="Segoe UI"/>
      <b val="1"/>
      <color rgb="001F497D"/>
      <sz val="11"/>
    </font>
    <font>
      <name val="Segoe UI"/>
      <b val="1"/>
      <color rgb="00FFFFFF"/>
      <sz val="10"/>
    </font>
    <font>
      <name val="Segoe UI"/>
      <b val="1"/>
      <sz val="9.5"/>
    </font>
    <font>
      <name val="Segoe UI"/>
      <sz val="9"/>
    </font>
    <font>
      <name val="Segoe UI"/>
      <b val="1"/>
      <color rgb="00002060"/>
      <sz val="15"/>
    </font>
    <font>
      <name val="Segoe UI"/>
      <b val="1"/>
      <color rgb="00006100"/>
      <sz val="16"/>
    </font>
    <font>
      <name val="Segoe UI"/>
      <b val="1"/>
      <color rgb="00006100"/>
      <sz val="12"/>
    </font>
    <font>
      <name val="Segoe UI"/>
      <b val="1"/>
      <color rgb="00002060"/>
      <sz val="10"/>
    </font>
    <font>
      <name val="Segoe UI"/>
      <b val="1"/>
      <color rgb="00002060"/>
      <sz val="11"/>
    </font>
    <font>
      <name val="Segoe UI"/>
      <b val="1"/>
      <color rgb="00002060"/>
      <sz val="14"/>
    </font>
    <font>
      <name val="Segoe UI"/>
      <b val="1"/>
      <color rgb="009C0006"/>
      <sz val="16"/>
    </font>
    <font>
      <name val="Segoe UI"/>
      <b val="1"/>
      <color rgb="009C0006"/>
      <sz val="11"/>
    </font>
    <font>
      <name val="Segoe UI"/>
      <b val="1"/>
      <color rgb="001F497D"/>
      <sz val="14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b val="1"/>
      <sz val="10"/>
    </font>
    <font>
      <name val="Segoe UI"/>
      <sz val="10"/>
    </font>
    <font>
      <name val="Segoe UI"/>
      <b val="1"/>
      <color rgb="00006100"/>
      <sz val="13"/>
    </font>
    <font>
      <name val="Segoe UI"/>
      <b val="1"/>
      <color rgb="009C0006"/>
      <sz val="13"/>
    </font>
    <font>
      <name val="Segoe UI"/>
      <b val="1"/>
      <color rgb="009C0006"/>
      <sz val="10"/>
    </font>
  </fonts>
  <fills count="10">
    <fill>
      <patternFill/>
    </fill>
    <fill>
      <patternFill patternType="gray125"/>
    </fill>
    <fill>
      <patternFill patternType="solid">
        <fgColor rgb="00F2F4F7"/>
        <bgColor rgb="00F2F4F7"/>
      </patternFill>
    </fill>
    <fill>
      <patternFill patternType="solid">
        <fgColor rgb="001F497D"/>
        <bgColor rgb="001F497D"/>
      </patternFill>
    </fill>
    <fill>
      <patternFill patternType="solid">
        <fgColor rgb="00002060"/>
        <bgColor rgb="00002060"/>
      </patternFill>
    </fill>
    <fill>
      <patternFill patternType="solid">
        <fgColor rgb="00DCE6F1"/>
        <bgColor rgb="00DCE6F1"/>
      </patternFill>
    </fill>
    <fill>
      <patternFill patternType="solid">
        <fgColor rgb="00C6EFCE"/>
        <bgColor rgb="00C6EFCE"/>
      </patternFill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  <fill>
      <patternFill patternType="solid">
        <fgColor rgb="00F9FAFC"/>
        <bgColor rgb="00F9FAF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3" borderId="1" applyAlignment="1" pivotButton="0" quotePrefix="0" xfId="0">
      <alignment horizontal="center" vertical="center" wrapText="1"/>
    </xf>
    <xf numFmtId="0" fontId="17" fillId="7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/>
    </xf>
    <xf numFmtId="0" fontId="18" fillId="9" borderId="1" applyAlignment="1" pivotButton="0" quotePrefix="0" xfId="0">
      <alignment horizontal="center" vertical="center"/>
    </xf>
    <xf numFmtId="0" fontId="19" fillId="9" borderId="1" applyAlignment="1" pivotButton="0" quotePrefix="0" xfId="0">
      <alignment horizontal="left" vertical="center" wrapText="1"/>
    </xf>
    <xf numFmtId="165" fontId="20" fillId="6" borderId="1" applyAlignment="1" pivotButton="0" quotePrefix="0" xfId="0">
      <alignment horizontal="center" vertical="center"/>
    </xf>
    <xf numFmtId="2" fontId="18" fillId="9" borderId="1" applyAlignment="1" pivotButton="0" quotePrefix="0" xfId="0">
      <alignment horizontal="center" vertical="center"/>
    </xf>
    <xf numFmtId="0" fontId="18" fillId="9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left" vertical="center" wrapText="1"/>
    </xf>
    <xf numFmtId="165" fontId="11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/>
    </xf>
    <xf numFmtId="0" fontId="19" fillId="0" borderId="1" applyAlignment="1" pivotButton="0" quotePrefix="0" xfId="0">
      <alignment horizontal="left" vertical="center" wrapText="1"/>
    </xf>
    <xf numFmtId="2" fontId="18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165" fontId="21" fillId="8" borderId="1" applyAlignment="1" pivotButton="0" quotePrefix="0" xfId="0">
      <alignment horizontal="center" vertical="center"/>
    </xf>
    <xf numFmtId="0" fontId="22" fillId="8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wrapText="1"/>
    </xf>
    <xf numFmtId="0" fontId="4" fillId="4" borderId="1" applyAlignment="1" pivotButton="0" quotePrefix="0" xfId="0">
      <alignment horizontal="left" vertical="center" wrapText="1"/>
    </xf>
    <xf numFmtId="1" fontId="7" fillId="5" borderId="1" applyAlignment="1" pivotButton="0" quotePrefix="0" xfId="0">
      <alignment horizontal="center" vertical="center"/>
    </xf>
    <xf numFmtId="165" fontId="8" fillId="6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pivotButton="0" quotePrefix="0" xfId="0"/>
    <xf numFmtId="164" fontId="6" fillId="0" borderId="1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2" fontId="10" fillId="5" borderId="1" applyAlignment="1" pivotButton="0" quotePrefix="0" xfId="0">
      <alignment horizontal="center" vertical="center"/>
    </xf>
    <xf numFmtId="2" fontId="6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left" vertical="center"/>
    </xf>
    <xf numFmtId="165" fontId="5" fillId="0" borderId="1" applyAlignment="1" pivotButton="0" quotePrefix="0" xfId="0">
      <alignment horizontal="center" vertical="center"/>
    </xf>
    <xf numFmtId="2" fontId="11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165" fontId="12" fillId="5" borderId="1" applyAlignment="1" pivotButton="0" quotePrefix="0" xfId="0">
      <alignment horizontal="center" vertical="center"/>
    </xf>
    <xf numFmtId="165" fontId="13" fillId="8" borderId="1" applyAlignment="1" pivotButton="0" quotePrefix="0" xfId="0">
      <alignment horizontal="center" vertical="center"/>
    </xf>
    <xf numFmtId="0" fontId="14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34" customWidth="1" min="3" max="3"/>
    <col width="18" customWidth="1" min="4" max="4"/>
    <col width="14" customWidth="1" min="5" max="5"/>
    <col width="17" customWidth="1" min="6" max="6"/>
    <col width="14" customWidth="1" min="7" max="7"/>
    <col width="16" customWidth="1" min="8" max="8"/>
    <col width="14" customWidth="1" min="9" max="9"/>
    <col width="14" customWidth="1" min="10" max="10"/>
    <col width="28" customWidth="1" min="11" max="11"/>
    <col width="35" customWidth="1" min="12" max="12"/>
    <col width="35" customWidth="1" min="13" max="13"/>
    <col width="35" customWidth="1" min="14" max="14"/>
    <col width="22" customWidth="1" min="15" max="15"/>
    <col width="45" customWidth="1" min="16" max="16"/>
  </cols>
  <sheetData>
    <row r="1">
      <c r="A1" s="1" t="inlineStr">
        <is>
          <t>ตารางเปรียบเทียบความเป็นไปได้ของทุกข้อเสนอ (Multi-Solution Feasibility Summary)</t>
        </is>
      </c>
    </row>
    <row r="2">
      <c r="A2" s="2" t="inlineStr">
        <is>
          <t>วิเคราะห์เปรียบเทียบเชิงระบบตามเกณฑ์ TELOS+S (เต็ม 100) และเมทริกซ์ศักยภาพด้านวิศวกรรมหุ่นยนต์ (เต็ม 12 แยกอิสระ)</t>
        </is>
      </c>
    </row>
    <row r="4" ht="28" customHeight="1">
      <c r="A4" s="3" t="inlineStr">
        <is>
          <t>ลำดับ</t>
        </is>
      </c>
      <c r="B4" s="3" t="inlineStr">
        <is>
          <t>รหัสข้อเสนอ (Solution ID)</t>
        </is>
      </c>
      <c r="C4" s="3" t="inlineStr">
        <is>
          <t>ชื่อแนวทางแก้ปัญหา (Title / Concept)</t>
        </is>
      </c>
      <c r="D4" s="3" t="inlineStr">
        <is>
          <t>คะแนนรวม (เต็ม 100)</t>
        </is>
      </c>
      <c r="E4" s="3" t="inlineStr">
        <is>
          <t>T: เทคนิค (/20)</t>
        </is>
      </c>
      <c r="F4" s="3" t="inlineStr">
        <is>
          <t>E: เศรษฐศาสตร์ (/20)</t>
        </is>
      </c>
      <c r="G4" s="3" t="inlineStr">
        <is>
          <t>L: กฎหมาย (/15)</t>
        </is>
      </c>
      <c r="H4" s="3" t="inlineStr">
        <is>
          <t>O: ปฏิบัติการ (/20)</t>
        </is>
      </c>
      <c r="I4" s="3" t="inlineStr">
        <is>
          <t>S: แผนงาน (/15)</t>
        </is>
      </c>
      <c r="J4" s="3" t="inlineStr">
        <is>
          <t>+S: ยั่งยืน (/10)</t>
        </is>
      </c>
      <c r="K4" s="3" t="inlineStr">
        <is>
          <t>ผลการประเมิน (Verdict)</t>
        </is>
      </c>
      <c r="L4" s="3" t="inlineStr">
        <is>
          <t>จุดแข็งสำคัญ (Key Strengths)</t>
        </is>
      </c>
      <c r="M4" s="3" t="inlineStr">
        <is>
          <t>จุดติดขัดวิกฤต (Critical Bottlenecks)</t>
        </is>
      </c>
      <c r="N4" s="3" t="inlineStr">
        <is>
          <t>คำแนะนำเชิงระบบ (Strategic Advice)</t>
        </is>
      </c>
      <c r="O4" s="4" t="inlineStr">
        <is>
          <t>Robotics Potential (/12)</t>
        </is>
      </c>
      <c r="P4" s="4" t="inlineStr">
        <is>
          <t>เหตุผลความเข้ากันได้ด้านหุ่นยนต์ (Robotics Engineering Rationale)</t>
        </is>
      </c>
    </row>
    <row r="5" ht="55" customHeight="1">
      <c r="A5" s="5" t="n">
        <v>1</v>
      </c>
      <c r="B5" s="6" t="inlineStr">
        <is>
          <t>Solution_1_CCTV_Crawler</t>
        </is>
      </c>
      <c r="C5" s="7" t="inlineStr">
        <is>
          <t>Pipe Inspection Robot using CCTV for profiling pipe (4K PTZ Camera + YOLOv8 Wheeled Crawler)</t>
        </is>
      </c>
      <c r="D5" s="8">
        <f>'Solution_1_CCTV_Crawler'!S9</f>
        <v/>
      </c>
      <c r="E5" s="9">
        <f>'Solution_1_CCTV_Crawler'!D17</f>
        <v/>
      </c>
      <c r="F5" s="9">
        <f>'Solution_1_CCTV_Crawler'!D18</f>
        <v/>
      </c>
      <c r="G5" s="9">
        <f>'Solution_1_CCTV_Crawler'!D19</f>
        <v/>
      </c>
      <c r="H5" s="9">
        <f>'Solution_1_CCTV_Crawler'!D20</f>
        <v/>
      </c>
      <c r="I5" s="9">
        <f>'Solution_1_CCTV_Crawler'!D21</f>
        <v/>
      </c>
      <c r="J5" s="9">
        <f>'Solution_1_CCTV_Crawler'!D22</f>
        <v/>
      </c>
      <c r="K5" s="10">
        <f>'Solution_1_CCTV_Crawler'!S12</f>
        <v/>
      </c>
      <c r="L5" s="11" t="inlineStr">
        <is>
          <t>ให้ภาพวิดีโอความละเอียดสูง (HD/4K) ภายในท่อจริง พร้อมโมเดล AI (YOLOv8) ตรวจจับรอยแตกร้าว รอยรั่ว และสิ่งอุดตันได้โดยอัตโนมัติ</t>
        </is>
      </c>
      <c r="M5" s="11" t="inlineStr">
        <is>
          <t>ต้องใช้หุ่นยนต์ลงไปสัมผัสน้ำเสียในท่อจริง การกันน้ำระดับ IP68 ทำได้ยาก มีความเสี่ยงหุ่นยนต์ติดค้าง/สาย Tether พันกันในท่อ (O-01=3), และต้องใช้เวลาสร้างระบบกลไกกันน้ำสูงเกินกรอบเวลา 5 สัปดาห์ (S-01=2)</t>
        </is>
      </c>
      <c r="N5" s="11" t="inlineStr">
        <is>
          <t>ลดสโคปกลไกขับเคลื่อนที่ซับซ้อน หันมาใช้โครงสร้างล้อสำเร็จรูป (COTS Crawler Chassis) พร้อมติดตั้งชุดสาย Tether แบบ Slip-Ring คุณภาพสูง และทดสอบระบบกันน้ำในถังทดสอบก่อนลงพื้นที่จริง</t>
        </is>
      </c>
      <c r="O5" s="12" t="n">
        <v>10.5</v>
      </c>
      <c r="P5" s="7" t="inlineStr">
        <is>
          <t>Solution 1 implements a genuine closed-loop mobile robotic system across all three FIBO pillars: active high-resolution optical perception, edge neural network defect inferencing, and mobile robotic pipe locomotion, utilizing mechatronics and control skills directly.</t>
        </is>
      </c>
    </row>
    <row r="6" ht="55" customHeight="1">
      <c r="A6" s="13" t="n">
        <v>2</v>
      </c>
      <c r="B6" s="14" t="inlineStr">
        <is>
          <t>Solution_2_Acoustic_Reflecto</t>
        </is>
      </c>
      <c r="C6" s="15" t="inlineStr">
        <is>
          <t>Pipe Inspection Instrument using Acoustic Reflectometry (Airborne Acoustic Inversion + SL-RAT EPA USA Cleanliness Scale)</t>
        </is>
      </c>
      <c r="D6" s="8">
        <f>'Solution_2_Acoustic_Reflecto'!S9</f>
        <v/>
      </c>
      <c r="E6" s="16">
        <f>'Solution_2_Acoustic_Reflecto'!D17</f>
        <v/>
      </c>
      <c r="F6" s="16">
        <f>'Solution_2_Acoustic_Reflecto'!D18</f>
        <v/>
      </c>
      <c r="G6" s="16">
        <f>'Solution_2_Acoustic_Reflecto'!D19</f>
        <v/>
      </c>
      <c r="H6" s="16">
        <f>'Solution_2_Acoustic_Reflecto'!D20</f>
        <v/>
      </c>
      <c r="I6" s="16">
        <f>'Solution_2_Acoustic_Reflecto'!D21</f>
        <v/>
      </c>
      <c r="J6" s="16">
        <f>'Solution_2_Acoustic_Reflecto'!D22</f>
        <v/>
      </c>
      <c r="K6" s="17">
        <f>'Solution_2_Acoustic_Reflecto'!S12</f>
        <v/>
      </c>
      <c r="L6" s="18" t="inlineStr">
        <is>
          <t>ตรวจประเมินท่อจากผิวดินได้อย่างรวดเร็ว (3–5 นาทีต่อช่วงท่อ) โดยไม่ต้องปล่อยหุ่นยนต์ลงไปสัมผัสน้ำเสีย ใช้พลังงานต่ำ ต้นทุนอุปกรณ์ต่ำมาก และไม่มีความเสี่ยงเรื่องอุปกรณ์ติดค้างในท่อ</t>
        </is>
      </c>
      <c r="M6" s="18" t="inlineStr">
        <is>
          <t>ไม่สามารถทำงานได้ในสภาวะที่น้ำท่วมเต็มท่อระบายน้ำ (Airspace ปิดกั้น) และไม่ได้ภาพ 3D เรขาคณิตของผิวท่อ</t>
        </is>
      </c>
      <c r="N6" s="18" t="inlineStr">
        <is>
          <t>พัฒนาท่อส่งคลื่นเสียงแบบ Telescoping Pole ที่สามารถปรับระดับความลึกตามปากท่อได้ พร้อมบันทึกพิกัด GPS อัตโนมัติเพื่อเชื่อมต่อแผนที่ระบบท่อของ กทม.</t>
        </is>
      </c>
      <c r="O6" s="12" t="n">
        <v>8.5</v>
      </c>
      <c r="P6" s="15" t="inlineStr">
        <is>
          <t>Solution 2 represents an advanced non-destructive testing (NDT) acoustic instrumentation payload with deep digital signal processing, acoustic wave physics modeling, and automated scoring classification, closely aligning with FIBO instrumentation and embedded DSP curriculum.</t>
        </is>
      </c>
    </row>
    <row r="7" ht="55" customHeight="1">
      <c r="A7" s="5" t="n">
        <v>3</v>
      </c>
      <c r="B7" s="6" t="inlineStr">
        <is>
          <t>Solution_3_Sonar_Profiling</t>
        </is>
      </c>
      <c r="C7" s="7" t="inlineStr">
        <is>
          <t>Pipe Inspection Instrument using Sonar Frequency Profiling attaching with Robot (360° Underwater Sonar Scan + Floater/Crawler)</t>
        </is>
      </c>
      <c r="D7" s="19">
        <f>'Solution_3_Sonar_Profiling'!S9</f>
        <v/>
      </c>
      <c r="E7" s="9">
        <f>'Solution_3_Sonar_Profiling'!D17</f>
        <v/>
      </c>
      <c r="F7" s="9">
        <f>'Solution_3_Sonar_Profiling'!D18</f>
        <v/>
      </c>
      <c r="G7" s="9">
        <f>'Solution_3_Sonar_Profiling'!D19</f>
        <v/>
      </c>
      <c r="H7" s="9">
        <f>'Solution_3_Sonar_Profiling'!D20</f>
        <v/>
      </c>
      <c r="I7" s="9">
        <f>'Solution_3_Sonar_Profiling'!D21</f>
        <v/>
      </c>
      <c r="J7" s="9">
        <f>'Solution_3_Sonar_Profiling'!D22</f>
        <v/>
      </c>
      <c r="K7" s="20">
        <f>'Solution_3_Sonar_Profiling'!S12</f>
        <v/>
      </c>
      <c r="L7" s="11" t="inlineStr">
        <is>
          <t>สามารถส่งคลื่นความถี่อัลตราโซนิกทะลุน้ำเสียและโคลนตม เพื่อสแกนโครงสร้างหน้าตัดท่อแบบ 360 องศา และตรวจวัดปริมาณตะกอนใต้ผิวน้ำได้โดยตรง</t>
        </is>
      </c>
      <c r="M7" s="11" t="inlineStr">
        <is>
          <t>ต้องสร้างหรือจัดซื้อหัว Sonar 360° สำหรับสแกนใต้น้ำที่มีราคาสูงมาก (&gt; 100,000 THB) เกินงบประมาณ (E-03=1), ไม่มีสมาชิกที่มีทักษะสร้างวงจรขับ Piezo ใต้น้ำ (T-04=1), ต้องเรียนรู้ใหม่จากศูนย์ (T-05=1), และใช้เวลาสร้างเกินกรอบเวลา 5 สัปดาห์ (S-01=1)</t>
        </is>
      </c>
      <c r="N7" s="11" t="inlineStr">
        <is>
          <t>ยกเลิกการพัฒนาหัวสแกน Sonar 360° ใต้น้ำขึ้นเองชั่วคราว หรือเปลี่ยนไปใช้ระบบ Acoustic Reflectometry ผ่านช่องว่างอากาศ (Solution 2) หรือเซนเซอร์วัดระยะแบบจุดเดียวบนทุ่นลอย</t>
        </is>
      </c>
      <c r="O7" s="12" t="n">
        <v>10.5</v>
      </c>
      <c r="P7" s="7" t="inlineStr">
        <is>
          <t>Solution 3 represents an exemplary deep robotics sensing system with rotating acoustic transducers and underwater cross-sectional profiling, but exceeds student fabrication and budget reality.</t>
        </is>
      </c>
    </row>
    <row r="8" ht="55" customHeight="1">
      <c r="A8" s="13" t="n">
        <v>4</v>
      </c>
      <c r="B8" s="14" t="inlineStr">
        <is>
          <t>Solution_4_LiDAR_SLAM</t>
        </is>
      </c>
      <c r="C8" s="15" t="inlineStr">
        <is>
          <t>Pipe Inspection Instrument using LiDAR SLAM attaching with Robot (3D LiDAR + Laser SLAM Point Cloud Profiling)</t>
        </is>
      </c>
      <c r="D8" s="19">
        <f>'Solution_4_LiDAR_SLAM'!S9</f>
        <v/>
      </c>
      <c r="E8" s="16">
        <f>'Solution_4_LiDAR_SLAM'!D17</f>
        <v/>
      </c>
      <c r="F8" s="16">
        <f>'Solution_4_LiDAR_SLAM'!D18</f>
        <v/>
      </c>
      <c r="G8" s="16">
        <f>'Solution_4_LiDAR_SLAM'!D19</f>
        <v/>
      </c>
      <c r="H8" s="16">
        <f>'Solution_4_LiDAR_SLAM'!D20</f>
        <v/>
      </c>
      <c r="I8" s="16">
        <f>'Solution_4_LiDAR_SLAM'!D21</f>
        <v/>
      </c>
      <c r="J8" s="16">
        <f>'Solution_4_LiDAR_SLAM'!D22</f>
        <v/>
      </c>
      <c r="K8" s="20">
        <f>'Solution_4_LiDAR_SLAM'!S12</f>
        <v/>
      </c>
      <c r="L8" s="18" t="inlineStr">
        <is>
          <t>สร้างแผนที่ 3 มิติ (3D Point Cloud) ของท่อระบายน้ำได้อย่างแม่นยำระดับมิลลิเมตร สามารถตรวจวัดปริมาตรตะกอน (Buildup/Debris) และตรวจจับการเสียรูปเชิงเรขาคณิตของท่อได้อย่างชัดเจน</t>
        </is>
      </c>
      <c r="M8" s="18" t="inlineStr">
        <is>
          <t>เซนเซอร์ 3D LiDAR และบอร์ดประมวลผล GPU/SBC มีราคาสูงมากเกินงบประมาณ (E-03=1: ไม่มีงบสำรองกรณีเซนเซอร์ตกน้ำ), เลเซอร์ไม่สามารถทะลุน้ำเสียหรือหมอกควันได้ (T-03=2), และต้องใช้เวลาประมวลผล Point Cloud สูง</t>
        </is>
      </c>
      <c r="N8" s="18" t="inlineStr">
        <is>
          <t>ลดสโคปจากการใช้ 3D LiDAR ราคาแพง มาใช้ 2D LiDAR ติดตั้งบนแกนหมุน หรือใช้ Depth Camera / Structured Light ในท่อแห้งเพื่อควบคุมต้นทุนไม่ให้เกินงบประมาณ</t>
        </is>
      </c>
      <c r="O8" s="12" t="n">
        <v>11.5</v>
      </c>
      <c r="P8" s="15" t="inlineStr">
        <is>
          <t>Solution 4 exercises the peak FIBO robotics curriculum: 3D spatial laser perception, advanced SLAM state estimation, and mobile mechatronic locomotion, representing a gold-standard capstone robotics architecture.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8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36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  <col width="36" customWidth="1" min="8" max="8"/>
    <col width="36" customWidth="1" min="9" max="9"/>
    <col width="36" customWidth="1" min="10" max="10"/>
    <col width="36" customWidth="1" min="11" max="11"/>
    <col width="36" customWidth="1" min="12" max="12"/>
    <col width="36" customWidth="1" min="13" max="13"/>
    <col width="36" customWidth="1" min="14" max="14"/>
    <col width="36" customWidth="1" min="15" max="15"/>
    <col width="36" customWidth="1" min="16" max="16"/>
    <col width="36" customWidth="1" min="17" max="17"/>
    <col width="36" customWidth="1" min="18" max="18"/>
    <col width="36" customWidth="1" min="19" max="19"/>
  </cols>
  <sheetData>
    <row r="1">
      <c r="A1" s="21" t="inlineStr">
        <is>
          <t>เมทริกซ์ประเมินความเป็นไปได้เชิงระบบ TELOS+S: Pipe Inspection Robot using CCTV for profiling pipe (4K PTZ Camera + YOLOv8 Wheeled Crawler)</t>
        </is>
      </c>
    </row>
    <row r="2">
      <c r="A2" s="22" t="inlineStr">
        <is>
          <t>ระบบคะแนนจำนวนเต็มเด็ดขาด: 1, 2, 3, 4, 5 เท่านั้น (ไม่มีจุดทศนิยม / ไม่มี 0.5) | โครงสร้างแบบ Transposed แนวนอน</t>
        </is>
      </c>
    </row>
    <row r="4" ht="24" customHeight="1">
      <c r="A4" s="23" t="inlineStr">
        <is>
          <t>รหัสคำถาม (Question Code)</t>
        </is>
      </c>
      <c r="B4" s="24" t="inlineStr">
        <is>
          <t>T-01</t>
        </is>
      </c>
      <c r="C4" s="24" t="inlineStr">
        <is>
          <t>T-02</t>
        </is>
      </c>
      <c r="D4" s="24" t="inlineStr">
        <is>
          <t>T-03</t>
        </is>
      </c>
      <c r="E4" s="24" t="inlineStr">
        <is>
          <t>T-04</t>
        </is>
      </c>
      <c r="F4" s="24" t="inlineStr">
        <is>
          <t>T-05</t>
        </is>
      </c>
      <c r="G4" s="24" t="inlineStr">
        <is>
          <t>E-01</t>
        </is>
      </c>
      <c r="H4" s="24" t="inlineStr">
        <is>
          <t>E-02</t>
        </is>
      </c>
      <c r="I4" s="24" t="inlineStr">
        <is>
          <t>E-03</t>
        </is>
      </c>
      <c r="J4" s="24" t="inlineStr">
        <is>
          <t>L-01</t>
        </is>
      </c>
      <c r="K4" s="24" t="inlineStr">
        <is>
          <t>L-02</t>
        </is>
      </c>
      <c r="L4" s="24" t="inlineStr">
        <is>
          <t>O-01</t>
        </is>
      </c>
      <c r="M4" s="24" t="inlineStr">
        <is>
          <t>O-02</t>
        </is>
      </c>
      <c r="N4" s="24" t="inlineStr">
        <is>
          <t>O-03</t>
        </is>
      </c>
      <c r="O4" s="24" t="inlineStr">
        <is>
          <t>O-04</t>
        </is>
      </c>
      <c r="P4" s="24" t="inlineStr">
        <is>
          <t>S-01</t>
        </is>
      </c>
      <c r="Q4" s="24" t="inlineStr">
        <is>
          <t>SDG-01</t>
        </is>
      </c>
      <c r="R4" s="24" t="inlineStr">
        <is>
          <t>SDG-02</t>
        </is>
      </c>
      <c r="S4" s="24" t="inlineStr">
        <is>
          <t>สรุปภาพรวม (SUMMARY)</t>
        </is>
      </c>
    </row>
    <row r="5" ht="24" customHeight="1">
      <c r="A5" s="25" t="inlineStr">
        <is>
          <t>มิติการประเมิน (TELOS+S Pillar)</t>
        </is>
      </c>
      <c r="B5" s="26" t="inlineStr">
        <is>
          <t>ด้านเทคนิค (Technical 2.2)</t>
        </is>
      </c>
      <c r="C5" s="26" t="inlineStr">
        <is>
          <t>ด้านเทคนิค (Technical 2.2)</t>
        </is>
      </c>
      <c r="D5" s="26" t="inlineStr">
        <is>
          <t>ด้านเทคนิค (Technical 2.2)</t>
        </is>
      </c>
      <c r="E5" s="26" t="inlineStr">
        <is>
          <t>ด้านเทคนิค (Technical 2.2)</t>
        </is>
      </c>
      <c r="F5" s="26" t="inlineStr">
        <is>
          <t>ด้านเทคนิค (Technical 2.2)</t>
        </is>
      </c>
      <c r="G5" s="26" t="inlineStr">
        <is>
          <t>ด้านเศรษฐศาสตร์ (Economic 2.3)</t>
        </is>
      </c>
      <c r="H5" s="26" t="inlineStr">
        <is>
          <t>ด้านเศรษฐศาสตร์ (Economic 2.3)</t>
        </is>
      </c>
      <c r="I5" s="26" t="inlineStr">
        <is>
          <t>ด้านเศรษฐศาสตร์ (Economic 2.3)</t>
        </is>
      </c>
      <c r="J5" s="26" t="inlineStr">
        <is>
          <t>ด้านกฎหมายและสถาบัน (Legal 2.4)</t>
        </is>
      </c>
      <c r="K5" s="26" t="inlineStr">
        <is>
          <t>ด้านกฎหมายและสถาบัน (Legal 2.4)</t>
        </is>
      </c>
      <c r="L5" s="26" t="inlineStr">
        <is>
          <t>ด้านการปฏิบัติการ (Operational 2.5)</t>
        </is>
      </c>
      <c r="M5" s="26" t="inlineStr">
        <is>
          <t>ด้านการปฏิบัติการ (Operational 2.5)</t>
        </is>
      </c>
      <c r="N5" s="26" t="inlineStr">
        <is>
          <t>ด้านการปฏิบัติการ (Operational 2.5)</t>
        </is>
      </c>
      <c r="O5" s="26" t="inlineStr">
        <is>
          <t>ด้านการปฏิบัติการ (Operational 2.5)</t>
        </is>
      </c>
      <c r="P5" s="26" t="inlineStr">
        <is>
          <t>ด้านแผนงานและเวลา (Schedule 2.6)</t>
        </is>
      </c>
      <c r="Q5" s="26" t="inlineStr">
        <is>
          <t>ด้านความยั่งยืน (SDGs Feasibility 2.7)</t>
        </is>
      </c>
      <c r="R5" s="26" t="inlineStr">
        <is>
          <t>ด้านความยั่งยืน (SDGs Feasibility 2.7)</t>
        </is>
      </c>
      <c r="S5" s="27" t="inlineStr">
        <is>
          <t>ผลรวมทุกมิติ (All Pillars)</t>
        </is>
      </c>
    </row>
    <row r="6" ht="80" customHeight="1">
      <c r="A6" s="25" t="inlineStr">
        <is>
          <t>คำถามทดสอบความเสี่ยงจริง (Stress-Test Question)</t>
        </is>
      </c>
      <c r="B6" s="28" t="inlineStr">
        <is>
          <t>ระดับการสร้างเองเทียบกับการซื้อสำเร็จรูป (Build vs. Buy Burden) ของสถาปัตยกรรมระบบตรวจประเมินท่อระบายน้ำ?</t>
        </is>
      </c>
      <c r="C6" s="28" t="inlineStr">
        <is>
          <t>สิทธิ์ในการเข้าถึงเทคโนโลยี ซอฟต์แวร์ และระบบนิเวศข้อมูล (Access &amp; Permissions) ของระบบตรวจประเมินท่อ?</t>
        </is>
      </c>
      <c r="D6" s="28" t="inlineStr">
        <is>
          <t>ระดับความพร้อมทางเทคโนโลยี (Base Performance / TRL) ในสภาพแวดล้อมจริงของท่อระบายน้ำใต้ดิน?</t>
        </is>
      </c>
      <c r="E6" s="28" t="inlineStr">
        <is>
          <t>ความพร้อมและกำลังคนสำรองของทีมงาน (Team Compatibility &amp; Redundancy / Anti-SPOF)?</t>
        </is>
      </c>
      <c r="F6" s="28" t="inlineStr">
        <is>
          <t>ความชันในการเรียนรู้และเวลาปรับตัวของทีมงาน (Learning Curve &amp; Ramp-up Time)?</t>
        </is>
      </c>
      <c r="G6" s="28" t="inlineStr">
        <is>
          <t>ระยะเวลาคืนทุนและความคุ้มค่าในการลงทุน (ROI / Payback Period) เทียบกับการขุดลอกแบบสุ่ม?</t>
        </is>
      </c>
      <c r="H6" s="28" t="inlineStr">
        <is>
          <t>การพึ่งพาผู้จำหน่ายและการผูกขาดชิ้นส่วนเฉพาะ (Component Dependency &amp; Vendor Lock-in)?</t>
        </is>
      </c>
      <c r="I6" s="28" t="inlineStr">
        <is>
          <t>วงเงินงบประมาณสำรองความเสียหายและการทำซ้ำ (Scrap Margin &amp; Iteration Allowance)?</t>
        </is>
      </c>
      <c r="J6" s="28" t="inlineStr">
        <is>
          <t>การปฏิบัติตามกฎหมายจราจร ความปลอดภัยในที่อับอากาศ และระเบียบพื้นที่สาธารณะ (Felony, Traffic &amp; Confined Space Compliance)?</t>
        </is>
      </c>
      <c r="K6" s="28" t="inlineStr">
        <is>
          <t>การปฏิบัติตามสัญญาอนุญาต ทรัพย์สินทางปัญญา และโอเพนซอร์ส (IP &amp; Software Licensing Compliance)?</t>
        </is>
      </c>
      <c r="L6" s="28" t="inlineStr">
        <is>
          <t>ผลกระทบและความรุนแรงเมื่อระบบเกิดความขัดข้องหรือติดค้าง (User — Failure Impact &amp; Stuck Hazards)?</t>
        </is>
      </c>
      <c r="M6" s="28" t="inlineStr">
        <is>
          <t>ความสอดคล้องกับพฤติกรรมเจ้าหน้าที่และขั้นตอนการทำงานเดิม (User — Workflow Friction &amp; Adoption)?</t>
        </is>
      </c>
      <c r="N6" s="28" t="inlineStr">
        <is>
          <t>การพึ่งพาห้องปฏิบัติการและขั้นตอนการขออนุมัติของนักพัฒนา (Developer — Lab &amp; Administrative Gatekeeping)?</t>
        </is>
      </c>
      <c r="O6" s="28" t="inlineStr">
        <is>
          <t>ความซับซ้อนของขั้นตอนการประกอบ ติดตั้ง และโปรแกรม (Developer — Setup Steps &amp; Pipeline Friction)?</t>
        </is>
      </c>
      <c r="P6" s="28" t="inlineStr">
        <is>
          <t>วุฒิภาวะของการออกแบบทางวิศวรรกรรมภายในกรอบเวลา 5 สัปดาห์ทำงาน (Engineering Design Maturity by 5 Weeks)?</t>
        </is>
      </c>
      <c r="Q6" s="28" t="inlineStr">
        <is>
          <t>การบูรณาการตามกรอบ Stockholm Wedding Cake (Biosphere, Society, Economy Integration)?</t>
        </is>
      </c>
      <c r="R6" s="28" t="inlineStr">
        <is>
          <t>ผลกระทบสิ่งแวดล้อม ขยะอิเล็กทรอนิกส์ และหลักเศรษฐกิจหมุนเวียน (E-Waste &amp; 'Do No Harm' — SDG 6.3/12.4)?</t>
        </is>
      </c>
      <c r="S6" s="29" t="inlineStr">
        <is>
          <t>ประเมินคำถามทั้งสิ้น 17 ข้อ</t>
        </is>
      </c>
    </row>
    <row r="7" ht="95" customHeight="1">
      <c r="A7" s="25" t="inlineStr">
        <is>
          <t>เหตุผลในการถาม &amp; โหมดความล้มเหลวที่เฝ้าระวัง (Rationale)</t>
        </is>
      </c>
      <c r="B7" s="28" t="inlineStr">
        <is>
          <t>ประเมินภาระการวิจัยและพัฒนาชิ้นส่วนกลไก อิเล็กทรอนิกส์ และอัลกอริทึม ป้องกันการเสียเวลากับงานประดิษฐ์ขึ้นใหม่โดยไม่จำเป็น</t>
        </is>
      </c>
      <c r="C7" s="28" t="inlineStr">
        <is>
          <t>ตรวจสอบข้อจำกัดด้านกรรมสิทธิ์ การล็อกสิทธิ์ใช้งาน และการอนุญาตเข้าถึง เพื่อป้องกันการพัฒนาระบบบนฐานข้อมูลที่ไม่สามารถเข้าถึงได้จริง</t>
        </is>
      </c>
      <c r="D7" s="28" t="inlineStr">
        <is>
          <t>วัดวุฒิภาวะของเทคโนโลยีว่าผ่านการพิสูจน์ในสภาพแวดล้อมใต้ดินที่มีความชื้น สารกัดกร่อน หรือน้ำขังจริงแล้วหรือไม่</t>
        </is>
      </c>
      <c r="E7" s="28" t="inlineStr">
        <is>
          <t>ตรวจสอบความเสี่ยงคอขวดบุคลากร (Single Point of Failure) ป้องกันไม่ให้โครงการหยุดชะงักหากผู้รับผิดชอบหลักไม่ว่าง</t>
        </is>
      </c>
      <c r="F7" s="28" t="inlineStr">
        <is>
          <t>ประเมินเวลาที่ทีมต้องใช้ในการเรียนรู้เครื่องมือหรือทฤษฎีใหม่ เพื่อไม่ให้กระทบต่อกำหนดการส่งมอบ 5 สัปดาห์</t>
        </is>
      </c>
      <c r="G7" s="28" t="inlineStr">
        <is>
          <t>วัดความคุ้มค่าทางการเงินและการประหยัดงบประมาณการลอกท่อของหน่วยงานภาครัฐเทียบกับ Baseline เดิม</t>
        </is>
      </c>
      <c r="H7" s="28" t="inlineStr">
        <is>
          <t>ตรวจสอบความเสี่ยงจากการพึ่งพาผู้ขายรายเดียว การผูกขาดชิ้นส่วนนำเข้า หรือค่าลิขสิทธิ์ซอฟต์แวร์รายปี</t>
        </is>
      </c>
      <c r="I7" s="28" t="inlineStr">
        <is>
          <t>ประเมินขีดความสามารถในการรับมือกับความเสียหายของอุปกรณ์และชิปที่อาจช็อตหรือเสียหายระหว่างการพัฒนา</t>
        </is>
      </c>
      <c r="J7" s="28" t="inlineStr">
        <is>
          <t>ตรวจสอบความเสี่ยงต่อการละเมิดกฎหมายจราจร กฎหมายความปลอดภัยในที่อับอากาศ และการปิดกั้นทางสัญจร</t>
        </is>
      </c>
      <c r="K7" s="28" t="inlineStr">
        <is>
          <t>ตรวจสอบสิทธิ์การใช้งานซอฟต์แวร์ ไลบรารี และสิทธิบัตร ป้องกันการฟ้องร้องละเมิดลิขสิทธิ์</t>
        </is>
      </c>
      <c r="L7" s="28" t="inlineStr">
        <is>
          <t>ประเมินความเสียหายต่อโครงสร้างพื้นฐาน ความปลอดภัยของเจ้าหน้าที่ และการกลายเป็นสิ่งกีดขวางในท่อระบายน้ำ</t>
        </is>
      </c>
      <c r="M7" s="28" t="inlineStr">
        <is>
          <t>ประเมินภาระการฝึกอบรม ความสะดวกในการพกพา และแรงต้านจากเจ้าหน้าที่ภาคสนามของ กทม.</t>
        </is>
      </c>
      <c r="N7" s="28" t="inlineStr">
        <is>
          <t>ประเมินอุปสรรคการเข้าถึงเครื่องมือ ช็อปเครื่องกล หรือการต้องรอคิวอนุมัติเอกสารของมหาวิทยาลัย</t>
        </is>
      </c>
      <c r="O7" s="28" t="inlineStr">
        <is>
          <t>ประเมินจำนวนขั้นตอนและความเปราะบางของเครื่องมือพัฒนา ป้องกันข้อผิดพลาดจากการตั้งค่าระบบที่ซับซ้อนเกินไป</t>
        </is>
      </c>
      <c r="P7" s="28" t="inlineStr">
        <is>
          <t>ทดสอบความเป็นไปได้ในการสร้างชิ้นงานให้สำเร็จตามเป้าหมาย TRL โดยหักสัปดาห์สอบมิดเทอมและไฟนอลออกแล้ว</t>
        </is>
      </c>
      <c r="Q7" s="28" t="inlineStr">
        <is>
          <t>ประเมินผลกระทบเชิงบวกที่ครอบคลุมทั้งด้านชีวมณฑล (SDG 6/14), สังคม (SDG 11) และเศรษฐกิจ (SDG 8/12)</t>
        </is>
      </c>
      <c r="R7" s="28" t="inlineStr">
        <is>
          <t>ตรวจสอบการป้องกันขยะอิเล็กทรอนิกส์ตกค้างในท่อระบายน้ำ สารพิษรั่วไหล และระบบกู้คืนอุปกรณ์ที่ปลอดภัย 100%</t>
        </is>
      </c>
      <c r="S7" s="29" t="inlineStr">
        <is>
          <t>สังเคราะห์จาก AI Agents Group 2</t>
        </is>
      </c>
    </row>
    <row r="8" ht="150" customHeight="1">
      <c r="A8" s="25" t="inlineStr">
        <is>
          <t>เกณฑ์การให้คะแนน (Scoring Rubric Definition: ระดับ 1, 2, 3, 4, 5 ครบทุกระดับ)</t>
        </is>
      </c>
      <c r="B8" s="28" t="inlineStr">
        <is>
          <t>1: ต้องวิจัยและสร้างขึ้นเองทั้งหมด 100% (ไม่มีพิมพ์เขียว อัลกอริทึม หรือไลบรารีอ้างอิง)
2: มีชิ้นส่วนหลักในท้องตลาด แต่ต้องดัดแปลงโครงสร้างอย่างหนักและเขียนโค้ดเชื่อมต่อเองทั้งหมด
3: บูรณาการชิ้นส่วน COTS เข้ากับแท่นยึดแบบกำหนดเอง และเขียนโค้ดเชื่อมต่อบางส่วน
4: ประกอบจากโมดูลมาตรฐานสำเร็จรูป (DIN-rail, I2C/CAN shields) มีงานประกอบกลไกเล็กน้อย
5: ซื้อมาติดตั้งใช้งานได้ทันที (Plug-and-Play) ไม่ต้องตัดกลึงหรือบัดกรีวงจรเพิ่มเติม</t>
        </is>
      </c>
      <c r="C8" s="28" t="inlineStr">
        <is>
          <t>1: ล็อกสิทธิ์ภายใต้สัญญา NDA ระบบปิด ติดไฟร์วอลล์องค์กร หรือไม่มีสิทธิ์เข้าถึงฝั่งนักพัฒนา
2: ซอฟต์แวร์หรือเฟิร์มแวร์กรรมสิทธิ์ปิด ทำงานแบบ Black-box โดยไม่มี Source Code หรือ Telemetry
3: บัญชีเพื่อการศึกษา/ทดลองใช้ที่มีโควตาหรือ Rate Limit เข้มงวด ต้องรอการอนุมัติอย่างเป็นทางการ
4: มี SDK หรือ Open API สาธารณะพร้อมเอกสารครบถ้วน แต่ไม่สามารถแก้ไขสถาปัตยกรรมระดับล่างได้
5: สถาปัตยกรรมเปิดสมบูรณ์ (Open Source/Open HW) ทีมงานมีสิทธิ์ระดับ Root/Admin เต็มรูปแบบ</t>
        </is>
      </c>
      <c r="D8" s="28" t="inlineStr">
        <is>
          <t>1: ระดับแนวคิด/สมการคณิตศาสตร์ (TRL 2–3) ทดสอบเฉพาะในห้องทดลองที่ควบคุมสภาพแวดล้อมได้
2: เบรดบอร์ดทำงานได้ในแล็บ (TRL 4) สายไฟเปราะบาง ยังไม่ผ่านการสอบเทียบในสภาพแวดล้อมจริง
3: ตัวต้นแบบประกอบลงกล่อง (TRL 5–6) ผ่านการทดสอบในสภาพแวดล้อมจำลอง ต้องมีคนคอยดูแล
4: ต้นแบบระดับพรีโปรดักชัน (TRL 7) ทำงานได้อย่างมีเสถียรภาพในสภาพแวดล้อมปฏิบัติงานจริง
5: ผลิตภัณฑ์เชิงพาณิชย์สมบูรณ์ (TRL 8–9) ผ่านการรับรองมาตรฐาน มีค่า MTBF ยืนยันความทนทาน</t>
        </is>
      </c>
      <c r="E8" s="28" t="inlineStr">
        <is>
          <t>1: พึ่งพาผู้เชี่ยวชาญเพียงคนเดียว (SPOF) หากไม่อยู่ โครงการหยุดชะงัก 100%
2: มีหัวหน้าโครงการ 1 คน และมีผู้ช่วยเข้าใจทฤษฎีแต่แก้โค้ดหรือซ่อมฮาร์ดแวร์แทนไม่ได้
3: มีคู่หลัก-รอง (Primary + Secondary) สามารถแก้ไขปัญหาและดูแลระบบแทนกันได้
4: สมาชิกตั้งแต่ 3 คนขึ้นไปสามารถร่วมพัฒนา ประกอบ และแก้ไขปัญหาระบบได้โดยตรง
5: สมาชิกทุกคนในทีมมีความเชี่ยวชาญเต็มรูปแบบ สามารถสลับงานแทนกันได้ทันทีอย่างไร้รอยต่อ</t>
        </is>
      </c>
      <c r="F8" s="28" t="inlineStr">
        <is>
          <t>1: ต้องเริ่มเรียนรู้ใหม่จากศูนย์ 100% ทั้งเครื่องมือ ภาษา และฮาร์ดแวร์ที่ไม่เคยใช้งานมาก่อน
2: มีพื้นฐานทฤษฎีแต่ขาดประสบการณ์จริง การติดตั้งและแก้บั๊กเบื้องต้นใช้เวลานานและติดขัด
3: มีความเชี่ยวชาญในเทคโนโลยีใกล้เคียง สามารถปรับตัวและเรียนรู้เพิ่มเติมได้ภายใน 1 สัปดาห์
4: คุ้นเคยกับเทคโนโลยีหลักอยู่แล้ว เพียงแค่เรียนรู้ไลบรารีหรือการตั้งค่าเฉพาะเพิ่มเติมเล็กน้อย
5: สามารถดึงโค้ดเก่า วงจรที่เคยทำ และประสบการณ์เดิมมาใช้งานได้ทันทีโดยไม่ต้องเรียนรู้ใหม่</t>
        </is>
      </c>
      <c r="G8" s="28" t="inlineStr">
        <is>
          <t>1: ระยะเวลาคืนทุนนานมาก (≥ 10 ปี) ต้นทุนเริ่มแรกสูงมากและแทบไม่มีผลประหยัดค่าใช้จ่าย
2: ระยะเวลาคืนทุนช้า (6–9 ปี) ใช้เงินลงทุนสูง ต้องอาศัยเงินอุดหนุนระยะยาวจึงจะคุ้มทุน
3: ระยะเวลาคืนทุนปานกลาง (3–5 ปี) ช่วยประหยัดค่าใช้จ่ายการปฏิบัติการในรอบปีงบประมาณปกติ
4: ระยะเวลาคืนทุนเร็ว (2–3 ปี) ลดค่าใช้จ่ายปฏิบัติการ (ค่าน้ำมัน แรงงาน เครื่องจักร) ได้อย่างมีนัยสำคัญ
5: คืนทุนทันที (≤ 1–2 ปี) ลดความสูญเสียจากน้ำท่วมและตัดรอบการลอกท่อที่ไม่จำเป็นได้ตั้งแต่ปีแรก</t>
        </is>
      </c>
      <c r="H8" s="28" t="inlineStr">
        <is>
          <t>1: ผูกขาดกับระบบปิด 100% ต้องใช้คลาวด์ หัวต่อ หรือเซนเซอร์เฉพาะจากผู้ผลิตรายเดียวเท่านั้น
2: พึ่งพาผู้ผลิตสูง ต้องใช้เครื่องมือตรวจวินิจฉัยเฉพาะหรือเสียค่าธรรมเนียมรายปีเพื่อใช้งาน
3: กึ่งอิสระ ฮาร์ดแวร์หลักเป็นระบบปิดแต่รองรับการส่งออกข้อมูลแบบเปิดและใช้อินเทอร์เฟซมาตรฐาน
4: มีความเป็นอิสระสูง ใช้โปรโตคอลสื่อสารมาตรฐาน (Modbus, MQTT, CAN) หาอะไหล่เทียบได้ง่าย
5: เป็นอิสระสมบูรณ์ 100% ใช้อุปกรณ์มาตรฐานทั่วไป สามารถซ่อมบำรุงและเปลี่ยนอะไหล่ได้เอง</t>
        </is>
      </c>
      <c r="I8" s="28" t="inlineStr">
        <is>
          <t>1: งบประมาณสำรอง 0% (ซื้อชุดเดียวพอดี) หากชิปไหม้หรืออุปกรณ์เสียหาย โครงการจะหยุดชะงักทันที
2: งบประมาณสำรอง 20–30% สำรองได้เฉพาะชิ้นส่วนพาสซีฟราคาถูก ไม่มีอะไหล่สำหรับเซนเซอร์หลัก
3: งบประมาณสำรอง 50% มีชิ้นส่วนพาสซีฟสำรองครบ และมีบอร์ดควบคุมหลักสำรอง 1 ชุด
4: งบประมาณสำรอง 80% มีอะไหล่สำรองเกือบครบทุกชิ้นส่วน รองรับการทดสอบพัง (Burn-in) ได้หลายรอบ
5: มีความพร้อมสำรองสมบูรณ์ (≥ 100%) งบประมาณครอบคลุมการสร้างตัวต้นแบบที่ทำงานได้ 2 ชุดพร้อมกัน</t>
        </is>
      </c>
      <c r="J8" s="28" t="inlineStr">
        <is>
          <t>1: ละเมิดกฎหมายโดยตรง (กีดขวางการจราจรสาธารณะร้ายแรง, ละเมิด PDPA รุนแรง, ส่งคลื่นรบกวนผิดกฎหมาย)
2: สุ่มเสี่ยงทางกฎหมายสูง อาจถูกร้องเรียนเรื่องปิดกั้นการจราจรหรือความปลอดภัย ต้องขอผ่อนผันซับซ้อน
3: มีเงื่อนไขทางกฎหมาย ต้องขออนุญาตเปิดฝาท่อและปิดช่องทางจราจรตามระเบียบของหน่วยงานเทศบาล
4: ผลกระทบทางกฎหมายต่ำ ปฏิบัติตามข้อยกเว้นงานวิศวกรรมสาธารณะทั่วไป ใช้เพียงการแจ้งเตือนความปลอดภัย
5: ได้รับการยกเว้นสมบูรณ์ 100% ไม่กีดขวางการจราจร ไม่เข้าข่ายที่อับอากาศ ไม่มีการเก็บข้อมูลส่วนบุคคล (Zero PII)</t>
        </is>
      </c>
      <c r="K8" s="28" t="inlineStr">
        <is>
          <t>1: ติดสัญญาอนุญาตเชิงพาณิชย์แบบปิด ไม่สามารถคอมไพล์ รัน หรือแจกจ่ายได้หากไม่จ่ายค่าลิขสิทธิ์ราคาแพง
2: สถานะทรัพย์สินทางปัญญาคลุมเครือ ไม่มีสัญญาอนุญาตระบุชัดเจน เสี่ยงต่อการถูกระงับเมื่อเปิดเผยต่อสาธารณะ
3: สัญญาอนุญาตแบบ Copyleft เข้มงวด (เช่น GPLv3) บังคับให้ต้องเปิดเผยโค้ดทั้งหมดหากมีการแจกจ่าย
4: สัญญาอนุญาตแบบผ่อนปรน (เช่น LGPL, CC-BY) ใช้งานและห่อหุ้มซอฟต์แวร์ได้โดยมีเงื่อนไขอ้างอิงแหล่งที่มา
5: โอเพนซอร์สสมบูรณ์ (MIT, Apache 2.0, BSD) หรือ Public Domain ใช้งานและต่อยอดได้อย่างอิสระ 100%</t>
        </is>
      </c>
      <c r="L8" s="28" t="inlineStr">
        <is>
          <t>1: เป็นอันตรายต่อชีวิต (ไฟฟ้าดูด เพลิงไหม้ อุบัติเหตุทางถนน สารพิษ หรือโครงสร้างท่อพังทลาย)
2: ก่อให้เกิดอันตรายทางกายภาพร้ายแรง อุปกรณ์ติดค้างกลายเป็นสิ่งอุดตันท่อ หรือระบบน้ำล้นฉับพลัน
3: เกิดความสับสนในการปฏิบัติงาน อุปกรณ์ขัดข้องต้องใช้เวลาหลายชั่วโมงในการกู้คืนหรือส่งทีมไปช่วย
4: เกิดความล่าช้าเล็กน้อย อุปกรณ์ตัดการทำงานอย่างปลอดภัย สามารถกู้คืนได้ตามขั้นตอนมาตรฐาน
5: ความเสียหายจำกัดเฉพาะงบประมาณ ไม่ส่งผลต่อความปลอดภัยหรือการไหลของน้ำ กู้คืนได้ทันที</t>
        </is>
      </c>
      <c r="M8" s="28" t="inlineStr">
        <is>
          <t>1: ขัดขวางขั้นตอนเดิมอย่างรุนแรง บังคับให้เจ้าหน้าที่ต้องเปลี่ยนวิธีทำงานทั้งหมดและกรอกเอกสารเพิ่มมากมาย
2: มีความฝืดสูง เพิ่มขั้นตอนการทำงานและต้องใช้อุปกรณ์เทอะทะ เจ้าหน้าที่มีแนวโน้มหลีกเลี่ยงการใช้งาน
3: ต้องปรับตัวปานกลาง ปรับเปลี่ยนขั้นตอนประจำวันเล็กน้อย ต้องฝึกอบรม 1–2 ครั้ง แต่ได้ผลลัพธ์คุ้มค่า
4: ความฝืดต่ำ บูรณาการเข้ากับเครื่องมือเดิมได้โดยตรง (ส่งค่าเข้า LINE/Dashboard) ปรับพฤติกรรมน้อยมาก
5: ราบรื่นไร้รอยต่อ 100% ทำงานอัตโนมัติในพื้นหลัง ลดภาระงานเอกสารและการลอกท่อเดิมของเจ้าหน้าที่</t>
        </is>
      </c>
      <c r="N8" s="28" t="inlineStr">
        <is>
          <t>1: ติดคอขวดขั้นตอนอนุมัติหนัก ห้องแล็บปิด ต้องลงนาม NDA หรือรอจัดซื้ออุปกรณ์หลายสัปดาห์
2: มีขั้นตอนราชการปานกลาง ต้องส่งแบบฟอร์มจองเครื่องมือล่วงหน้า และรออนุมัติ 3–5 วันทำการ
3: เข้าถึงได้ตามเวลาทำการปกติของมหาวิทยาลัย มีความล่าช้าเล็กน้อยในการเบิกใช้เครื่องมือเฉพาะทาง
4: มีอิสระสูง ทีมงานเข้าแล็บได้ตลอด มีสิทธิ์เขียนโค้ดลงบอร์ด และมีงบประมาณย่อยพร้อมใช้งานทันที
5: พัฒนาได้อย่างอิสระสมบูรณ์ 100% มีระบบ CI/CD บนคลาวด์และพัฒนาชิ้นงานได้เองที่บ้าน/หอพัก</t>
        </is>
      </c>
      <c r="O8" s="28" t="inlineStr">
        <is>
          <t>1: ซับซ้อนมาก มีขั้นตอนคอมไพล์และตั้งค่าหลายสิบขั้นตอน เสี่ยงต่อข้อผิดพลาดสูงมาก
2: ความซับซ้อนสูง ต้องใช้เครื่องมือหลายระดับ มีปัญหาความเข้ากันได้ของไลบรารีและแฟลชบอร์ดได้ยาก
3: ความซับซ้อนปานกลาง มีขั้นตอนประกอบและทดสอบตามคู่มือมาตรฐานที่บันทึกไว้ ทำซ้ำได้ไม่ยาก
4: ความซับซ้อนต่ำ ใช้สคริปต์อัตโนมัติ IDE มาตรฐาน หรือแฟลชเฟิร์มแวร์ด้วยคำสั่งเดียว
5: เรียบง่ายและตรงไปตรงมา เป็นระบบ Plug-and-Play ตั้งค่าขั้นตอนเดียวเสร็จสมบูรณ์</t>
        </is>
      </c>
      <c r="P8" s="28" t="inlineStr">
        <is>
          <t>1: ระดับแนวคิดเท่านั้น (แบบ 0%) มีเพียงภาพสเก็ตช์ ยังไม่มีโมเดล 3D วงจร หรือเฟิร์มแวร์ใดๆ
2: แบบร่างเบื้องต้น (แบบ 25%) มีบล็อกไดอะแกรม วงจรร่างมือ รายการชิ้นส่วนที่ยังไม่ยืนยัน และกล่อง 3D คร่าวๆ
3: วุฒิภาวะปานกลาง (แบบ 50%) แอสเซมบลี CAD ครบ วาดวงจรเสร็จ และวางโครงสร้างเฟิร์มแวร์แล้ว
4: พร้อมผลิตเบื้องต้น (แบบ 75–80%) ไฟล์ CAD พร้อมพิมพ์ 3D/CNC และไฟล์ PCB Gerber ผ่านการตรวจ DRC
5: แบบสมบูรณ์พร้อมผลิต 100% มีเอกสารสั่งผลิตครบ พิกัดความเผื่อ CAD แน่นอน และสคริปต์แฟลชพร้อมทำงาน</t>
        </is>
      </c>
      <c r="Q8" s="28" t="inlineStr">
        <is>
          <t>1: หลุดจากกรอบ Wedding Cake หรือสร้างผลกระทบเชิงลบอย่างรุนแรงต่อสิ่งแวดล้อมหรือสุขอนามัย
2: สัมผัสเพียง 1 เสาหลักอย่างผิวเผิน ขาดการเชื่อมโยงเชิงประจักษ์ไปยังสังคมหรือสิ่งแวดล้อมจริง
3: ครอบคลุม 1 เสาหลักอย่างเป็นรูปธรรม หรือเริ่มแตะ 2 เสาหลักแบบมีข้อจำกัดเฉพาะจุด
4: บูรณาการ 2 เสาหลักสำคัญอย่างมีนัยสำคัญ (เช่น Biosphere + Society) พร้อมตัวชี้วัดรองรับ
5: บูรณาการครบทั้ง 3 เสาหลักของ Wedding Cake อย่างสมบูรณ์ (Biosphere, Society, Economy)</t>
        </is>
      </c>
      <c r="R8" s="28" t="inlineStr">
        <is>
          <t>1: ก่อให้เกิดอันตรายจากสารพิษ แบตเตอรี่รั่วไหล หรืออุปกรณ์หลุดลอยลงสู่แหล่งน้ำสาธารณะเป็นขยะมลพิษ
2: อายุการใช้งานสั้น เซนเซอร์สึกกร่อนหรือเสียหายภายใน 2–3 สัปดาห์ และยากต่อการเก็บกู้คืน
3: มีขยะอิเล็กทรอนิกส์ตามมาตรฐาน ต้องเปลี่ยนแบตเตอรี่เป็นรอบๆ แต่มีสายโยงป้องกันการสูญหายในท่อ
4: ตัวกล่องทนทาน ใช้พลังงานต่ำ ใช้วัสดุรีไซเคิลได้ และมีสลิงสแตนเลสคู่ป้องกันการหลุดหาย
5: หมุนเวียนสมบูรณ์และไร้รอยเท้าสิ่งแวดล้อม กู้คืนได้ 100% จากผิวดิน ใช้วัสดุไม่เป็นพิษและไม่ทิ้งขยะตกค้าง</t>
        </is>
      </c>
      <c r="S8" s="29" t="inlineStr">
        <is>
          <t>เกณฑ์รวม: &gt;=80 ผ่านสูง, &gt;=60 มีเงื่อนไข, &lt;60 เสี่ยงสูง | หากมีข้อใดได้ 1 = VETOED ตกเกณฑ์ทันที</t>
        </is>
      </c>
    </row>
    <row r="9" ht="36" customHeight="1">
      <c r="A9" s="30" t="inlineStr">
        <is>
          <t>คะแนนที่ได้รับ (ASSIGNED SCORE: 1, 2, 3, 4, 5 STRICT INTEGER)</t>
        </is>
      </c>
      <c r="B9" s="31" t="n">
        <v>2</v>
      </c>
      <c r="C9" s="31" t="n">
        <v>5</v>
      </c>
      <c r="D9" s="31" t="n">
        <v>3</v>
      </c>
      <c r="E9" s="31" t="n">
        <v>3</v>
      </c>
      <c r="F9" s="31" t="n">
        <v>3</v>
      </c>
      <c r="G9" s="31" t="n">
        <v>3</v>
      </c>
      <c r="H9" s="31" t="n">
        <v>4</v>
      </c>
      <c r="I9" s="31" t="n">
        <v>2</v>
      </c>
      <c r="J9" s="31" t="n">
        <v>2</v>
      </c>
      <c r="K9" s="31" t="n">
        <v>5</v>
      </c>
      <c r="L9" s="31" t="n">
        <v>3</v>
      </c>
      <c r="M9" s="31" t="n">
        <v>3</v>
      </c>
      <c r="N9" s="31" t="n">
        <v>3</v>
      </c>
      <c r="O9" s="31" t="n">
        <v>2</v>
      </c>
      <c r="P9" s="31" t="n">
        <v>2</v>
      </c>
      <c r="Q9" s="31" t="n">
        <v>4</v>
      </c>
      <c r="R9" s="31" t="n">
        <v>3</v>
      </c>
      <c r="S9" s="32">
        <f>IF(S10&gt;0, (S11/S10)*20, 0)</f>
        <v/>
      </c>
    </row>
    <row r="10" ht="22" customHeight="1">
      <c r="A10" s="25" t="inlineStr">
        <is>
          <t>ค่าน้ำหนัก (Weight %)</t>
        </is>
      </c>
      <c r="B10" s="33" t="n">
        <v>0.04</v>
      </c>
      <c r="C10" s="33" t="n">
        <v>0.04</v>
      </c>
      <c r="D10" s="33" t="n">
        <v>0.04</v>
      </c>
      <c r="E10" s="33" t="n">
        <v>0.04</v>
      </c>
      <c r="F10" s="33" t="n">
        <v>0.04</v>
      </c>
      <c r="G10" s="33" t="n">
        <v>0.0667</v>
      </c>
      <c r="H10" s="33" t="n">
        <v>0.0667</v>
      </c>
      <c r="I10" s="33" t="n">
        <v>0.06660000000000001</v>
      </c>
      <c r="J10" s="33" t="n">
        <v>0.075</v>
      </c>
      <c r="K10" s="33" t="n">
        <v>0.075</v>
      </c>
      <c r="L10" s="33" t="n">
        <v>0.05</v>
      </c>
      <c r="M10" s="33" t="n">
        <v>0.05</v>
      </c>
      <c r="N10" s="33" t="n">
        <v>0.05</v>
      </c>
      <c r="O10" s="33" t="n">
        <v>0.05</v>
      </c>
      <c r="P10" s="33" t="n">
        <v>0.15</v>
      </c>
      <c r="Q10" s="33" t="n">
        <v>0.05</v>
      </c>
      <c r="R10" s="33" t="n">
        <v>0.05</v>
      </c>
      <c r="S10" s="33">
        <f>SUM(B10:R10)</f>
        <v/>
      </c>
    </row>
    <row r="11" ht="24" customHeight="1">
      <c r="A11" s="25" t="inlineStr">
        <is>
          <t>คะแนนถ่วงน้ำหนัก (=Score * Weight)</t>
        </is>
      </c>
      <c r="B11" s="34">
        <f>B9*B10</f>
        <v/>
      </c>
      <c r="C11" s="34">
        <f>C9*C10</f>
        <v/>
      </c>
      <c r="D11" s="34">
        <f>D9*D10</f>
        <v/>
      </c>
      <c r="E11" s="34">
        <f>E9*E10</f>
        <v/>
      </c>
      <c r="F11" s="34">
        <f>F9*F10</f>
        <v/>
      </c>
      <c r="G11" s="34">
        <f>G9*G10</f>
        <v/>
      </c>
      <c r="H11" s="34">
        <f>H9*H10</f>
        <v/>
      </c>
      <c r="I11" s="34">
        <f>I9*I10</f>
        <v/>
      </c>
      <c r="J11" s="34">
        <f>J9*J10</f>
        <v/>
      </c>
      <c r="K11" s="34">
        <f>K9*K10</f>
        <v/>
      </c>
      <c r="L11" s="34">
        <f>L9*L10</f>
        <v/>
      </c>
      <c r="M11" s="34">
        <f>M9*M10</f>
        <v/>
      </c>
      <c r="N11" s="34">
        <f>N9*N10</f>
        <v/>
      </c>
      <c r="O11" s="34">
        <f>O9*O10</f>
        <v/>
      </c>
      <c r="P11" s="34">
        <f>P9*P10</f>
        <v/>
      </c>
      <c r="Q11" s="34">
        <f>Q9*Q10</f>
        <v/>
      </c>
      <c r="R11" s="34">
        <f>R9*R10</f>
        <v/>
      </c>
      <c r="S11" s="34">
        <f>SUM(B11:R11)</f>
        <v/>
      </c>
    </row>
    <row r="12" ht="115" customHeight="1">
      <c r="A12" s="25" t="inlineStr">
        <is>
          <t>คำอธิบาย &amp; หลักฐานอ้างอิงจากไฟล์ Intake (Evidence Citation)</t>
        </is>
      </c>
      <c r="B12" s="28" t="inlineStr">
        <is>
          <t>solution-details/solution-1.md lines 32-38; requires custom waterproof IP68 motor pods, sealed differential drivetrain, custom chassis fabrication for wastewater resistance, and tether reel slip-ring integration.</t>
        </is>
      </c>
      <c r="C12" s="28" t="inlineStr">
        <is>
          <t>solution-details/solution-1.md lines 33-36; utilizes open-source YOLOv8 architecture, standard RTSP video streaming, open Python/OpenCV stacks, and ESP32/STM32 motor control with full root/developer access.</t>
        </is>
      </c>
      <c r="D12" s="28" t="inlineStr">
        <is>
          <t>solution-details/solution-1.md lines 40-49; CCTV pipe crawling is established commercially (TRL 8-9), but custom student crawler with YOLOv8 in murky sewer conditions operates at TRL 5-6 (prototype in simulated pipe).</t>
        </is>
      </c>
      <c r="E12" s="28" t="inlineStr">
        <is>
          <t>team-skills/due.md, fifa.md, jk.md, kin.md; Fifa and Due form a primary/secondary mechanical/chassis pair, while JK and Kin form a primary/secondary AI/streaming pair.</t>
        </is>
      </c>
      <c r="F12" s="28" t="inlineStr">
        <is>
          <t>team-skills/fifa.md, jk.md; team has proven experience in ROS2, OpenCV, and 3D CAD, but waterproofing dynamic rotary wheel shafts and tuning long tether signal integrity requires a 1-week learning ramp-up.</t>
        </is>
      </c>
      <c r="G12" s="28" t="inlineStr">
        <is>
          <t>solution-details/solution-1.md lines 6-7, 43; condition-based visual inspection prevents unneeded jetting of 30-40% clean pipes, delivering moderate 3-5 year payback across municipal sewer maintenance cycles.</t>
        </is>
      </c>
      <c r="H12" s="28" t="inlineStr">
        <is>
          <t>solution-details/solution-1.md lines 32-38; uses standard COTS DC gearmotors, standard USB/IP camera modules, generic LED drivers, and open communication protocols.</t>
        </is>
      </c>
      <c r="I12" s="28" t="inlineStr">
        <is>
          <t>team-skills/due.md, fifa.md; waterproof crawler chassis, 4K PTZ camera, and high-spec tether cable are relatively costly; budget buffer for spare cameras or fried motor drivers is limited to 20-30%.</t>
        </is>
      </c>
      <c r="J12" s="28" t="inlineStr">
        <is>
          <t>solution-details/solution-1.md lines 18, 27; deploying wheeled crawler requires opening street manhole covers and setting up a stationary tether station on public roads, creating traffic blockage risks requiring municipal permits.</t>
        </is>
      </c>
      <c r="K12" s="28" t="inlineStr">
        <is>
          <t>solution-details/solution-1.md lines 35-36; YOLOv8 educational license, OpenCV (Apache 2.0), and ROS2 (Apache 2.0) are fully permissive with zero commercial barrier for academic project delivery.</t>
        </is>
      </c>
      <c r="L12" s="28" t="inlineStr">
        <is>
          <t>solution-details/solution-1.md lines 46-49; if the crawler flips over, gets entangled on tree roots/sludge, or loses power, the tether cable serves as a mechanical tow-line for recovery, but retrieval stalls operations for several hours.</t>
        </is>
      </c>
      <c r="M12" s="28" t="inlineStr">
        <is>
          <t>solution-details/solution-1.md lines 6-7, 27-30; operators must carry crawler and heavy cable reel, wash sewage off robot after deployment, but benefit from direct visual evidence for work verification.</t>
        </is>
      </c>
      <c r="N12" s="28" t="inlineStr">
        <is>
          <t>team-skills/due.md, fifa.md; mechanical chassis fabrication requires FIBO workshop 3D printers and water test tank during standard university opening hours.</t>
        </is>
      </c>
      <c r="O12" s="28" t="inlineStr">
        <is>
          <t>solution-details/solution-1.md lines 27-38; multi-stage pipeline involves sealed mechanical assembly, waterproof wiring, high-bandwidth video tethering, and deep learning model inference setup.</t>
        </is>
      </c>
      <c r="P12" s="28" t="inlineStr">
        <is>
          <t>schedule-details/schedule.md lines 8-15; designing, machining, waterproofing, and debugging an IP68 motorized crawler chassis with tether winch within 5 active business weeks under university exam blackout constraints represents extreme schedule pressure.</t>
        </is>
      </c>
      <c r="Q12" s="28" t="inlineStr">
        <is>
          <t>solution-details/solution-1.md lines 6-10; strongly addresses Biosphere (SDG 6.3 preventing sewage backup into urban canals) and Society (SDG 11.5 urban flood resilience and pedestrian road safety).</t>
        </is>
      </c>
      <c r="R12" s="28" t="inlineStr">
        <is>
          <t>solution-details/solution-1.md lines 47; physical tether prevents total hardware loss, but sewage moisture, grease, and H2S gas cause rapid wear and electronic corrosion over repeated deployments.</t>
        </is>
      </c>
      <c r="S12" s="35">
        <f>IF(MIN(B9:R9)=1, "VETOED / ตกเกณฑ์ข้อบังคับวิกฤต (คะแนนระดับ 1)", IF(S9&gt;=80, "ผ่านเกณฑ์ระดับสูง (HIGHLY VIABLE)", IF(S9&gt;=60, "ผ่านแบบมีเงื่อนไข (CONDITIONALLY VIABLE)", "ความเสี่ยงสูง (HIGH RISK)")))</f>
        <v/>
      </c>
    </row>
    <row r="13" ht="70" customHeight="1">
      <c r="A13" s="25" t="inlineStr">
        <is>
          <t>แผนลดขอบเขตงาน &amp; มาตรการลดความเสี่ยง (De-scoping Action)</t>
        </is>
      </c>
      <c r="B13" s="28" t="inlineStr">
        <is>
          <t>Purchase a pre-sealed commercial off-the-shelf (COTS) IP68 RC crawler chassis and mount camera modules externally to avoid custom rotary shaft seal fabrication.</t>
        </is>
      </c>
      <c r="C13" s="28" t="inlineStr">
        <is>
          <t>Maintain fully open-source pipeline using Ultralytics YOLOv8 and standard ROS2 camera drivers.</t>
        </is>
      </c>
      <c r="D13" s="28" t="inlineStr">
        <is>
          <t>Conduct bench testing in a dry simulated 300mm PVC pipe before advancing to damp mock-up drainage channels.</t>
        </is>
      </c>
      <c r="E13" s="28" t="inlineStr">
        <is>
          <t>Standardize motor driver pinouts and ROS2 messaging so that Due and JK can cross-debug embedded code seamlessly.</t>
        </is>
      </c>
      <c r="F13" s="28" t="inlineStr">
        <is>
          <t>Use off-the-shelf industrial magnetic rotary couplers or pre-sealed brushless underwater thrusters/motors.</t>
        </is>
      </c>
      <c r="G13" s="28" t="inlineStr">
        <is>
          <t>Focus reporting on high-priority clogged segments to maximize fuel and labor savings per inspection run.</t>
        </is>
      </c>
      <c r="H13" s="28" t="inlineStr">
        <is>
          <t>Avoid proprietary camera protocols; use open standard RTSP/UVC drivers for camera interchangeability.</t>
        </is>
      </c>
      <c r="I13" s="28" t="inlineStr">
        <is>
          <t>Use lower-cost 1080p wide-angle camera modules (~800 THB) during initial testing to preserve spare budget.</t>
        </is>
      </c>
      <c r="J13" s="28" t="inlineStr">
        <is>
          <t>Deploy strictly on pedestrian sidewalk drainage gutters or campus drainage testbeds to bypass public road traffic permit requirements.</t>
        </is>
      </c>
      <c r="K13" s="28" t="inlineStr">
        <is>
          <t>Document all open-source licenses in repository attribution headers.</t>
        </is>
      </c>
      <c r="L13" s="28" t="inlineStr">
        <is>
          <t>Integrate a high-tensile steel wire safety core inside the tether cable with a manual emergency hand-winch.</t>
        </is>
      </c>
      <c r="M13" s="28" t="inlineStr">
        <is>
          <t>Package the system into a ruggedized portable rolling case with an automated one-button cable reel.</t>
        </is>
      </c>
      <c r="N13" s="28" t="inlineStr">
        <is>
          <t>Use standard modular 3D printed PETG enclosures assembled with off-the-shelf silicone O-rings.</t>
        </is>
      </c>
      <c r="O13" s="28" t="inlineStr">
        <is>
          <t>Containerize YOLOv8 and streaming server inside a single Docker image with a 1-click startup script.</t>
        </is>
      </c>
      <c r="P13" s="28" t="inlineStr">
        <is>
          <t>Adopt a modular COTS chassis baseline immediately in Week 9 to freeze mechanical dimensions before midterm.</t>
        </is>
      </c>
      <c r="Q13" s="28" t="inlineStr">
        <is>
          <t>Incorporate automated reporting of plastic debris volume to support circular waste collection metrics.</t>
        </is>
      </c>
      <c r="R13" s="28" t="inlineStr">
        <is>
          <t>Conformal coat all internal electronics with silicone/polyurethane moisture barrier to extend hardware lifespan.</t>
        </is>
      </c>
      <c r="S13" s="27" t="inlineStr">
        <is>
          <t>ปฏิบัติตามแผนลดขอบเขตงาน (De-scoping Advisory)</t>
        </is>
      </c>
    </row>
    <row r="14" ht="15" customHeight="1"/>
    <row r="15" ht="26" customHeight="1">
      <c r="A15" s="21" t="inlineStr">
        <is>
          <t>ตารางสรุปคะแนนแยกตามมิติ TELOS+S (Pillar Score Breakdown)</t>
        </is>
      </c>
    </row>
    <row r="16" ht="24" customHeight="1">
      <c r="A16" s="36" t="inlineStr">
        <is>
          <t>มิติการประเมิน (TELOS+S Pillar)</t>
        </is>
      </c>
      <c r="B16" s="36" t="inlineStr">
        <is>
          <t>สัดส่วนน้ำหนัก (Weight %)</t>
        </is>
      </c>
      <c r="C16" s="36" t="inlineStr">
        <is>
          <t>คะแนนเต็มมิติ (Max Points)</t>
        </is>
      </c>
      <c r="D16" s="36" t="inlineStr">
        <is>
          <t>คะแนนที่ได้รับจริง (Earned Points)</t>
        </is>
      </c>
      <c r="E16" s="36" t="inlineStr">
        <is>
          <t>คะแนนเฉลี่ย (Score 1-5)</t>
        </is>
      </c>
      <c r="F16" s="36" t="inlineStr">
        <is>
          <t>ระดับความพร้อม (Readiness Level)</t>
        </is>
      </c>
    </row>
    <row r="17" ht="22" customHeight="1">
      <c r="A17" s="37" t="inlineStr">
        <is>
          <t>T : ด้านเทคโนโลยีและวิศวกรรม (Technical)</t>
        </is>
      </c>
      <c r="B17" s="38" t="n">
        <v>0.2</v>
      </c>
      <c r="C17" s="39" t="n">
        <v>20</v>
      </c>
      <c r="D17" s="40">
        <f>SUM(B11:F11)*20</f>
        <v/>
      </c>
      <c r="E17" s="41">
        <f>IF(C17&gt;0, (D17/C17)*5, 0)</f>
        <v/>
      </c>
      <c r="F17" s="27">
        <f>IF(D17&gt;=16.0, "พร้อมระดับสูง (High)", IF(D17&gt;=12.0, "ปานกลาง (Medium)", "เสี่ยงวิกฤต (Critical)"))</f>
        <v/>
      </c>
    </row>
    <row r="18" ht="22" customHeight="1">
      <c r="A18" s="37" t="inlineStr">
        <is>
          <t>E : ด้านเศรษฐศาสตร์และความคุ้มค่า (Economic)</t>
        </is>
      </c>
      <c r="B18" s="38" t="n">
        <v>0.2</v>
      </c>
      <c r="C18" s="39" t="n">
        <v>20</v>
      </c>
      <c r="D18" s="40">
        <f>SUM(G11:I11)*20</f>
        <v/>
      </c>
      <c r="E18" s="41">
        <f>IF(C18&gt;0, (D18/C18)*5, 0)</f>
        <v/>
      </c>
      <c r="F18" s="27">
        <f>IF(D18&gt;=16.0, "พร้อมระดับสูง (High)", IF(D18&gt;=12.0, "ปานกลาง (Medium)", "เสี่ยงวิกฤต (Critical)"))</f>
        <v/>
      </c>
    </row>
    <row r="19" ht="22" customHeight="1">
      <c r="A19" s="37" t="inlineStr">
        <is>
          <t>L : ด้านกฎหมาย ระเบียบ และภาคประชาชน (Legal &amp; Outreach)</t>
        </is>
      </c>
      <c r="B19" s="38" t="n">
        <v>0.15</v>
      </c>
      <c r="C19" s="39" t="n">
        <v>15</v>
      </c>
      <c r="D19" s="40">
        <f>SUM(J11:K11)*20</f>
        <v/>
      </c>
      <c r="E19" s="41">
        <f>IF(C19&gt;0, (D19/C19)*5, 0)</f>
        <v/>
      </c>
      <c r="F19" s="27">
        <f>IF(D19&gt;=12.0, "พร้อมระดับสูง (High)", IF(D19&gt;=9.0, "ปานกลาง (Medium)", "เสี่ยงวิกฤต (Critical)"))</f>
        <v/>
      </c>
    </row>
    <row r="20" ht="22" customHeight="1">
      <c r="A20" s="37" t="inlineStr">
        <is>
          <t>O : ด้านการปฏิบัติการและหน้างาน (Operational)</t>
        </is>
      </c>
      <c r="B20" s="38" t="n">
        <v>0.2</v>
      </c>
      <c r="C20" s="39" t="n">
        <v>20</v>
      </c>
      <c r="D20" s="40">
        <f>SUM(L11:O11)*20</f>
        <v/>
      </c>
      <c r="E20" s="41">
        <f>IF(C20&gt;0, (D20/C20)*5, 0)</f>
        <v/>
      </c>
      <c r="F20" s="27">
        <f>IF(D20&gt;=16.0, "พร้อมระดับสูง (High)", IF(D20&gt;=12.0, "ปานกลาง (Medium)", "เสี่ยงวิกฤต (Critical)"))</f>
        <v/>
      </c>
    </row>
    <row r="21" ht="22" customHeight="1">
      <c r="A21" s="37" t="inlineStr">
        <is>
          <t>S : ด้านแผนงานและเวลาส่งมอบ (Schedule)</t>
        </is>
      </c>
      <c r="B21" s="38" t="n">
        <v>0.15</v>
      </c>
      <c r="C21" s="39" t="n">
        <v>15</v>
      </c>
      <c r="D21" s="40">
        <f>P11*20</f>
        <v/>
      </c>
      <c r="E21" s="41">
        <f>IF(C21&gt;0, (D21/C21)*5, 0)</f>
        <v/>
      </c>
      <c r="F21" s="27">
        <f>IF(D21&gt;=12.0, "พร้อมระดับสูง (High)", IF(D21&gt;=9.0, "ปานกลาง (Medium)", "เสี่ยงวิกฤต (Critical)"))</f>
        <v/>
      </c>
    </row>
    <row r="22" ht="22" customHeight="1">
      <c r="A22" s="37" t="inlineStr">
        <is>
          <t>+S : ด้านความยั่งยืนและสิ่งแวดล้อม (Sustainability / SDG)</t>
        </is>
      </c>
      <c r="B22" s="38" t="n">
        <v>0.1</v>
      </c>
      <c r="C22" s="39" t="n">
        <v>10</v>
      </c>
      <c r="D22" s="40">
        <f>SUM(Q11:R11)*20</f>
        <v/>
      </c>
      <c r="E22" s="41">
        <f>IF(C22&gt;0, (D22/C22)*5, 0)</f>
        <v/>
      </c>
      <c r="F22" s="27">
        <f>IF(D22&gt;=8.0, "พร้อมระดับสูง (High)", IF(D22&gt;=6.0, "ปานกลาง (Medium)", "เสี่ยงวิกฤต (Critical)"))</f>
        <v/>
      </c>
    </row>
    <row r="23" ht="26" customHeight="1">
      <c r="A23" s="42" t="inlineStr">
        <is>
          <t>คะแนนรวมทุกมิติ (Total Feasibility Score)</t>
        </is>
      </c>
      <c r="B23" s="33">
        <f>SUM(B17:B22)</f>
        <v/>
      </c>
      <c r="C23" s="43">
        <f>SUM(C17:C22)</f>
        <v/>
      </c>
      <c r="D23" s="44">
        <f>SUM(D17:D22)</f>
        <v/>
      </c>
      <c r="E23" s="34">
        <f>IF(C23&gt;0, (D23/C23)*5, 0)</f>
        <v/>
      </c>
      <c r="F23" s="45">
        <f>IF(D23&gt;=80, "ผ่านเกณฑ์ระดับสูง (HIGHLY VIABLE)", IF(D23&gt;=60, "ผ่านแบบมีเงื่อนไข (CONDITIONALLY VIABLE)", "ความเสี่ยงสูง (HIGH RISK)"))</f>
        <v/>
      </c>
    </row>
    <row r="24" ht="12" customHeight="1"/>
    <row r="25" ht="26" customHeight="1">
      <c r="A25" s="21" t="inlineStr">
        <is>
          <t>เมทริกซ์ประเมินความเข้ากันได้กับองค์ความรู้ด้านวิศวกรรมหุ่นยนต์ (Robotics Knowledge Compatibility)</t>
        </is>
      </c>
    </row>
    <row r="26" ht="22" customHeight="1">
      <c r="A26" s="22" t="inlineStr">
        <is>
          <t>* หมายเหตุ: การประเมินส่วนนี้วัดศักยภาพในการประยุกต์ใช้องค์ความรู้ด้านวิศวกรรมหุ่นยนต์ (Perception, Control, Actuation) เต็ม 12 คะแนน (แกนละ 4 คะแนน) | เป็นเอกเทศ ไม่นับรวมในคะแนน TELOS 100 คะแนน</t>
        </is>
      </c>
    </row>
    <row r="27" ht="24" customHeight="1">
      <c r="A27" s="46" t="inlineStr">
        <is>
          <t>มิติการประเมิน (Robotics Dimension)</t>
        </is>
      </c>
      <c r="B27" s="46" t="inlineStr">
        <is>
          <t>คะแนนศักยภาพ (/12)</t>
        </is>
      </c>
      <c r="C27" s="46" t="inlineStr">
        <is>
          <t>แกน Perception &amp; Sensing (การรับรู้)</t>
        </is>
      </c>
      <c r="D27" s="46" t="inlineStr">
        <is>
          <t>แกน Control &amp; Algorithms (การควบคุม)</t>
        </is>
      </c>
      <c r="E27" s="46" t="inlineStr">
        <is>
          <t>แกน Actuation &amp; Mechanisms (กลไก)</t>
        </is>
      </c>
      <c r="F27" s="46" t="inlineStr">
        <is>
          <t>บทวิเคราะห์เชิงวิศวกรรมหุ่นยนต์ (FIBO Alignment Rationale)</t>
        </is>
      </c>
    </row>
    <row r="28" ht="95" customHeight="1">
      <c r="A28" s="47" t="inlineStr">
        <is>
          <t>ศักยภาพการประยุกต์ใช้องค์ความรู้หุ่นยนต์และระบบอัตโนมัติ</t>
        </is>
      </c>
      <c r="B28" s="48" t="n">
        <v>10.5</v>
      </c>
      <c r="C28" s="28" t="inlineStr">
        <is>
          <t>Score 3.5/4.0: 4K PTZ Optical Camera with High-Power LED array and wheel distance encoders; captures visual defect features under active illumination.</t>
        </is>
      </c>
      <c r="D28" s="28" t="inlineStr">
        <is>
          <t>Score 3.5/4.0: Edge AI YOLOv8 deep learning object detection for real-time crack/blockage classification and spatial defect map indexing.</t>
        </is>
      </c>
      <c r="E28" s="28" t="inlineStr">
        <is>
          <t>Score 3.5/4.0: Multi-wheel motorized crawler platform traversing hazardous underground pipe geometry with differential steering and tether management.</t>
        </is>
      </c>
      <c r="F28" s="28" t="inlineStr">
        <is>
          <t>Solution 1 implements a genuine closed-loop mobile robotic system across all three FIBO pillars: active high-resolution optical perception, edge neural network defect inferencing, and mobile robotic pipe locomotion, utilizing mechatronics and control skills directly.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8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36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  <col width="36" customWidth="1" min="8" max="8"/>
    <col width="36" customWidth="1" min="9" max="9"/>
    <col width="36" customWidth="1" min="10" max="10"/>
    <col width="36" customWidth="1" min="11" max="11"/>
    <col width="36" customWidth="1" min="12" max="12"/>
    <col width="36" customWidth="1" min="13" max="13"/>
    <col width="36" customWidth="1" min="14" max="14"/>
    <col width="36" customWidth="1" min="15" max="15"/>
    <col width="36" customWidth="1" min="16" max="16"/>
    <col width="36" customWidth="1" min="17" max="17"/>
    <col width="36" customWidth="1" min="18" max="18"/>
    <col width="36" customWidth="1" min="19" max="19"/>
  </cols>
  <sheetData>
    <row r="1">
      <c r="A1" s="21" t="inlineStr">
        <is>
          <t>เมทริกซ์ประเมินความเป็นไปได้เชิงระบบ TELOS+S: Pipe Inspection Instrument using Acoustic Reflectometry (Airborne Acoustic Inversion + SL-RAT EPA USA Cleanliness Scale)</t>
        </is>
      </c>
    </row>
    <row r="2">
      <c r="A2" s="22" t="inlineStr">
        <is>
          <t>ระบบคะแนนจำนวนเต็มเด็ดขาด: 1, 2, 3, 4, 5 เท่านั้น (ไม่มีจุดทศนิยม / ไม่มี 0.5) | โครงสร้างแบบ Transposed แนวนอน</t>
        </is>
      </c>
    </row>
    <row r="4" ht="24" customHeight="1">
      <c r="A4" s="23" t="inlineStr">
        <is>
          <t>รหัสคำถาม (Question Code)</t>
        </is>
      </c>
      <c r="B4" s="24" t="inlineStr">
        <is>
          <t>T-01</t>
        </is>
      </c>
      <c r="C4" s="24" t="inlineStr">
        <is>
          <t>T-02</t>
        </is>
      </c>
      <c r="D4" s="24" t="inlineStr">
        <is>
          <t>T-03</t>
        </is>
      </c>
      <c r="E4" s="24" t="inlineStr">
        <is>
          <t>T-04</t>
        </is>
      </c>
      <c r="F4" s="24" t="inlineStr">
        <is>
          <t>T-05</t>
        </is>
      </c>
      <c r="G4" s="24" t="inlineStr">
        <is>
          <t>E-01</t>
        </is>
      </c>
      <c r="H4" s="24" t="inlineStr">
        <is>
          <t>E-02</t>
        </is>
      </c>
      <c r="I4" s="24" t="inlineStr">
        <is>
          <t>E-03</t>
        </is>
      </c>
      <c r="J4" s="24" t="inlineStr">
        <is>
          <t>L-01</t>
        </is>
      </c>
      <c r="K4" s="24" t="inlineStr">
        <is>
          <t>L-02</t>
        </is>
      </c>
      <c r="L4" s="24" t="inlineStr">
        <is>
          <t>O-01</t>
        </is>
      </c>
      <c r="M4" s="24" t="inlineStr">
        <is>
          <t>O-02</t>
        </is>
      </c>
      <c r="N4" s="24" t="inlineStr">
        <is>
          <t>O-03</t>
        </is>
      </c>
      <c r="O4" s="24" t="inlineStr">
        <is>
          <t>O-04</t>
        </is>
      </c>
      <c r="P4" s="24" t="inlineStr">
        <is>
          <t>S-01</t>
        </is>
      </c>
      <c r="Q4" s="24" t="inlineStr">
        <is>
          <t>SDG-01</t>
        </is>
      </c>
      <c r="R4" s="24" t="inlineStr">
        <is>
          <t>SDG-02</t>
        </is>
      </c>
      <c r="S4" s="24" t="inlineStr">
        <is>
          <t>สรุปภาพรวม (SUMMARY)</t>
        </is>
      </c>
    </row>
    <row r="5" ht="24" customHeight="1">
      <c r="A5" s="25" t="inlineStr">
        <is>
          <t>มิติการประเมิน (TELOS+S Pillar)</t>
        </is>
      </c>
      <c r="B5" s="26" t="inlineStr">
        <is>
          <t>ด้านเทคนิค (Technical 2.2)</t>
        </is>
      </c>
      <c r="C5" s="26" t="inlineStr">
        <is>
          <t>ด้านเทคนิค (Technical 2.2)</t>
        </is>
      </c>
      <c r="D5" s="26" t="inlineStr">
        <is>
          <t>ด้านเทคนิค (Technical 2.2)</t>
        </is>
      </c>
      <c r="E5" s="26" t="inlineStr">
        <is>
          <t>ด้านเทคนิค (Technical 2.2)</t>
        </is>
      </c>
      <c r="F5" s="26" t="inlineStr">
        <is>
          <t>ด้านเทคนิค (Technical 2.2)</t>
        </is>
      </c>
      <c r="G5" s="26" t="inlineStr">
        <is>
          <t>ด้านเศรษฐศาสตร์ (Economic 2.3)</t>
        </is>
      </c>
      <c r="H5" s="26" t="inlineStr">
        <is>
          <t>ด้านเศรษฐศาสตร์ (Economic 2.3)</t>
        </is>
      </c>
      <c r="I5" s="26" t="inlineStr">
        <is>
          <t>ด้านเศรษฐศาสตร์ (Economic 2.3)</t>
        </is>
      </c>
      <c r="J5" s="26" t="inlineStr">
        <is>
          <t>ด้านกฎหมายและสถาบัน (Legal 2.4)</t>
        </is>
      </c>
      <c r="K5" s="26" t="inlineStr">
        <is>
          <t>ด้านกฎหมายและสถาบัน (Legal 2.4)</t>
        </is>
      </c>
      <c r="L5" s="26" t="inlineStr">
        <is>
          <t>ด้านการปฏิบัติการ (Operational 2.5)</t>
        </is>
      </c>
      <c r="M5" s="26" t="inlineStr">
        <is>
          <t>ด้านการปฏิบัติการ (Operational 2.5)</t>
        </is>
      </c>
      <c r="N5" s="26" t="inlineStr">
        <is>
          <t>ด้านการปฏิบัติการ (Operational 2.5)</t>
        </is>
      </c>
      <c r="O5" s="26" t="inlineStr">
        <is>
          <t>ด้านการปฏิบัติการ (Operational 2.5)</t>
        </is>
      </c>
      <c r="P5" s="26" t="inlineStr">
        <is>
          <t>ด้านแผนงานและเวลา (Schedule 2.6)</t>
        </is>
      </c>
      <c r="Q5" s="26" t="inlineStr">
        <is>
          <t>ด้านความยั่งยืน (SDGs Feasibility 2.7)</t>
        </is>
      </c>
      <c r="R5" s="26" t="inlineStr">
        <is>
          <t>ด้านความยั่งยืน (SDGs Feasibility 2.7)</t>
        </is>
      </c>
      <c r="S5" s="27" t="inlineStr">
        <is>
          <t>ผลรวมทุกมิติ (All Pillars)</t>
        </is>
      </c>
    </row>
    <row r="6" ht="80" customHeight="1">
      <c r="A6" s="25" t="inlineStr">
        <is>
          <t>คำถามทดสอบความเสี่ยงจริง (Stress-Test Question)</t>
        </is>
      </c>
      <c r="B6" s="28" t="inlineStr">
        <is>
          <t>ระดับการสร้างเองเทียบกับการซื้อสำเร็จรูป (Build vs. Buy Burden) ของสถาปัตยกรรมระบบตรวจประเมินท่อระบายน้ำ?</t>
        </is>
      </c>
      <c r="C6" s="28" t="inlineStr">
        <is>
          <t>สิทธิ์ในการเข้าถึงเทคโนโลยี ซอฟต์แวร์ และระบบนิเวศข้อมูล (Access &amp; Permissions) ของระบบตรวจประเมินท่อ?</t>
        </is>
      </c>
      <c r="D6" s="28" t="inlineStr">
        <is>
          <t>ระดับความพร้อมทางเทคโนโลยี (Base Performance / TRL) ในสภาพแวดล้อมจริงของท่อระบายน้ำใต้ดิน?</t>
        </is>
      </c>
      <c r="E6" s="28" t="inlineStr">
        <is>
          <t>ความพร้อมและกำลังคนสำรองของทีมงาน (Team Compatibility &amp; Redundancy / Anti-SPOF)?</t>
        </is>
      </c>
      <c r="F6" s="28" t="inlineStr">
        <is>
          <t>ความชันในการเรียนรู้และเวลาปรับตัวของทีมงาน (Learning Curve &amp; Ramp-up Time)?</t>
        </is>
      </c>
      <c r="G6" s="28" t="inlineStr">
        <is>
          <t>ระยะเวลาคืนทุนและความคุ้มค่าในการลงทุน (ROI / Payback Period) เทียบกับการขุดลอกแบบสุ่ม?</t>
        </is>
      </c>
      <c r="H6" s="28" t="inlineStr">
        <is>
          <t>การพึ่งพาผู้จำหน่ายและการผูกขาดชิ้นส่วนเฉพาะ (Component Dependency &amp; Vendor Lock-in)?</t>
        </is>
      </c>
      <c r="I6" s="28" t="inlineStr">
        <is>
          <t>วงเงินงบประมาณสำรองความเสียหายและการทำซ้ำ (Scrap Margin &amp; Iteration Allowance)?</t>
        </is>
      </c>
      <c r="J6" s="28" t="inlineStr">
        <is>
          <t>การปฏิบัติตามกฎหมายจราจร ความปลอดภัยในที่อับอากาศ และระเบียบพื้นที่สาธารณะ (Felony, Traffic &amp; Confined Space Compliance)?</t>
        </is>
      </c>
      <c r="K6" s="28" t="inlineStr">
        <is>
          <t>การปฏิบัติตามสัญญาอนุญาต ทรัพย์สินทางปัญญา และโอเพนซอร์ส (IP &amp; Software Licensing Compliance)?</t>
        </is>
      </c>
      <c r="L6" s="28" t="inlineStr">
        <is>
          <t>ผลกระทบและความรุนแรงเมื่อระบบเกิดความขัดข้องหรือติดค้าง (User — Failure Impact &amp; Stuck Hazards)?</t>
        </is>
      </c>
      <c r="M6" s="28" t="inlineStr">
        <is>
          <t>ความสอดคล้องกับพฤติกรรมเจ้าหน้าที่และขั้นตอนการทำงานเดิม (User — Workflow Friction &amp; Adoption)?</t>
        </is>
      </c>
      <c r="N6" s="28" t="inlineStr">
        <is>
          <t>การพึ่งพาห้องปฏิบัติการและขั้นตอนการขออนุมัติของนักพัฒนา (Developer — Lab &amp; Administrative Gatekeeping)?</t>
        </is>
      </c>
      <c r="O6" s="28" t="inlineStr">
        <is>
          <t>ความซับซ้อนของขั้นตอนการประกอบ ติดตั้ง และโปรแกรม (Developer — Setup Steps &amp; Pipeline Friction)?</t>
        </is>
      </c>
      <c r="P6" s="28" t="inlineStr">
        <is>
          <t>วุฒิภาวะของการออกแบบทางวิศวกรรมภายในกรอบเวลา 5 สัปดาห์ทำงาน (Engineering Design Maturity by 5 Weeks)?</t>
        </is>
      </c>
      <c r="Q6" s="28" t="inlineStr">
        <is>
          <t>การบูรณาการตามกรอบ Stockholm Wedding Cake (Biosphere, Society, Economy Integration)?</t>
        </is>
      </c>
      <c r="R6" s="28" t="inlineStr">
        <is>
          <t>ผลกระทบสิ่งแวดล้อม ขยะอิเล็กทรอนิกส์ และหลักเศรษฐกิจหมุนเวียน (E-Waste &amp; 'Do No Harm' — SDG 6.3/12.4)?</t>
        </is>
      </c>
      <c r="S6" s="29" t="inlineStr">
        <is>
          <t>ประเมินคำถามทั้งสิ้น 17 ข้อ</t>
        </is>
      </c>
    </row>
    <row r="7" ht="95" customHeight="1">
      <c r="A7" s="25" t="inlineStr">
        <is>
          <t>เหตุผลในการถาม &amp; โหมดความล้มเหลวที่เฝ้าระวัง (Rationale)</t>
        </is>
      </c>
      <c r="B7" s="28" t="inlineStr">
        <is>
          <t>ประเมินภาระการวิจัยและพัฒนาชิ้นส่วนกลไก อิเล็กทรอนิกส์ และอัลกอริทึม ป้องกันการเสียเวลากับงานประดิษฐ์ขึ้นใหม่โดยไม่จำเป็น</t>
        </is>
      </c>
      <c r="C7" s="28" t="inlineStr">
        <is>
          <t>ตรวจสอบข้อจำกัดด้านกรรมสิทธิ์ การล็อกสิทธิ์ใช้งาน และการอนุญาตเข้าถึง เพื่อป้องกันการพัฒนาระบบบนฐานข้อมูลที่ไม่สามารถเข้าถึงได้จริง</t>
        </is>
      </c>
      <c r="D7" s="28" t="inlineStr">
        <is>
          <t>วัดวุฒิภาวะของเทคโนโลยีว่าผ่านการพิสูจน์ในสภาพแวดล้อมใต้ดินที่มีความชื้น สารกัดกร่อน หรือน้ำขังจริงแล้วหรือไม่</t>
        </is>
      </c>
      <c r="E7" s="28" t="inlineStr">
        <is>
          <t>ตรวจสอบความเสี่ยงคอขวดบุคลากร (Single Point of Failure) ป้องกันไม่ให้โครงการหยุดชะงักหากผู้รับผิดชอบหลักไม่ว่าง</t>
        </is>
      </c>
      <c r="F7" s="28" t="inlineStr">
        <is>
          <t>ประเมินเวลาที่ทีมต้องใช้ในการเรียนรู้เครื่องมือหรือทฤษฎีใหม่ เพื่อไม่ให้กระทบต่อกำหนดการส่งมอบ 5 สัปดาห์</t>
        </is>
      </c>
      <c r="G7" s="28" t="inlineStr">
        <is>
          <t>วัดความคุ้มค่าทางการเงินและการประหยัดงบประมาณการลอกท่อของหน่วยงานภาครัฐเทียบกับ Baseline เดิม</t>
        </is>
      </c>
      <c r="H7" s="28" t="inlineStr">
        <is>
          <t>ตรวจสอบความเสี่ยงจากการพึ่งพาผู้ขายรายเดียว การผูกขาดชิ้นส่วนนำเข้า หรือค่าลิขสิทธิ์ซอฟต์แวร์รายปี</t>
        </is>
      </c>
      <c r="I7" s="28" t="inlineStr">
        <is>
          <t>ประเมินขีดความสามารถในการรับมือกับความเสียหายของอุปกรณ์และชิปที่อาจช็อตหรือเสียหายระหว่างการพัฒนา</t>
        </is>
      </c>
      <c r="J7" s="28" t="inlineStr">
        <is>
          <t>ตรวจสอบความเสี่ยงต่อการละเมิดกฎหมายจราจร กฎหมายความปลอดภัยในที่อับอากาศ และการปิดกั้นทางสัญจร</t>
        </is>
      </c>
      <c r="K7" s="28" t="inlineStr">
        <is>
          <t>ตรวจสอบสิทธิ์การใช้งานซอฟต์แวร์ ไลบรารี และสิทธิบัตร ป้องกันการฟ้องร้องละเมิดลิขสิทธิ์</t>
        </is>
      </c>
      <c r="L7" s="28" t="inlineStr">
        <is>
          <t>ประเมินความเสียหายต่อโครงสร้างพื้นฐาน ความปลอดภัยของเจ้าหน้าที่ และการกลายเป็นสิ่งกีดขวางในท่อระบายน้ำ</t>
        </is>
      </c>
      <c r="M7" s="28" t="inlineStr">
        <is>
          <t>ประเมินภาระการฝึกอบรม ความสะดวกในการพกพา และแรงต้านจากเจ้าหน้าที่ภาคสนามของ กทม.</t>
        </is>
      </c>
      <c r="N7" s="28" t="inlineStr">
        <is>
          <t>ประเมินอุปสรรคการเข้าถึงเครื่องมือ ช็อปเครื่องกล หรือการต้องรอคิวอนุมัติเอกสารของมหาวิทยาลัย</t>
        </is>
      </c>
      <c r="O7" s="28" t="inlineStr">
        <is>
          <t>ประเมินจำนวนขั้นตอนและความเปราะบางของเครื่องมือพัฒนา ป้องกันข้อผิดพลาดจากการตั้งค่าระบบที่ซับซ้อนเกินไป</t>
        </is>
      </c>
      <c r="P7" s="28" t="inlineStr">
        <is>
          <t>ทดสอบความเป็นไปได้ในการสร้างชิ้นงานให้สำเร็จตามเป้าหมาย TRL โดยหักสัปดาห์สอบมิดเทอมและไฟนอลออกแล้ว</t>
        </is>
      </c>
      <c r="Q7" s="28" t="inlineStr">
        <is>
          <t>ประเมินผลกระทบเชิงบวกที่ครอบคลุมทั้งด้านชีวมณฑล (SDG 6/14), สังคม (SDG 11) และเศรษฐกิจ (SDG 8/12)</t>
        </is>
      </c>
      <c r="R7" s="28" t="inlineStr">
        <is>
          <t>ตรวจสอบการป้องกันขยะอิเล็กทรอนิกส์ตกค้างในท่อระบายน้ำ สารพิษรั่วไหล และระบบกู้คืนอุปกรณ์ที่ปลอดภัย 100%</t>
        </is>
      </c>
      <c r="S7" s="29" t="inlineStr">
        <is>
          <t>สังเคราะห์จาก AI Agents Group 2</t>
        </is>
      </c>
    </row>
    <row r="8" ht="150" customHeight="1">
      <c r="A8" s="25" t="inlineStr">
        <is>
          <t>เกณฑ์การให้คะแนน (Scoring Rubric Definition: ระดับ 1, 2, 3, 4, 5 ครบทุกระดับ)</t>
        </is>
      </c>
      <c r="B8" s="28" t="inlineStr">
        <is>
          <t>1: ต้องวิจัยและสร้างขึ้นเองทั้งหมด 100% (ไม่มีพิมพ์เขียว อัลกอริทึม หรือไลบรารีอ้างอิง)
2: มีชิ้นส่วนหลักในท้องตลาด แต่ต้องดัดแปลงโครงสร้างอย่างหนักและเขียนโค้ดเชื่อมต่อเองทั้งหมด
3: บูรณาการชิ้นส่วน COTS เข้ากับแท่นยึดแบบกำหนดเอง และเขียนโค้ดเชื่อมต่อบางส่วน
4: ประกอบจากโมดูลมาตรฐานสำเร็จรูป (DIN-rail, I2C/CAN shields) มีงานประกอบกลไกเล็กน้อย
5: ซื้อมาติดตั้งใช้งานได้ทันที (Plug-and-Play) ไม่ต้องตัดกลึงหรือบัดกรีวงจรเพิ่มเติม</t>
        </is>
      </c>
      <c r="C8" s="28" t="inlineStr">
        <is>
          <t>1: ล็อกสิทธิ์ภายใต้สัญญา NDA ระบบปิด ติดไฟร์วอลล์องค์กร หรือไม่มีสิทธิ์เข้าถึงฝั่งนักพัฒนา
2: ซอฟต์แวร์หรือเฟิร์มแวร์กรรมสิทธิ์ปิด ทำงานแบบ Black-box โดยไม่มี Source Code หรือ Telemetry
3: บัญชีเพื่อการศึกษา/ทดลองใช้ที่มีโควตาหรือ Rate Limit เข้มงวด ต้องรอการอนุมัติอย่างเป็นทางการ
4: มี SDK หรือ Open API สาธารณะพร้อมเอกสารครบถ้วน แต่ไม่สามารถแก้ไขสถาปัตยกรรมระดับล่างได้
5: สถาปัตยกรรมเปิดสมบูรณ์ (Open Source/Open HW) ทีมงานมีสิทธิ์ระดับ Root/Admin เต็มรูปแบบ</t>
        </is>
      </c>
      <c r="D8" s="28" t="inlineStr">
        <is>
          <t>1: ระดับแนวคิด/สมการคณิตศาสตร์ (TRL 2–3) ทดสอบเฉพาะในห้องทดลองที่ควบคุมสภาพแวดล้อมได้
2: เบรดบอร์ดทำงานได้ในแล็บ (TRL 4) สายไฟเปราะบาง ยังไม่ผ่านการสอบเทียบในสภาพแวดล้อมจริง
3: ตัวต้นแบบประกอบลงกล่อง (TRL 5–6) ผ่านการทดสอบในสภาพแวดล้อมจำลอง ต้องมีคนคอยดูแล
4: ต้นแบบระดับพรีโปรดักชัน (TRL 7) ทำงานได้อย่างมีเสถียรภาพในสภาพแวดล้อมปฏิบัติงานจริง
5: ผลิตภัณฑ์เชิงพาณิชย์สมบูรณ์ (TRL 8–9) ผ่านการรับรองมาตรฐาน มีค่า MTBF ยืนยันความทนทาน</t>
        </is>
      </c>
      <c r="E8" s="28" t="inlineStr">
        <is>
          <t>1: พึ่งพาผู้เชี่ยวชาญเพียงคนเดียว (SPOF) หากไม่อยู่ โครงการหยุดชะงัก 100%
2: มีหัวหน้าโครงการ 1 คน และมีผู้ช่วยเข้าใจทฤษฎีแต่แก้โค้ดหรือซ่อมฮาร์ดแวร์แทนไม่ได้
3: มีคู่หลัก-รอง (Primary + Secondary) สามารถแก้ไขปัญหาและดูแลระบบแทนกันได้
4: สมาชิกตั้งแต่ 3 คนขึ้นไปสามารถร่วมพัฒนา ประกอบ และแก้ไขปัญหาระบบได้โดยตรง
5: สมาชิกทุกคนในทีมมีความเชี่ยวชาญเต็มรูปแบบ สามารถสลับงานแทนกันได้ทันทีอย่างไร้รอยต่อ</t>
        </is>
      </c>
      <c r="F8" s="28" t="inlineStr">
        <is>
          <t>1: ต้องเริ่มเรียนรู้ใหม่จากศูนย์ 100% ทั้งเครื่องมือ ภาษา และฮาร์ดแวร์ที่ไม่เคยใช้งานมาก่อน
2: มีพื้นฐานทฤษฎีแต่ขาดประสบการณ์จริง การติดตั้งและแก้บั๊กเบื้องต้นใช้เวลานานและติดขัด
3: มีความเชี่ยวชาญในเทคโนโลยีใกล้เคียง สามารถปรับตัวและเรียนรู้เพิ่มเติมได้ภายใน 1 สัปดาห์
4: คุ้นเคยกับเทคโนโลยีหลักอยู่แล้ว เพียงแค่เรียนรู้ไลบรารีหรือการตั้งค่าเฉพาะเพิ่มเติมเล็กน้อย
5: สามารถดึงโค้ดเก่า วงจรที่เคยทำ และประสบการณ์เดิมมาใช้งานได้ทันทีโดยไม่ต้องเรียนรู้ใหม่</t>
        </is>
      </c>
      <c r="G8" s="28" t="inlineStr">
        <is>
          <t>1: ระยะเวลาคืนทุนนานมาก (≥ 10 ปี) ต้นทุนเริ่มแรกสูงมากและแทบไม่มีผลประหยัดค่าใช้จ่าย
2: ระยะเวลาคืนทุนช้า (6–9 ปี) ใช้เงินลงทุนสูง ต้องอาศัยเงินอุดหนุนระยะยาวจึงจะคุ้มทุน
3: ระยะเวลาคืนทุนปานกลาง (3–5 ปี) ช่วยประหยัดค่าใช้จ่ายการปฏิบัติการในรอบปีงบประมาณปกติ
4: ระยะเวลาคืนทุนเร็ว (2–3 ปี) ลดค่าใช้จ่ายปฏิบัติการ (ค่าน้ำมัน แรงงาน เครื่องจักร) ได้อย่างมีนัยสำคัญ
5: คืนทุนทันที (≤ 1–2 ปี) ลดความสูญเสียจากน้ำท่วมและตัดรอบการลอกท่อที่ไม่จำเป็นได้ตั้งแต่ปีแรก</t>
        </is>
      </c>
      <c r="H8" s="28" t="inlineStr">
        <is>
          <t>1: ผูกขาดกับระบบปิด 100% ต้องใช้คลาวด์ หัวต่อ หรือเซนเซอร์เฉพาะจากผู้ผลิตรายเดียวเท่านั้น
2: พึ่งพาผู้ผลิตสูง ต้องใช้เครื่องมือตรวจวินิจฉัยเฉพาะหรือเสียค่าธรรมเนียมรายปีเพื่อใช้งาน
3: กึ่งอิสระ ฮาร์ดแวร์หลักเป็นระบบปิดแต่รองรับการส่งออกข้อมูลแบบเปิดและใช้อินเทอร์เฟซมาตรฐาน
4: มีความเป็นอิสระสูง ใช้โปรโตคอลสื่อสารมาตรฐาน (Modbus, MQTT, CAN) หาอะไหล่เทียบได้ง่าย
5: เป็นอิสระสมบูรณ์ 100% ใช้อุปกรณ์มาตรฐานทั่วไป สามารถซ่อมบำรุงและเปลี่ยนอะไหล่ได้เอง</t>
        </is>
      </c>
      <c r="I8" s="28" t="inlineStr">
        <is>
          <t>1: งบประมาณสำรอง 0% (ซื้อชุดเดียวพอดี) หากชิปไหม้หรืออุปกรณ์เสียหาย โครงการจะหยุดชะงักทันที
2: งบประมาณสำรอง 20–30% สำรองได้เฉพาะชิ้นส่วนพาสซีฟราคาถูก ไม่มีอะไหล่สำหรับเซนเซอร์หลัก
3: งบประมาณสำรอง 50% มีชิ้นส่วนพาสซีฟสำรองครบ และมีบอร์ดควบคุมหลักสำรอง 1 ชุด
4: งบประมาณสำรอง 80% มีอะไหล่สำรองเกือบครบทุกชิ้นส่วน รองรับการทดสอบพัง (Burn-in) ได้หลายรอบ
5: มีความพร้อมสำรองสมบูรณ์ (≥ 100%) งบประมาณครอบคลุมการสร้างตัวต้นแบบที่ทำงานได้ 2 ชุดพร้อมกัน</t>
        </is>
      </c>
      <c r="J8" s="28" t="inlineStr">
        <is>
          <t>1: ละเมิดกฎหมายโดยตรง (กีดขวางการจราจรสาธารณะร้ายแรง, ละเมิด PDPA รุนแรง, ส่งคลื่นรบกวนผิดกฎหมาย)
2: สุ่มเสี่ยงทางกฎหมายสูง อาจถูกร้องเรียนเรื่องปิดกั้นการจราจรหรือความปลอดภัย ต้องขอผ่อนผันซับซ้อน
3: มีเงื่อนไขทางกฎหมาย ต้องขออนุญาตเปิดฝาท่อและปิดช่องทางจราจรตามระเบียบของหน่วยงานเทศบาล
4: ผลกระทบทางกฎหมายต่ำ ปฏิบัติตามข้อยกเว้นงานวิศวกรรมสาธารณะทั่วไป ใช้เพียงการแจ้งเตือนความปลอดภัย
5: ได้รับการยกเว้นสมบูรณ์ 100% ไม่กีดขวางการจราจร ไม่เข้าข่ายที่อับอากาศ ไม่มีการเก็บข้อมูลส่วนบุคคล (Zero PII)</t>
        </is>
      </c>
      <c r="K8" s="28" t="inlineStr">
        <is>
          <t>1: ติดสัญญาอนุญาตเชิงพาณิชย์แบบปิด ไม่สามารถคอมไพล์ รัน หรือแจกจ่ายได้หากไม่จ่ายค่าลิขสิทธิ์ราคาแพง
2: สถานะทรัพย์สินทางปัญญาคลุมเครือ ไม่มีสัญญาอนุญาตระบุชัดเจน เสี่ยงต่อการถูกระงับเมื่อเปิดเผยต่อสาธารณะ
3: สัญญาอนุญาตแบบ Copyleft เข้มงวด (เช่น GPLv3) บังคับให้ต้องเปิดเผยโค้ดทั้งหมดหากมีการแจกจ่าย
4: สัญญาอนุญาตแบบผ่อนปรน (เช่น LGPL, CC-BY) ใช้งานและห่อหุ้มซอฟต์แวร์ได้โดยมีเงื่อนไขอ้างอิงแหล่งที่มา
5: โอเพนซอร์สสมบูรณ์ (MIT, Apache 2.0, BSD) หรือ Public Domain ใช้งานและต่อยอดได้อย่างอิสระ 100%</t>
        </is>
      </c>
      <c r="L8" s="28" t="inlineStr">
        <is>
          <t>1: เป็นอันตรายต่อชีวิต (ไฟฟ้าดูด เพลิงไหม้ อุบัติเหตุทางถนน สารพิษ หรือโครงสร้างท่อพังทลาย)
2: ก่อให้เกิดอันตรายทางกายภาพร้ายแรง อุปกรณ์ติดค้างกลายเป็นสิ่งอุดตันท่อ หรือระบบน้ำล้นฉับพลัน
3: เกิดความสับสนในการปฏิบัติงาน อุปกรณ์ขัดข้องต้องใช้เวลาหลายชั่วโมงในการกู้คืนหรือส่งทีมไปช่วย
4: เกิดความล่าช้าเล็กน้อย อุปกรณ์ตัดการทำงานอย่างปลอดภัย สามารถกู้คืนได้ตามขั้นตอนมาตรฐาน
5: ความเสียหายจำกัดเฉพาะงบประมาณ ไม่ส่งผลต่อความปลอดภัยหรือการไหลของน้ำ กู้คืนได้ทันที</t>
        </is>
      </c>
      <c r="M8" s="28" t="inlineStr">
        <is>
          <t>1: ขัดขวางขั้นตอนเดิมอย่างรุนแรง บังคับให้เจ้าหน้าที่ต้องเปลี่ยนวิธีทำงานทั้งหมดและกรอกเอกสารเพิ่มมากมาย
2: มีความฝืดสูง เพิ่มขั้นตอนการทำงานและต้องใช้อุปกรณ์เทอะทะ เจ้าหน้าที่มีแนวโน้มหลีกเลี่ยงการใช้งาน
3: ต้องปรับตัวปานกลาง ปรับเปลี่ยนขั้นตอนประจำวันเล็กน้อย ต้องฝึกอบรม 1–2 ครั้ง แต่ได้ผลลัพธ์คุ้มค่า
4: ความฝืดต่ำ บูรณาการเข้ากับเครื่องมือเดิมได้โดยตรง (ส่งค่าเข้า LINE/Dashboard) ปรับพฤติกรรมน้อยมาก
5: ราบรื่นไร้รอยต่อ 100% ทำงานอัตโนมัติในพื้นหลัง ลดภาระงานเอกสารและการลอกท่อเดิมของเจ้าหน้าที่</t>
        </is>
      </c>
      <c r="N8" s="28" t="inlineStr">
        <is>
          <t>1: ติดคอขวดขั้นตอนอนุมัติหนัก ห้องแล็บปิด ต้องลงนาม NDA หรือรอจัดซื้ออุปกรณ์หลายสัปดาห์
2: มีขั้นตอนราชการปานกลาง ต้องส่งแบบฟอร์มจองเครื่องมือล่วงหน้า และรออนุมัติ 3–5 วันทำการ
3: เข้าถึงได้ตามเวลาทำการปกติของมหาวิทยาลัย มีความล่าช้าเล็กน้อยในการเบิกใช้เครื่องมือเฉพาะทาง
4: มีอิสระสูง ทีมงานเข้าแล็บได้ตลอด มีสิทธิ์เขียนโค้ดลงบอร์ด และมีงบประมาณย่อยพร้อมใช้งานทันที
5: พัฒนาได้อย่างอิสระสมบูรณ์ 100% มีระบบ CI/CD บนคลาวด์และพัฒนาชิ้นงานได้เองที่บ้าน/หอพัก</t>
        </is>
      </c>
      <c r="O8" s="28" t="inlineStr">
        <is>
          <t>1: ซับซ้อนมาก มีขั้นตอนคอมไพล์และตั้งค่าหลายสิบขั้นตอน เสี่ยงต่อข้อผิดพลาดสูงมาก
2: ความซับซ้อนสูง ต้องใช้เครื่องมือหลายระดับ มีปัญหาความเข้ากันได้ของไลบรารีและแฟลชบอร์ดได้ยาก
3: ความซับซ้อนปานกลาง มีขั้นตอนประกอบและทดสอบตามคู่มือมาตรฐานที่บันทึกไว้ ทำซ้ำได้ไม่ยาก
4: ความซับซ้อนต่ำ ใช้สคริปต์อัตโนมัติ IDE มาตรฐาน หรือแฟลชเฟิร์มแวร์ด้วยคำสั่งเดียว
5: เรียบง่ายและตรงไปตรงมา เป็นระบบ Plug-and-Play ตั้งค่าขั้นตอนเดียวเสร็จสมบูรณ์</t>
        </is>
      </c>
      <c r="P8" s="28" t="inlineStr">
        <is>
          <t>1: ระดับแนวคิดเท่านั้น (แบบ 0%) มีเพียงภาพสเก็ตช์ ยังไม่มีโมเดล 3D วงจร หรือเฟิร์มแวร์ใดๆ
2: แบบร่างเบื้องต้น (แบบ 25%) มีบล็อกไดอะแกรม วงจรร่างมือ รายการชิ้นส่วนที่ยังไม่ยืนยัน และกล่อง 3D คร่าวๆ
3: วุฒิภาวะปานกลาง (แบบ 50%) แอสเซมบลี CAD ครบ วาดวงจรเสร็จ และวางโครงสร้างเฟิร์มแวร์แล้ว
4: พร้อมผลิตเบื้องต้น (แบบ 75–80%) ไฟล์ CAD พร้อมพิมพ์ 3D/CNC และไฟล์ PCB Gerber ผ่านการตรวจ DRC
5: แบบสมบูรณ์พร้อมผลิต 100% มีเอกสารสั่งผลิตครบ พิกัดความเผื่อ CAD แน่นอน และสคริปต์แฟลชพร้อมทำงาน</t>
        </is>
      </c>
      <c r="Q8" s="28" t="inlineStr">
        <is>
          <t>1: หลุดจากกรอบ Wedding Cake หรือสร้างผลกระทบเชิงลบอย่างรุนแรงต่อสิ่งแวดล้อมหรือสุขอนามัย
2: สัมผัสเพียง 1 เสาหลักอย่างผิวเผิน ขาดการเชื่อมโยงเชิงประจักษ์ไปยังสังคมหรือสิ่งแวดล้อมจริง
3: ครอบคลุม 1 เสาหลักอย่างเป็นรูปธรรม หรือเริ่มแตะ 2 เสาหลักแบบมีข้อจำกัดเฉพาะจุด
4: บูรณาการ 2 เสาหลักสำคัญอย่างมีนัยสำคัญ (เช่น Biosphere + Society) พร้อมตัวชี้วัดรองรับ
5: บูรณาการครบทั้ง 3 เสาหลักของ Wedding Cake อย่างสมบูรณ์ (Biosphere, Society, Economy)</t>
        </is>
      </c>
      <c r="R8" s="28" t="inlineStr">
        <is>
          <t>1: ก่อให้เกิดอันตรายจากสารพิษ แบตเตอรี่รั่วไหล หรืออุปกรณ์หลุดลอยลงสู่แหล่งน้ำสาธารณะเป็นขยะมลพิษ
2: อายุการใช้งานสั้น เซนเซอร์สึกกร่อนหรือเสียหายภายใน 2–3 สัปดาห์ และยากต่อการเก็บกู้คืน
3: มีขยะอิเล็กทรอนิกส์ตามมาตรฐาน ต้องเปลี่ยนแบตเตอรี่เป็นรอบๆ แต่มีสายโยงป้องกันการสูญหายในท่อ
4: ตัวกล่องทนทาน ใช้พลังงานต่ำ ใช้วัสดุรีไซเคิลได้ และมีสลิงสแตนเลสคู่ป้องกันการหลุดหาย
5: หมุนเวียนสมบูรณ์และไร้รอยเท้าสิ่งแวดล้อม กู้คืนได้ 100% จากผิวดิน ใช้วัสดุไม่เป็นพิษและไม่ทิ้งขยะตกค้าง</t>
        </is>
      </c>
      <c r="S8" s="29" t="inlineStr">
        <is>
          <t>เกณฑ์รวม: &gt;=80 ผ่านสูง, &gt;=60 มีเงื่อนไข, &lt;60 เสี่ยงสูง | หากมีข้อใดได้ 1 = VETOED ตกเกณฑ์ทันที</t>
        </is>
      </c>
    </row>
    <row r="9" ht="36" customHeight="1">
      <c r="A9" s="30" t="inlineStr">
        <is>
          <t>คะแนนที่ได้รับ (ASSIGNED SCORE: 1, 2, 3, 4, 5 STRICT INTEGER)</t>
        </is>
      </c>
      <c r="B9" s="31" t="n">
        <v>3</v>
      </c>
      <c r="C9" s="31" t="n">
        <v>5</v>
      </c>
      <c r="D9" s="31" t="n">
        <v>3</v>
      </c>
      <c r="E9" s="31" t="n">
        <v>4</v>
      </c>
      <c r="F9" s="31" t="n">
        <v>4</v>
      </c>
      <c r="G9" s="31" t="n">
        <v>4</v>
      </c>
      <c r="H9" s="31" t="n">
        <v>5</v>
      </c>
      <c r="I9" s="31" t="n">
        <v>4</v>
      </c>
      <c r="J9" s="31" t="n">
        <v>3</v>
      </c>
      <c r="K9" s="31" t="n">
        <v>5</v>
      </c>
      <c r="L9" s="31" t="n">
        <v>5</v>
      </c>
      <c r="M9" s="31" t="n">
        <v>3</v>
      </c>
      <c r="N9" s="31" t="n">
        <v>5</v>
      </c>
      <c r="O9" s="31" t="n">
        <v>4</v>
      </c>
      <c r="P9" s="31" t="n">
        <v>4</v>
      </c>
      <c r="Q9" s="31" t="n">
        <v>5</v>
      </c>
      <c r="R9" s="31" t="n">
        <v>5</v>
      </c>
      <c r="S9" s="32">
        <f>IF(S10&gt;0, (S11/S10)*20, 0)</f>
        <v/>
      </c>
    </row>
    <row r="10" ht="22" customHeight="1">
      <c r="A10" s="25" t="inlineStr">
        <is>
          <t>ค่าน้ำหนัก (Weight %)</t>
        </is>
      </c>
      <c r="B10" s="33" t="n">
        <v>0.04</v>
      </c>
      <c r="C10" s="33" t="n">
        <v>0.04</v>
      </c>
      <c r="D10" s="33" t="n">
        <v>0.04</v>
      </c>
      <c r="E10" s="33" t="n">
        <v>0.04</v>
      </c>
      <c r="F10" s="33" t="n">
        <v>0.04</v>
      </c>
      <c r="G10" s="33" t="n">
        <v>0.0667</v>
      </c>
      <c r="H10" s="33" t="n">
        <v>0.0667</v>
      </c>
      <c r="I10" s="33" t="n">
        <v>0.06660000000000001</v>
      </c>
      <c r="J10" s="33" t="n">
        <v>0.075</v>
      </c>
      <c r="K10" s="33" t="n">
        <v>0.075</v>
      </c>
      <c r="L10" s="33" t="n">
        <v>0.05</v>
      </c>
      <c r="M10" s="33" t="n">
        <v>0.05</v>
      </c>
      <c r="N10" s="33" t="n">
        <v>0.05</v>
      </c>
      <c r="O10" s="33" t="n">
        <v>0.05</v>
      </c>
      <c r="P10" s="33" t="n">
        <v>0.15</v>
      </c>
      <c r="Q10" s="33" t="n">
        <v>0.05</v>
      </c>
      <c r="R10" s="33" t="n">
        <v>0.05</v>
      </c>
      <c r="S10" s="33">
        <f>SUM(B10:R10)</f>
        <v/>
      </c>
    </row>
    <row r="11" ht="24" customHeight="1">
      <c r="A11" s="25" t="inlineStr">
        <is>
          <t>คะแนนถ่วงน้ำหนัก (=Score * Weight)</t>
        </is>
      </c>
      <c r="B11" s="34">
        <f>B9*B10</f>
        <v/>
      </c>
      <c r="C11" s="34">
        <f>C9*C10</f>
        <v/>
      </c>
      <c r="D11" s="34">
        <f>D9*D10</f>
        <v/>
      </c>
      <c r="E11" s="34">
        <f>E9*E10</f>
        <v/>
      </c>
      <c r="F11" s="34">
        <f>F9*F10</f>
        <v/>
      </c>
      <c r="G11" s="34">
        <f>G9*G10</f>
        <v/>
      </c>
      <c r="H11" s="34">
        <f>H9*H10</f>
        <v/>
      </c>
      <c r="I11" s="34">
        <f>I9*I10</f>
        <v/>
      </c>
      <c r="J11" s="34">
        <f>J9*J10</f>
        <v/>
      </c>
      <c r="K11" s="34">
        <f>K9*K10</f>
        <v/>
      </c>
      <c r="L11" s="34">
        <f>L9*L10</f>
        <v/>
      </c>
      <c r="M11" s="34">
        <f>M9*M10</f>
        <v/>
      </c>
      <c r="N11" s="34">
        <f>N9*N10</f>
        <v/>
      </c>
      <c r="O11" s="34">
        <f>O9*O10</f>
        <v/>
      </c>
      <c r="P11" s="34">
        <f>P9*P10</f>
        <v/>
      </c>
      <c r="Q11" s="34">
        <f>Q9*Q10</f>
        <v/>
      </c>
      <c r="R11" s="34">
        <f>R9*R10</f>
        <v/>
      </c>
      <c r="S11" s="34">
        <f>SUM(B11:R11)</f>
        <v/>
      </c>
    </row>
    <row r="12" ht="115" customHeight="1">
      <c r="A12" s="25" t="inlineStr">
        <is>
          <t>คำอธิบาย &amp; หลักฐานอ้างอิงจากไฟล์ Intake (Evidence Citation)</t>
        </is>
      </c>
      <c r="B12" s="28" t="inlineStr">
        <is>
          <t>solution-details/solution-2.md lines 33-36; combines standard COTS compression driver horn, precision condenser mic, MAX98357 I2S audio amp, and ESP32 with 3D printed manhole acoustic baffles.</t>
        </is>
      </c>
      <c r="C12" s="28" t="inlineStr">
        <is>
          <t>solution-details/solution-2.md lines 27-36; open-source audio DSP algorithms, public EPA SL-RAT mathematical standards, standard Python/SciPy signal processing libraries, and full root developer control on ESP32/STM32.</t>
        </is>
      </c>
      <c r="D12" s="28" t="inlineStr">
        <is>
          <t>solution-details/solution-2.md lines 31, 38-42; Acoustic inspection (SL-RAT) is an EPA-verified commercial standard (TRL 7-8) worldwide. However, in Bangkok's combined sewer system with permanent 10-30% dry-weather standing water, custom student prototype operates at TRL 5-6 requiring water-level compensation baseline calibration.</t>
        </is>
      </c>
      <c r="E12" s="28" t="inlineStr">
        <is>
          <t>team-skills/due.md, jk.md, kin.md; Due has verified hardware experience building MAX98357 audio amp &amp; ESP32 circuits; JK handles DSP math &amp; Fourier analysis; Kin handles data ingestion &amp; scoring backend.</t>
        </is>
      </c>
      <c r="F12" s="28" t="inlineStr">
        <is>
          <t>team-skills/due.md, jk.md; team has built audio amplifiers and implemented DSP bandpass filtering in previous projects; ramp-up only requires configuring I2S audio sampling and attenuation lookup tables.</t>
        </is>
      </c>
      <c r="G12" s="28" t="inlineStr">
        <is>
          <t>solution-details/solution-2.md lines 6-7, 38; 2-person crew inspects 2–3 km/day in under 3 minutes per segment. In Bangkok context, covers ~65-75% of gravity lateral drainage networks (excluding 100% submerged siphon lines), achieving fast payback in 2-3 years.</t>
        </is>
      </c>
      <c r="H12" s="28" t="inlineStr">
        <is>
          <t>solution-details/solution-2.md lines 33-36; 100% generic electronic and acoustic components (compression driver speaker, condenser mic, ESP32); self-serviceable by any engineer with zero proprietary vendor lock-in.</t>
        </is>
      </c>
      <c r="I12" s="28" t="inlineStr">
        <is>
          <t>team-skills/due.md; total hardware BOM for audio driver, mic capsule, amplifier, and ESP32 is very low (&lt; 3,000 THB total), allowing the team to purchase 3x full sets of backup components comfortably.</t>
        </is>
      </c>
      <c r="J12" s="28" t="inlineStr">
        <is>
          <t>solution-details/solution-2.md lines 27-29; requires opening manhole covers for 3 minutes from sidewalk/road edge; rapid turnaround substantially lowers traffic impact compared to rovers, but requires standard municipal maintenance protocol.</t>
        </is>
      </c>
      <c r="K12" s="28" t="inlineStr">
        <is>
          <t>solution-details/solution-2.md lines 31, 34-36; EPA SL-RAT acoustic inspection methodology and mathematical attenuation formulations are in the public domain and widely published in academic literature; open-source SciPy algorithms.</t>
        </is>
      </c>
      <c r="L12" s="28" t="inlineStr">
        <is>
          <t>solution-details/solution-2.md lines 27-29, 39; system operates strictly from the surface above the wastewater line; if battery dies or audio fails, the operator simply pulls up the pole; zero risk of blocking pipe.</t>
        </is>
      </c>
      <c r="M12" s="28" t="inlineStr">
        <is>
          <t>solution-details/solution-2.md lines 27-31, 41-42; Lightweight handheld poles take &lt; 3 minutes per manhole pair, but field crews must follow a simple triage protocol: deploy on gravity pipes with air headspace and avoid 100% submerged inverted siphons.</t>
        </is>
      </c>
      <c r="N12" s="28" t="inlineStr">
        <is>
          <t>team-skills/due.md, jk.md; audio circuitry and DSP code development can be tested entirely on dorm/lab bench using PVC pipe sections with zero machine shop gatekeeping.</t>
        </is>
      </c>
      <c r="O12" s="28" t="inlineStr">
        <is>
          <t>solution-details/solution-2.md lines 27-36; straightforward transmitter-receiver setup with standard ESP32 Arduino/PlatformIO toolchain and automated signal analysis script.</t>
        </is>
      </c>
      <c r="P12" s="28" t="inlineStr">
        <is>
          <t>schedule-details/schedule.md lines 8-15; electronic schematics and acoustic software can be finalized in 2 weeks; breadboard PoC achievable before midterm with production testing in Weeks 11-13.</t>
        </is>
      </c>
      <c r="Q12" s="28" t="inlineStr">
        <is>
          <t>solution-details/solution-2.md lines 6-10; completely unites Biosphere (SDG 6.3 preventing sewer blockages and dirty overflow), Society (SDG 11.5 urban flood mitigation), and Economy (SDG 8.2 &amp; 12.2 optimizing municipal maintenance resources).</t>
        </is>
      </c>
      <c r="R12" s="28" t="inlineStr">
        <is>
          <t>solution-details/solution-2.md lines 38-40; 100% fail-safe surface retrieval; zero electronic components or toxic batteries enter wastewater; ultra-low power consumption with rechargeable lithium cells.</t>
        </is>
      </c>
      <c r="S12" s="35">
        <f>IF(MIN(B9:R9)=1, "VETOED / ตกเกณฑ์ข้อบังคับวิกฤต (คะแนนระดับ 1)", IF(S9&gt;=80, "ผ่านเกณฑ์ระดับสูง (HIGHLY VIABLE)", IF(S9&gt;=60, "ผ่านแบบมีเงื่อนไข (CONDITIONALLY VIABLE)", "ความเสี่ยงสูง (HIGH RISK)")))</f>
        <v/>
      </c>
    </row>
    <row r="13" ht="70" customHeight="1">
      <c r="A13" s="25" t="inlineStr">
        <is>
          <t>แผนลดขอบเขตงาน &amp; มาตรการลดความเสี่ยง (De-scoping Action)</t>
        </is>
      </c>
      <c r="B13" s="28" t="inlineStr">
        <is>
          <t>Use 3D printed acoustic waveguide horns and standard off-the-shelf portable telescoping painter poles.</t>
        </is>
      </c>
      <c r="C13" s="28" t="inlineStr">
        <is>
          <t>Implement standard swept-sine excitation and bandpass filtering using open-source Python SciPy signal libraries.</t>
        </is>
      </c>
      <c r="D13" s="28" t="inlineStr">
        <is>
          <t>Calibrate swept-sine frequency band (500 Hz - 4 kHz) with water surface boundary reflection baseline in simulated pipe test rig.</t>
        </is>
      </c>
      <c r="E13" s="28" t="inlineStr">
        <is>
          <t>Due leads hardware assembly while JK and Kin develop audio playback and signal processing scripts in parallel.</t>
        </is>
      </c>
      <c r="F13" s="28" t="inlineStr">
        <is>
          <t>Reuse Due's verified ESP32 I2S audio driver code from past embedded projects directly.</t>
        </is>
      </c>
      <c r="G13" s="28" t="inlineStr">
        <is>
          <t>Prioritize deployment on roadside gravity laterals to maximize ROI before storm season.</t>
        </is>
      </c>
      <c r="H13" s="28" t="inlineStr">
        <is>
          <t>Maintain bill of materials strictly with generic electronic parts purchasable across multiple local vendors.</t>
        </is>
      </c>
      <c r="I13" s="28" t="inlineStr">
        <is>
          <t>Order 3 sets of ESP32 and audio breakout boards in a single batch to safeguard against bench testing mishaps.</t>
        </is>
      </c>
      <c r="J13" s="28" t="inlineStr">
        <is>
          <t>Conduct initial field verification on university campus manholes with faculty permission.</t>
        </is>
      </c>
      <c r="K13" s="28" t="inlineStr">
        <is>
          <t>Cite EPA research documentation and standard acoustic wave attenuation references in the project report.</t>
        </is>
      </c>
      <c r="L13" s="28" t="inlineStr">
        <is>
          <t>Add a simple LED status indicator and battery voltage buzzer to alert operators when battery is low.</t>
        </is>
      </c>
      <c r="M13" s="28" t="inlineStr">
        <is>
          <t>Include a 1-page visual decision chart for field crews to verify manhole water level before acoustic transmission.</t>
        </is>
      </c>
      <c r="N13" s="28" t="inlineStr">
        <is>
          <t>Construct a 6-meter PVC pipe test rig on bench for rapid acoustic calibration.</t>
        </is>
      </c>
      <c r="O13" s="28" t="inlineStr">
        <is>
          <t>Use a single PlatformIO configuration file with automated library dependency management.</t>
        </is>
      </c>
      <c r="P13" s="28" t="inlineStr">
        <is>
          <t>Lock acoustic horn 3D print dimensions by Week 9 to allow parallel firmware and DSP development.</t>
        </is>
      </c>
      <c r="Q13" s="28" t="inlineStr">
        <is>
          <t>Include carbon footprint reduction calculation resulting from avoided diesel jetting truck runs.</t>
        </is>
      </c>
      <c r="R13" s="28" t="inlineStr">
        <is>
          <t>Use recyclable PETG casing and standardized rechargeable 18650 battery cells.</t>
        </is>
      </c>
      <c r="S13" s="27" t="inlineStr">
        <is>
          <t>ปฏิบัติตามแผนลดขอบเขตงาน (De-scoping Advisory)</t>
        </is>
      </c>
    </row>
    <row r="14" ht="15" customHeight="1"/>
    <row r="15" ht="26" customHeight="1">
      <c r="A15" s="21" t="inlineStr">
        <is>
          <t>ตารางสรุปคะแนนแยกตามมิติ TELOS+S (Pillar Score Breakdown)</t>
        </is>
      </c>
    </row>
    <row r="16" ht="24" customHeight="1">
      <c r="A16" s="36" t="inlineStr">
        <is>
          <t>มิติการประเมิน (TELOS+S Pillar)</t>
        </is>
      </c>
      <c r="B16" s="36" t="inlineStr">
        <is>
          <t>สัดส่วนน้ำหนัก (Weight %)</t>
        </is>
      </c>
      <c r="C16" s="36" t="inlineStr">
        <is>
          <t>คะแนนเต็มมิติ (Max Points)</t>
        </is>
      </c>
      <c r="D16" s="36" t="inlineStr">
        <is>
          <t>คะแนนที่ได้รับจริง (Earned Points)</t>
        </is>
      </c>
      <c r="E16" s="36" t="inlineStr">
        <is>
          <t>คะแนนเฉลี่ย (Score 1-5)</t>
        </is>
      </c>
      <c r="F16" s="36" t="inlineStr">
        <is>
          <t>ระดับความพร้อม (Readiness Level)</t>
        </is>
      </c>
    </row>
    <row r="17" ht="22" customHeight="1">
      <c r="A17" s="37" t="inlineStr">
        <is>
          <t>T : ด้านเทคโนโลยีและวิศวกรรม (Technical)</t>
        </is>
      </c>
      <c r="B17" s="38" t="n">
        <v>0.2</v>
      </c>
      <c r="C17" s="39" t="n">
        <v>20</v>
      </c>
      <c r="D17" s="40">
        <f>SUM(B11:F11)*20</f>
        <v/>
      </c>
      <c r="E17" s="41">
        <f>IF(C17&gt;0, (D17/C17)*5, 0)</f>
        <v/>
      </c>
      <c r="F17" s="27">
        <f>IF(D17&gt;=16.0, "พร้อมระดับสูง (High)", IF(D17&gt;=12.0, "ปานกลาง (Medium)", "เสี่ยงวิกฤต (Critical)"))</f>
        <v/>
      </c>
    </row>
    <row r="18" ht="22" customHeight="1">
      <c r="A18" s="37" t="inlineStr">
        <is>
          <t>E : ด้านเศรษฐศาสตร์และความคุ้มค่า (Economic)</t>
        </is>
      </c>
      <c r="B18" s="38" t="n">
        <v>0.2</v>
      </c>
      <c r="C18" s="39" t="n">
        <v>20</v>
      </c>
      <c r="D18" s="40">
        <f>SUM(G11:I11)*20</f>
        <v/>
      </c>
      <c r="E18" s="41">
        <f>IF(C18&gt;0, (D18/C18)*5, 0)</f>
        <v/>
      </c>
      <c r="F18" s="27">
        <f>IF(D18&gt;=16.0, "พร้อมระดับสูง (High)", IF(D18&gt;=12.0, "ปานกลาง (Medium)", "เสี่ยงวิกฤต (Critical)"))</f>
        <v/>
      </c>
    </row>
    <row r="19" ht="22" customHeight="1">
      <c r="A19" s="37" t="inlineStr">
        <is>
          <t>L : ด้านกฎหมาย ระเบียบ และภาคประชาชน (Legal &amp; Outreach)</t>
        </is>
      </c>
      <c r="B19" s="38" t="n">
        <v>0.15</v>
      </c>
      <c r="C19" s="39" t="n">
        <v>15</v>
      </c>
      <c r="D19" s="40">
        <f>SUM(J11:K11)*20</f>
        <v/>
      </c>
      <c r="E19" s="41">
        <f>IF(C19&gt;0, (D19/C19)*5, 0)</f>
        <v/>
      </c>
      <c r="F19" s="27">
        <f>IF(D19&gt;=12.0, "พร้อมระดับสูง (High)", IF(D19&gt;=9.0, "ปานกลาง (Medium)", "เสี่ยงวิกฤต (Critical)"))</f>
        <v/>
      </c>
    </row>
    <row r="20" ht="22" customHeight="1">
      <c r="A20" s="37" t="inlineStr">
        <is>
          <t>O : ด้านการปฏิบัติการและหน้างาน (Operational)</t>
        </is>
      </c>
      <c r="B20" s="38" t="n">
        <v>0.2</v>
      </c>
      <c r="C20" s="39" t="n">
        <v>20</v>
      </c>
      <c r="D20" s="40">
        <f>SUM(L11:O11)*20</f>
        <v/>
      </c>
      <c r="E20" s="41">
        <f>IF(C20&gt;0, (D20/C20)*5, 0)</f>
        <v/>
      </c>
      <c r="F20" s="27">
        <f>IF(D20&gt;=16.0, "พร้อมระดับสูง (High)", IF(D20&gt;=12.0, "ปานกลาง (Medium)", "เสี่ยงวิกฤต (Critical)"))</f>
        <v/>
      </c>
    </row>
    <row r="21" ht="22" customHeight="1">
      <c r="A21" s="37" t="inlineStr">
        <is>
          <t>S : ด้านแผนงานและเวลาส่งมอบ (Schedule)</t>
        </is>
      </c>
      <c r="B21" s="38" t="n">
        <v>0.15</v>
      </c>
      <c r="C21" s="39" t="n">
        <v>15</v>
      </c>
      <c r="D21" s="40">
        <f>P11*20</f>
        <v/>
      </c>
      <c r="E21" s="41">
        <f>IF(C21&gt;0, (D21/C21)*5, 0)</f>
        <v/>
      </c>
      <c r="F21" s="27">
        <f>IF(D21&gt;=12.0, "พร้อมระดับสูง (High)", IF(D21&gt;=9.0, "ปานกลาง (Medium)", "เสี่ยงวิกฤต (Critical)"))</f>
        <v/>
      </c>
    </row>
    <row r="22" ht="22" customHeight="1">
      <c r="A22" s="37" t="inlineStr">
        <is>
          <t>+S : ด้านความยั่งยืนและสิ่งแวดล้อม (Sustainability / SDG)</t>
        </is>
      </c>
      <c r="B22" s="38" t="n">
        <v>0.1</v>
      </c>
      <c r="C22" s="39" t="n">
        <v>10</v>
      </c>
      <c r="D22" s="40">
        <f>SUM(Q11:R11)*20</f>
        <v/>
      </c>
      <c r="E22" s="41">
        <f>IF(C22&gt;0, (D22/C22)*5, 0)</f>
        <v/>
      </c>
      <c r="F22" s="27">
        <f>IF(D22&gt;=8.0, "พร้อมระดับสูง (High)", IF(D22&gt;=6.0, "ปานกลาง (Medium)", "เสี่ยงวิกฤต (Critical)"))</f>
        <v/>
      </c>
    </row>
    <row r="23" ht="26" customHeight="1">
      <c r="A23" s="42" t="inlineStr">
        <is>
          <t>คะแนนรวมทุกมิติ (Total Feasibility Score)</t>
        </is>
      </c>
      <c r="B23" s="33">
        <f>SUM(B17:B22)</f>
        <v/>
      </c>
      <c r="C23" s="43">
        <f>SUM(C17:C22)</f>
        <v/>
      </c>
      <c r="D23" s="44">
        <f>SUM(D17:D22)</f>
        <v/>
      </c>
      <c r="E23" s="34">
        <f>IF(C23&gt;0, (D23/C23)*5, 0)</f>
        <v/>
      </c>
      <c r="F23" s="45">
        <f>IF(D23&gt;=80, "ผ่านเกณฑ์ระดับสูง (HIGHLY VIABLE)", IF(D23&gt;=60, "ผ่านแบบมีเงื่อนไข (CONDITIONALLY VIABLE)", "ความเสี่ยงสูง (HIGH RISK)"))</f>
        <v/>
      </c>
    </row>
    <row r="24" ht="12" customHeight="1"/>
    <row r="25" ht="26" customHeight="1">
      <c r="A25" s="21" t="inlineStr">
        <is>
          <t>เมทริกซ์ประเมินความเข้ากันได้กับองค์ความรู้ด้านวิศวกรรมหุ่นยนต์ (Robotics Knowledge Compatibility)</t>
        </is>
      </c>
    </row>
    <row r="26" ht="22" customHeight="1">
      <c r="A26" s="22" t="inlineStr">
        <is>
          <t>* หมายเหตุ: การประเมินส่วนนี้วัดศักยภาพในการประยุกต์ใช้องค์ความรู้ด้านวิศวกรรมหุ่นยนต์ (Perception, Control, Actuation) เต็ม 12 คะแนน (แกนละ 4 คะแนน) | เป็นเอกเทศ ไม่นับรวมในคะแนน TELOS 100 คะแนน</t>
        </is>
      </c>
    </row>
    <row r="27" ht="24" customHeight="1">
      <c r="A27" s="46" t="inlineStr">
        <is>
          <t>มิติการประเมิน (Robotics Dimension)</t>
        </is>
      </c>
      <c r="B27" s="46" t="inlineStr">
        <is>
          <t>คะแนนศักยภาพ (/12)</t>
        </is>
      </c>
      <c r="C27" s="46" t="inlineStr">
        <is>
          <t>แกน Perception &amp; Sensing (การรับรู้)</t>
        </is>
      </c>
      <c r="D27" s="46" t="inlineStr">
        <is>
          <t>แกน Control &amp; Algorithms (การควบคุม)</t>
        </is>
      </c>
      <c r="E27" s="46" t="inlineStr">
        <is>
          <t>แกน Actuation &amp; Mechanisms (กลไก)</t>
        </is>
      </c>
      <c r="F27" s="46" t="inlineStr">
        <is>
          <t>บทวิเคราะห์เชิงวิศวกรรมหุ่นยนต์ (FIBO Alignment Rationale)</t>
        </is>
      </c>
    </row>
    <row r="28" ht="95" customHeight="1">
      <c r="A28" s="47" t="inlineStr">
        <is>
          <t>ศักยภาพการประยุกต์ใช้องค์ความรู้หุ่นยนต์และระบบอัตโนมัติ</t>
        </is>
      </c>
      <c r="B28" s="48" t="n">
        <v>8.5</v>
      </c>
      <c r="C28" s="28" t="inlineStr">
        <is>
          <t>Score 3.5/4.0: Active airborne acoustic reflectometry transducer, swept-sine/chirp acoustic wave excitation, and precision condenser microphone array capturing acoustic impulse response.</t>
        </is>
      </c>
      <c r="D28" s="28" t="inlineStr">
        <is>
          <t>Score 3.5/4.0: Digital signal processing (DSP), acoustic energy attenuation deconvolution, spectral bandpass filtering, and automated 0-10 EPA SL-RAT cleanliness score generation.</t>
        </is>
      </c>
      <c r="E28" s="28" t="inlineStr">
        <is>
          <t>Score 1.5/4.0: High-output acoustic compression driver transducer with telescoping manhole deployment rig; non-mobile surface-operated payload.</t>
        </is>
      </c>
      <c r="F28" s="28" t="inlineStr">
        <is>
          <t>Solution 2 represents an advanced non-destructive testing (NDT) acoustic instrumentation payload with deep digital signal processing, acoustic wave physics modeling, and automated scoring classification, closely aligning with FIBO instrumentation and embedded DSP curriculum.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8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36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  <col width="36" customWidth="1" min="8" max="8"/>
    <col width="36" customWidth="1" min="9" max="9"/>
    <col width="36" customWidth="1" min="10" max="10"/>
    <col width="36" customWidth="1" min="11" max="11"/>
    <col width="36" customWidth="1" min="12" max="12"/>
    <col width="36" customWidth="1" min="13" max="13"/>
    <col width="36" customWidth="1" min="14" max="14"/>
    <col width="36" customWidth="1" min="15" max="15"/>
    <col width="36" customWidth="1" min="16" max="16"/>
    <col width="36" customWidth="1" min="17" max="17"/>
    <col width="36" customWidth="1" min="18" max="18"/>
    <col width="36" customWidth="1" min="19" max="19"/>
  </cols>
  <sheetData>
    <row r="1">
      <c r="A1" s="21" t="inlineStr">
        <is>
          <t>เมทริกซ์ประเมินความเป็นไปได้เชิงระบบ TELOS+S: Pipe Inspection Instrument using Sonar Frequency Profiling attaching with Robot (360° Underwater Sonar Scan + Floater/Crawler)</t>
        </is>
      </c>
    </row>
    <row r="2">
      <c r="A2" s="22" t="inlineStr">
        <is>
          <t>ระบบคะแนนจำนวนเต็มเด็ดขาด: 1, 2, 3, 4, 5 เท่านั้น (ไม่มีจุดทศนิยม / ไม่มี 0.5) | โครงสร้างแบบ Transposed แนวนอน</t>
        </is>
      </c>
    </row>
    <row r="4" ht="24" customHeight="1">
      <c r="A4" s="23" t="inlineStr">
        <is>
          <t>รหัสคำถาม (Question Code)</t>
        </is>
      </c>
      <c r="B4" s="24" t="inlineStr">
        <is>
          <t>T-01</t>
        </is>
      </c>
      <c r="C4" s="24" t="inlineStr">
        <is>
          <t>T-02</t>
        </is>
      </c>
      <c r="D4" s="24" t="inlineStr">
        <is>
          <t>T-03</t>
        </is>
      </c>
      <c r="E4" s="24" t="inlineStr">
        <is>
          <t>T-04</t>
        </is>
      </c>
      <c r="F4" s="24" t="inlineStr">
        <is>
          <t>T-05</t>
        </is>
      </c>
      <c r="G4" s="24" t="inlineStr">
        <is>
          <t>E-01</t>
        </is>
      </c>
      <c r="H4" s="24" t="inlineStr">
        <is>
          <t>E-02</t>
        </is>
      </c>
      <c r="I4" s="24" t="inlineStr">
        <is>
          <t>E-03</t>
        </is>
      </c>
      <c r="J4" s="24" t="inlineStr">
        <is>
          <t>L-01</t>
        </is>
      </c>
      <c r="K4" s="24" t="inlineStr">
        <is>
          <t>L-02</t>
        </is>
      </c>
      <c r="L4" s="24" t="inlineStr">
        <is>
          <t>O-01</t>
        </is>
      </c>
      <c r="M4" s="24" t="inlineStr">
        <is>
          <t>O-02</t>
        </is>
      </c>
      <c r="N4" s="24" t="inlineStr">
        <is>
          <t>O-03</t>
        </is>
      </c>
      <c r="O4" s="24" t="inlineStr">
        <is>
          <t>O-04</t>
        </is>
      </c>
      <c r="P4" s="24" t="inlineStr">
        <is>
          <t>S-01</t>
        </is>
      </c>
      <c r="Q4" s="24" t="inlineStr">
        <is>
          <t>SDG-01</t>
        </is>
      </c>
      <c r="R4" s="24" t="inlineStr">
        <is>
          <t>SDG-02</t>
        </is>
      </c>
      <c r="S4" s="24" t="inlineStr">
        <is>
          <t>สรุปภาพรวม (SUMMARY)</t>
        </is>
      </c>
    </row>
    <row r="5" ht="24" customHeight="1">
      <c r="A5" s="25" t="inlineStr">
        <is>
          <t>มิติการประเมิน (TELOS+S Pillar)</t>
        </is>
      </c>
      <c r="B5" s="26" t="inlineStr">
        <is>
          <t>ด้านเทคนิค (Technical 2.2)</t>
        </is>
      </c>
      <c r="C5" s="26" t="inlineStr">
        <is>
          <t>ด้านเทคนิค (Technical 2.2)</t>
        </is>
      </c>
      <c r="D5" s="26" t="inlineStr">
        <is>
          <t>ด้านเทคนิค (Technical 2.2)</t>
        </is>
      </c>
      <c r="E5" s="26" t="inlineStr">
        <is>
          <t>ด้านเทคนิค (Technical 2.2)</t>
        </is>
      </c>
      <c r="F5" s="26" t="inlineStr">
        <is>
          <t>ด้านเทคนิค (Technical 2.2)</t>
        </is>
      </c>
      <c r="G5" s="26" t="inlineStr">
        <is>
          <t>ด้านเศรษฐศาสตร์ (Economic 2.3)</t>
        </is>
      </c>
      <c r="H5" s="26" t="inlineStr">
        <is>
          <t>ด้านเศรษฐศาสตร์ (Economic 2.3)</t>
        </is>
      </c>
      <c r="I5" s="26" t="inlineStr">
        <is>
          <t>ด้านเศรษฐศาสตร์ (Economic 2.3)</t>
        </is>
      </c>
      <c r="J5" s="26" t="inlineStr">
        <is>
          <t>ด้านกฎหมายและสถาบัน (Legal 2.4)</t>
        </is>
      </c>
      <c r="K5" s="26" t="inlineStr">
        <is>
          <t>ด้านกฎหมายและสถาบัน (Legal 2.4)</t>
        </is>
      </c>
      <c r="L5" s="26" t="inlineStr">
        <is>
          <t>ด้านการปฏิบัติการ (Operational 2.5)</t>
        </is>
      </c>
      <c r="M5" s="26" t="inlineStr">
        <is>
          <t>ด้านการปฏิบัติการ (Operational 2.5)</t>
        </is>
      </c>
      <c r="N5" s="26" t="inlineStr">
        <is>
          <t>ด้านการปฏิบัติการ (Operational 2.5)</t>
        </is>
      </c>
      <c r="O5" s="26" t="inlineStr">
        <is>
          <t>ด้านการปฏิบัติการ (Operational 2.5)</t>
        </is>
      </c>
      <c r="P5" s="26" t="inlineStr">
        <is>
          <t>ด้านแผนงานและเวลา (Schedule 2.6)</t>
        </is>
      </c>
      <c r="Q5" s="26" t="inlineStr">
        <is>
          <t>ด้านความยั่งยืน (SDGs Feasibility 2.7)</t>
        </is>
      </c>
      <c r="R5" s="26" t="inlineStr">
        <is>
          <t>ด้านความยั่งยืน (SDGs Feasibility 2.7)</t>
        </is>
      </c>
      <c r="S5" s="27" t="inlineStr">
        <is>
          <t>ผลรวมทุกมิติ (All Pillars)</t>
        </is>
      </c>
    </row>
    <row r="6" ht="80" customHeight="1">
      <c r="A6" s="25" t="inlineStr">
        <is>
          <t>คำถามทดสอบความเสี่ยงจริง (Stress-Test Question)</t>
        </is>
      </c>
      <c r="B6" s="28" t="inlineStr">
        <is>
          <t>ระดับการสร้างเองเทียบกับการซื้อสำเร็จรูป (Build vs. Buy Burden) ของสถาปัตยกรรมระบบตรวจประเมินท่อระบายน้ำ?</t>
        </is>
      </c>
      <c r="C6" s="28" t="inlineStr">
        <is>
          <t>สิทธิ์ในการเข้าถึงเทคโนโลยี ซอฟต์แวร์ และระบบนิเวศข้อมูล (Access &amp; Permissions) ของระบบตรวจประเมินท่อ?</t>
        </is>
      </c>
      <c r="D6" s="28" t="inlineStr">
        <is>
          <t>ระดับความพร้อมทางเทคโนโลยี (Base Performance / TRL) ในสภาพแวดล้อมจริงของท่อระบายน้ำใต้ดิน?</t>
        </is>
      </c>
      <c r="E6" s="28" t="inlineStr">
        <is>
          <t>ความพร้อมและกำลังคนสำรองของทีมงาน (Team Compatibility &amp; Redundancy / Anti-SPOF)?</t>
        </is>
      </c>
      <c r="F6" s="28" t="inlineStr">
        <is>
          <t>ความชันในการเรียนรู้และเวลาปรับตัวของทีมงาน (Learning Curve &amp; Ramp-up Time)?</t>
        </is>
      </c>
      <c r="G6" s="28" t="inlineStr">
        <is>
          <t>ระยะเวลาคืนทุนและความคุ้มค่าในการลงทุน (ROI / Payback Period) เทียบกับการขุดลอกแบบสุ่ม?</t>
        </is>
      </c>
      <c r="H6" s="28" t="inlineStr">
        <is>
          <t>การพึ่งพาผู้จำหน่ายและการผูกขาดชิ้นส่วนเฉพาะ (Component Dependency &amp; Vendor Lock-in)?</t>
        </is>
      </c>
      <c r="I6" s="28" t="inlineStr">
        <is>
          <t>วงเงินงบประมาณสำรองความเสียหายและการทำซ้ำ (Scrap Margin &amp; Iteration Allowance)?</t>
        </is>
      </c>
      <c r="J6" s="28" t="inlineStr">
        <is>
          <t>การปฏิบัติตามกฎหมายจราจร ความปลอดภัยในที่อับอากาศ และระเบียบพื้นที่สาธารณะ (Felony, Traffic &amp; Confined Space Compliance)?</t>
        </is>
      </c>
      <c r="K6" s="28" t="inlineStr">
        <is>
          <t>การปฏิบัติตามสัญญาอนุญาต ทรัพย์สินทางปัญญา และโอเพนซอร์ส (IP &amp; Software Licensing Compliance)?</t>
        </is>
      </c>
      <c r="L6" s="28" t="inlineStr">
        <is>
          <t>ผลกระทบและความรุนแรงเมื่อระบบเกิดความขัดข้องหรือติดค้าง (User — Failure Impact &amp; Stuck Hazards)?</t>
        </is>
      </c>
      <c r="M6" s="28" t="inlineStr">
        <is>
          <t>ความสอดคล้องกับพฤติกรรมเจ้าหน้าที่และขั้นตอนการทำงานเดิม (User — Workflow Friction &amp; Adoption)?</t>
        </is>
      </c>
      <c r="N6" s="28" t="inlineStr">
        <is>
          <t>การพึ่งพาห้องปฏิบัติการและขั้นตอนการขออนุมัติของนักพัฒนา (Developer — Lab &amp; Administrative Gatekeeping)?</t>
        </is>
      </c>
      <c r="O6" s="28" t="inlineStr">
        <is>
          <t>ความซับซ้อนของขั้นตอนการประกอบ ติดตั้ง และโปรแกรม (Developer — Setup Steps &amp; Pipeline Friction)?</t>
        </is>
      </c>
      <c r="P6" s="28" t="inlineStr">
        <is>
          <t>วุฒิภาวะของการออกแบบทางวิศวกรรมภายในกรอบเวลา 5 สัปดาห์ทำงาน (Engineering Design Maturity by 5 Weeks)?</t>
        </is>
      </c>
      <c r="Q6" s="28" t="inlineStr">
        <is>
          <t>การบูรณาการตามกรอบ Stockholm Wedding Cake (Biosphere, Society, Economy Integration)?</t>
        </is>
      </c>
      <c r="R6" s="28" t="inlineStr">
        <is>
          <t>ผลกระทบสิ่งแวดล้อม ขยะอิเล็กทรอนิกส์ และหลักเศรษฐกิจหมุนเวียน (E-Waste &amp; 'Do No Harm' — SDG 6.3/12.4)?</t>
        </is>
      </c>
      <c r="S6" s="29" t="inlineStr">
        <is>
          <t>ประเมินคำถามทั้งสิ้น 17 ข้อ</t>
        </is>
      </c>
    </row>
    <row r="7" ht="95" customHeight="1">
      <c r="A7" s="25" t="inlineStr">
        <is>
          <t>เหตุผลในการถาม &amp; โหมดความล้มเหลวที่เฝ้าระวัง (Rationale)</t>
        </is>
      </c>
      <c r="B7" s="28" t="inlineStr">
        <is>
          <t>ประเมินภาระการวิจัยและพัฒนาชิ้นส่วนกลไก อิเล็กทรอนิกส์ และอัลกอริทึม ป้องกันการเสียเวลากับงานประดิษฐ์ขึ้นใหม่โดยไม่จำเป็น</t>
        </is>
      </c>
      <c r="C7" s="28" t="inlineStr">
        <is>
          <t>ตรวจสอบข้อจำกัดด้านกรรมสิทธิ์ การล็อกสิทธิ์ใช้งาน และการอนุญาตเข้าถึง เพื่อป้องกันการพัฒนาระบบบนฐานข้อมูลที่ไม่สามารถเข้าถึงได้จริง</t>
        </is>
      </c>
      <c r="D7" s="28" t="inlineStr">
        <is>
          <t>วัดวุฒิภาวะของเทคโนโลยีว่าผ่านการพิสูจน์ในสภาพแวดล้อมใต้ดินที่มีความชื้น สารกัดกร่อน หรือน้ำขังจริงแล้วหรือไม่</t>
        </is>
      </c>
      <c r="E7" s="28" t="inlineStr">
        <is>
          <t>ตรวจสอบความเสี่ยงคอขวดบุคลากร (Single Point of Failure) ป้องกันไม่ให้โครงการหยุดชะงักหากผู้รับผิดชอบหลักไม่ว่าง</t>
        </is>
      </c>
      <c r="F7" s="28" t="inlineStr">
        <is>
          <t>ประเมินเวลาที่ทีมต้องใช้ในการเรียนรู้เครื่องมือหรือทฤษฎีใหม่ เพื่อไม่ให้กระทบต่อกำหนดการส่งมอบ 5 สัปดาห์</t>
        </is>
      </c>
      <c r="G7" s="28" t="inlineStr">
        <is>
          <t>วัดความคุ้มค่าทางการเงินและการประหยัดงบประมาณการลอกท่อของหน่วยงานภาครัฐเทียบกับ Baseline เดิม</t>
        </is>
      </c>
      <c r="H7" s="28" t="inlineStr">
        <is>
          <t>ตรวจสอบความเสี่ยงจากการพึ่งพาผู้ขายรายเดียว การผูกขาดชิ้นส่วนนำเข้า หรือค่าลิขสิทธิ์ซอฟต์แวร์รายปี</t>
        </is>
      </c>
      <c r="I7" s="28" t="inlineStr">
        <is>
          <t>ประเมินขีดความสามารถในการรับมือกับความเสียหายของอุปกรณ์และชิปที่อาจช็อตหรือเสียหายระหว่างการพัฒนา</t>
        </is>
      </c>
      <c r="J7" s="28" t="inlineStr">
        <is>
          <t>ตรวจสอบความเสี่ยงต่อการละเมิดกฎหมายจราจร กฎหมายความปลอดภัยในที่อับอากาศ และการปิดกั้นทางสัญจร</t>
        </is>
      </c>
      <c r="K7" s="28" t="inlineStr">
        <is>
          <t>ตรวจสอบสิทธิ์การใช้งานซอฟต์แวร์ ไลบรารี และสิทธิบัตร ป้องกันการฟ้องร้องละเมิดลิขสิทธิ์</t>
        </is>
      </c>
      <c r="L7" s="28" t="inlineStr">
        <is>
          <t>ประเมินความเสียหายต่อโครงสร้างพื้นฐาน ความปลอดภัยของเจ้าหน้าที่ และการกลายเป็นสิ่งกีดขวางในท่อระบายน้ำ</t>
        </is>
      </c>
      <c r="M7" s="28" t="inlineStr">
        <is>
          <t>ประเมินภาระการฝึกอบรม ความสะดวกในการพกพา และแรงต้านจากเจ้าหน้าที่ภาคสนามของ กทม.</t>
        </is>
      </c>
      <c r="N7" s="28" t="inlineStr">
        <is>
          <t>ประเมินอุปสรรคการเข้าถึงเครื่องมือ ช็อปเครื่องกล หรือการต้องรอคิวอนุมัติเอกสารของมหาวิทยาลัย</t>
        </is>
      </c>
      <c r="O7" s="28" t="inlineStr">
        <is>
          <t>ประเมินจำนวนขั้นตอนและความเปราะบางของเครื่องมือพัฒนา ป้องกันข้อผิดพลาดจากการตั้งค่าระบบที่ซับซ้อนเกินไป</t>
        </is>
      </c>
      <c r="P7" s="28" t="inlineStr">
        <is>
          <t>ทดสอบความเป็นไปได้ในการสร้างชิ้นงานให้สำเร็จตามเป้าหมาย TRL โดยหักสัปดาห์สอบมิดเทอมและไฟนอลออกแล้ว</t>
        </is>
      </c>
      <c r="Q7" s="28" t="inlineStr">
        <is>
          <t>ประเมินผลกระทบเชิงบวกที่ครอบคลุมทั้งด้านชีวมณฑล (SDG 6/14), สังคม (SDG 11) และเศรษฐกิจ (SDG 8/12)</t>
        </is>
      </c>
      <c r="R7" s="28" t="inlineStr">
        <is>
          <t>ตรวจสอบการป้องกันขยะอิเล็กทรอนิกส์ตกค้างในท่อระบายน้ำ สารพิษรั่วไหล และระบบกู้คืนอุปกรณ์ที่ปลอดภัย 100%</t>
        </is>
      </c>
      <c r="S7" s="29" t="inlineStr">
        <is>
          <t>สังเคราะห์จาก AI Agents Group 2</t>
        </is>
      </c>
    </row>
    <row r="8" ht="150" customHeight="1">
      <c r="A8" s="25" t="inlineStr">
        <is>
          <t>เกณฑ์การให้คะแนน (Scoring Rubric Definition: ระดับ 1, 2, 3, 4, 5 ครบทุกระดับ)</t>
        </is>
      </c>
      <c r="B8" s="28" t="inlineStr">
        <is>
          <t>1: ต้องวิจัยและสร้างขึ้นเองทั้งหมด 100% (ไม่มีพิมพ์เขียว อัลกอริทึม หรือไลบรารีอ้างอิง)
2: มีชิ้นส่วนหลักในท้องตลาด แต่ต้องดัดแปลงโครงสร้างอย่างหนักและเขียนโค้ดเชื่อมต่อเองทั้งหมด
3: บูรณาการชิ้นส่วน COTS เข้ากับแท่นยึดแบบกำหนดเอง และเขียนโค้ดเชื่อมต่อบางส่วน
4: ประกอบจากโมดูลมาตรฐานสำเร็จรูป (DIN-rail, I2C/CAN shields) มีงานประกอบกลไกเล็กน้อย
5: ซื้อมาติดตั้งใช้งานได้ทันที (Plug-and-Play) ไม่ต้องตัดกลึงหรือบัดกรีวงจรเพิ่มเติม</t>
        </is>
      </c>
      <c r="C8" s="28" t="inlineStr">
        <is>
          <t>1: ล็อกสิทธิ์ภายใต้สัญญา NDA ระบบปิด ติดไฟร์วอลล์องค์กร หรือไม่มีสิทธิ์เข้าถึงฝั่งนักพัฒนา
2: ซอฟต์แวร์หรือเฟิร์มแวร์กรรมสิทธิ์ปิด ทำงานแบบ Black-box โดยไม่มี Source Code หรือ Telemetry
3: บัญชีเพื่อการศึกษา/ทดลองใช้ที่มีโควตาหรือ Rate Limit เข้มงวด ต้องรอการอนุมัติอย่างเป็นทางการ
4: มี SDK หรือ Open API สาธารณะพร้อมเอกสารครบถ้วน แต่ไม่สามารถแก้ไขสถาปัตยกรรมระดับล่างได้
5: สถาปัตยกรรมเปิดสมบูรณ์ (Open Source/Open HW) ทีมงานมีสิทธิ์ระดับ Root/Admin เต็มรูปแบบ</t>
        </is>
      </c>
      <c r="D8" s="28" t="inlineStr">
        <is>
          <t>1: ระดับแนวคิด/สมการคณิตศาสตร์ (TRL 2–3) ทดสอบเฉพาะในห้องทดลองที่ควบคุมสภาพแวดล้อมได้
2: เบรดบอร์ดทำงานได้ในแล็บ (TRL 4) สายไฟเปราะบาง ยังไม่ผ่านการสอบเทียบในสภาพแวดล้อมจริง
3: ตัวต้นแบบประกอบลงกล่อง (TRL 5–6) ผ่านการทดสอบในสภาพแวดล้อมจำลอง ต้องมีคนคอยดูแล
4: ต้นแบบระดับพรีโปรดักชัน (TRL 7) ทำงานได้อย่างมีเสถียรภาพในสภาพแวดล้อมปฏิบัติงานจริง
5: ผลิตภัณฑ์เชิงพาณิชย์สมบูรณ์ (TRL 8–9) ผ่านการรับรองมาตรฐาน มีค่า MTBF ยืนยันความทนทาน</t>
        </is>
      </c>
      <c r="E8" s="28" t="inlineStr">
        <is>
          <t>1: พึ่งพาผู้เชี่ยวชาญเพียงคนเดียว (SPOF) หากไม่อยู่ โครงการหยุดชะงัก 100%
2: มีหัวหน้าโครงการ 1 คน และมีผู้ช่วยเข้าใจทฤษฎีแต่แก้โค้ดหรือซ่อมฮาร์ดแวร์แทนไม่ได้
3: มีคู่หลัก-รอง (Primary + Secondary) สามารถแก้ไขปัญหาและดูแลระบบแทนกันได้
4: สมาชิกตั้งแต่ 3 คนขึ้นไปสามารถร่วมพัฒนา ประกอบ และแก้ไขปัญหาระบบได้โดยตรง
5: สมาชิกทุกคนในทีมมีความเชี่ยวชาญเต็มรูปแบบ สามารถสลับงานแทนกันได้ทันทีอย่างไร้รอยต่อ</t>
        </is>
      </c>
      <c r="F8" s="28" t="inlineStr">
        <is>
          <t>1: ต้องเริ่มเรียนรู้ใหม่จากศูนย์ 100% ทั้งเครื่องมือ ภาษา และฮาร์ดแวร์ที่ไม่เคยใช้งานมาก่อน
2: มีพื้นฐานทฤษฎีแต่ขาดประสบการณ์จริง การติดตั้งและแก้บั๊กเบื้องต้นใช้เวลานานและติดขัด
3: มีความเชี่ยวชาญในเทคโนโลยีใกล้เคียง สามารถปรับตัวและเรียนรู้เพิ่มเติมได้ภายใน 1 สัปดาห์
4: คุ้นเคยกับเทคโนโลยีหลักอยู่แล้ว เพียงแค่เรียนรู้ไลบรารีหรือการตั้งค่าเฉพาะเพิ่มเติมเล็กน้อย
5: สามารถดึงโค้ดเก่า วงจรที่เคยทำ และประสบการณ์เดิมมาใช้งานได้ทันทีโดยไม่ต้องเรียนรู้ใหม่</t>
        </is>
      </c>
      <c r="G8" s="28" t="inlineStr">
        <is>
          <t>1: ระยะเวลาคืนทุนนานมาก (≥ 10 ปี) ต้นทุนเริ่มแรกสูงมากและแทบไม่มีผลประหยัดค่าใช้จ่าย
2: ระยะเวลาคืนทุนช้า (6–9 ปี) ใช้เงินลงทุนสูง ต้องอาศัยเงินอุดหนุนระยะยาวจึงจะคุ้มทุน
3: ระยะเวลาคืนทุนปานกลาง (3–5 ปี) ช่วยประหยัดค่าใช้จ่ายการปฏิบัติการในรอบปีงบประมาณปกติ
4: ระยะเวลาคืนทุนเร็ว (2–3 ปี) ลดค่าใช้จ่ายปฏิบัติการ (ค่าน้ำมัน แรงงาน เครื่องจักร) ได้อย่างมีนัยสำคัญ
5: คืนทุนทันที (≤ 1–2 ปี) ลดความสูญเสียจากน้ำท่วมและตัดรอบการลอกท่อที่ไม่จำเป็นได้ตั้งแต่ปีแรก</t>
        </is>
      </c>
      <c r="H8" s="28" t="inlineStr">
        <is>
          <t>1: ผูกขาดกับระบบปิด 100% ต้องใช้คลาวด์ หัวต่อ หรือเซนเซอร์เฉพาะจากผู้ผลิตรายเดียวเท่านั้น
2: พึ่งพาผู้ผลิตสูง ต้องใช้เครื่องมือตรวจวินิจฉัยเฉพาะหรือเสียค่าธรรมเนียมรายปีเพื่อใช้งาน
3: กึ่งอิสระ ฮาร์ดแวร์หลักเป็นระบบปิดแต่รองรับการส่งออกข้อมูลแบบเปิดและใช้อินเทอร์เฟซมาตรฐาน
4: มีความเป็นอิสระสูง ใช้โปรโตคอลสื่อสารมาตรฐาน (Modbus, MQTT, CAN) หาอะไหล่เทียบได้ง่าย
5: เป็นอิสระสมบูรณ์ 100% ใช้อุปกรณ์มาตรฐานทั่วไป สามารถซ่อมบำรุงและเปลี่ยนอะไหล่ได้เอง</t>
        </is>
      </c>
      <c r="I8" s="28" t="inlineStr">
        <is>
          <t>1: งบประมาณสำรอง 0% (ซื้อชุดเดียวพอดี) หากชิปไหม้หรืออุปกรณ์เสียหาย โครงการจะหยุดชะงักทันที
2: งบประมาณสำรอง 20–30% สำรองได้เฉพาะชิ้นส่วนพาสซีฟราคาถูก ไม่มีอะไหล่สำหรับเซนเซอร์หลัก
3: งบประมาณสำรอง 50% มีชิ้นส่วนพาสซีฟสำรองครบ และมีบอร์ดควบคุมหลักสำรอง 1 ชุด
4: งบประมาณสำรอง 80% มีอะไหล่สำรองเกือบครบทุกชิ้นส่วน รองรับการทดสอบพัง (Burn-in) ได้หลายรอบ
5: มีความพร้อมสำรองสมบูรณ์ (≥ 100%) งบประมาณครอบคลุมการสร้างตัวต้นแบบที่ทำงานได้ 2 ชุดพร้อมกัน</t>
        </is>
      </c>
      <c r="J8" s="28" t="inlineStr">
        <is>
          <t>1: ละเมิดกฎหมายโดยตรง (กีดขวางการจราจรสาธารณะร้ายแรง, ละเมิด PDPA รุนแรง, ส่งคลื่นรบกวนผิดกฎหมาย)
2: สุ่มเสี่ยงทางกฎหมายสูง อาจถูกร้องเรียนเรื่องปิดกั้นการจราจรหรือความปลอดภัย ต้องขอผ่อนผันซับซ้อน
3: มีเงื่อนไขทางกฎหมาย ต้องขออนุญาตเปิดฝาท่อและปิดช่องทางจราจรตามระเบียบของหน่วยงานเทศบาล
4: ผลกระทบทางกฎหมายต่ำ ปฏิบัติตามข้อยกเว้นงานวิศวกรรมสาธารณะทั่วไป ใช้เพียงการแจ้งเตือนความปลอดภัย
5: ได้รับการยกเว้นสมบูรณ์ 100% ไม่กีดขวางการจราจร ไม่เข้าข่ายที่อับอากาศ ไม่มีการเก็บข้อมูลส่วนบุคคล (Zero PII)</t>
        </is>
      </c>
      <c r="K8" s="28" t="inlineStr">
        <is>
          <t>1: ติดสัญญาอนุญาตเชิงพาณิชย์แบบปิด ไม่สามารถคอมไพล์ รัน หรือแจกจ่ายได้หากไม่จ่ายค่าลิขสิทธิ์ราคาแพง
2: สถานะทรัพย์สินทางปัญญาคลุมเครือ ไม่มีสัญญาอนุญาตระบุชัดเจน เสี่ยงต่อการถูกระงับเมื่อเปิดเผยต่อสาธารณะ
3: สัญญาอนุญาตแบบ Copyleft เข้มงวด (เช่น GPLv3) บังคับให้ต้องเปิดเผยโค้ดทั้งหมดหากมีการแจกจ่าย
4: สัญญาอนุญาตแบบผ่อนปรน (เช่น LGPL, CC-BY) ใช้งานและห่อหุ้มซอฟต์แวร์ได้โดยมีเงื่อนไขอ้างอิงแหล่งที่มา
5: โอเพนซอร์สสมบูรณ์ (MIT, Apache 2.0, BSD) หรือ Public Domain ใช้งานและต่อยอดได้อย่างอิสระ 100%</t>
        </is>
      </c>
      <c r="L8" s="28" t="inlineStr">
        <is>
          <t>1: เป็นอันตรายต่อชีวิต (ไฟฟ้าดูด เพลิงไหม้ อุบัติเหตุทางถนน สารพิษ หรือโครงสร้างท่อพังทลาย)
2: ก่อให้เกิดอันตรายทางกายภาพร้ายแรง อุปกรณ์ติดค้างกลายเป็นสิ่งอุดตันท่อ หรือระบบน้ำล้นฉับพลัน
3: เกิดความสับสนในการปฏิบัติงาน อุปกรณ์ขัดข้องต้องใช้เวลาหลายชั่วโมงในการกู้คืนหรือส่งทีมไปช่วย
4: เกิดความล่าช้าเล็กน้อย อุปกรณ์ตัดการทำงานอย่างปลอดภัย สามารถกู้คืนได้ตามขั้นตอนมาตรฐาน
5: ความเสียหายจำกัดเฉพาะงบประมาณ ไม่ส่งผลต่อความปลอดภัยหรือการไหลของน้ำ กู้คืนได้ทันที</t>
        </is>
      </c>
      <c r="M8" s="28" t="inlineStr">
        <is>
          <t>1: ขัดขวางขั้นตอนเดิมอย่างรุนแรง บังคับให้เจ้าหน้าที่ต้องเปลี่ยนวิธีทำงานทั้งหมดและกรอกเอกสารเพิ่มมากมาย
2: มีความฝืดสูง เพิ่มขั้นตอนการทำงานและต้องใช้อุปกรณ์เทอะทะ เจ้าหน้าที่มีแนวโน้มหลีกเลี่ยงการใช้งาน
3: ต้องปรับตัวปานกลาง ปรับเปลี่ยนขั้นตอนประจำวันเล็กน้อย ต้องฝึกอบรม 1–2 ครั้ง แต่ได้ผลลัพธ์คุ้มค่า
4: ความฝืดต่ำ บูรณาการเข้ากับเครื่องมือเดิมได้โดยตรง (ส่งค่าเข้า LINE/Dashboard) ปรับพฤติกรรมน้อยมาก
5: ราบรื่นไร้รอยต่อ 100% ทำงานอัตโนมัติในพื้นหลัง ลดภาระงานเอกสารและการลอกท่อเดิมของเจ้าหน้าที่</t>
        </is>
      </c>
      <c r="N8" s="28" t="inlineStr">
        <is>
          <t>1: ติดคอขวดขั้นตอนอนุมัติหนัก ห้องแล็บปิด ต้องลงนาม NDA หรือรอจัดซื้ออุปกรณ์หลายสัปดาห์
2: มีขั้นตอนราชการปานกลาง ต้องส่งแบบฟอร์มจองเครื่องมือล่วงหน้า และรออนุมัติ 3–5 วันทำการ
3: เข้าถึงได้ตามเวลาทำการปกติของมหาวิทยาลัย มีความล่าช้าเล็กน้อยในการเบิกใช้เครื่องมือเฉพาะทาง
4: มีอิสระสูง ทีมงานเข้าแล็บได้ตลอด มีสิทธิ์เขียนโค้ดลงบอร์ด และมีงบประมาณย่อยพร้อมใช้งานทันที
5: พัฒนาได้อย่างอิสระสมบูรณ์ 100% มีระบบ CI/CD บนคลาวด์และพัฒนาชิ้นงานได้เองที่บ้าน/หอพัก</t>
        </is>
      </c>
      <c r="O8" s="28" t="inlineStr">
        <is>
          <t>1: ซับซ้อนมาก มีขั้นตอนคอมไพล์และตั้งค่าหลายสิบขั้นตอน เสี่ยงต่อข้อผิดพลาดสูงมาก
2: ความซับซ้อนสูง ต้องใช้เครื่องมือหลายระดับ มีปัญหาความเข้ากันได้ของไลบรารีและแฟลชบอร์ดได้ยาก
3: ความซับซ้อนปานกลาง มีขั้นตอนประกอบและทดสอบตามคู่มือมาตรฐานที่บันทึกไว้ ทำซ้ำได้ไม่ยาก
4: ความซับซ้อนต่ำ ใช้สคริปต์อัตโนมัติ IDE มาตรฐาน หรือแฟลชเฟิร์มแวร์ด้วยคำสั่งเดียว
5: เรียบง่ายและตรงไปตรงมา เป็นระบบ Plug-and-Play ตั้งค่าขั้นตอนเดียวเสร็จสมบูรณ์</t>
        </is>
      </c>
      <c r="P8" s="28" t="inlineStr">
        <is>
          <t>1: ระดับแนวคิดเท่านั้น (แบบ 0%) มีเพียงภาพสเก็ตช์ ยังไม่มีโมเดล 3D วงจร หรือเฟิร์มแวร์ใดๆ
2: แบบร่างเบื้องต้น (แบบ 25%) มีบล็อกไดอะแกรม วงจรร่างมือ รายการชิ้นส่วนที่ยังไม่ยืนยัน และกล่อง 3D คร่าวๆ
3: วุฒิภาวะปานกลาง (แบบ 50%) แอสเซมบลี CAD ครบ วาดวงจรเสร็จ และวางโครงสร้างเฟิร์มแวร์แล้ว
4: พร้อมผลิตเบื้องต้น (แบบ 75–80%) ไฟล์ CAD พร้อมพิมพ์ 3D/CNC และไฟล์ PCB Gerber ผ่านการตรวจ DRC
5: แบบสมบูรณ์พร้อมผลิต 100% มีเอกสารสั่งผลิตครบ พิกัดความเผื่อ CAD แน่นอน และสคริปต์แฟลชพร้อมทำงาน</t>
        </is>
      </c>
      <c r="Q8" s="28" t="inlineStr">
        <is>
          <t>1: หลุดจากกรอบ Wedding Cake หรือสร้างผลกระทบเชิงลบอย่างรุนแรงต่อสิ่งแวดล้อมหรือสุขอนามัย
2: สัมผัสเพียง 1 เสาหลักอย่างผิวเผิน ขาดการเชื่อมโยงเชิงประจักษ์ไปยังสังคมหรือสิ่งแวดล้อมจริง
3: ครอบคลุม 1 เสาหลักอย่างเป็นรูปธรรม หรือเริ่มแตะ 2 เสาหลักแบบมีข้อจำกัดเฉพาะจุด
4: บูรณาการ 2 เสาหลักสำคัญอย่างมีนัยสำคัญ (เช่น Biosphere + Society) พร้อมตัวชี้วัดรองรับ
5: บูรณาการครบทั้ง 3 เสาหลักของ Wedding Cake อย่างสมบูรณ์ (Biosphere, Society, Economy)</t>
        </is>
      </c>
      <c r="R8" s="28" t="inlineStr">
        <is>
          <t>1: ก่อให้เกิดอันตรายจากสารพิษ แบตเตอรี่รั่วไหล หรืออุปกรณ์หลุดลอยลงสู่แหล่งน้ำสาธารณะเป็นขยะมลพิษ
2: อายุการใช้งานสั้น เซนเซอร์สึกกร่อนหรือเสียหายภายใน 2–3 สัปดาห์ และยากต่อการเก็บกู้คืน
3: มีขยะอิเล็กทรอนิกส์ตามมาตรฐาน ต้องเปลี่ยนแบตเตอรี่เป็นรอบๆ แต่มีสายโยงป้องกันการสูญหายในท่อ
4: ตัวกล่องทนทาน ใช้พลังงานต่ำ ใช้วัสดุรีไซเคิลได้ และมีสลิงสแตนเลสคู่ป้องกันการหลุดหาย
5: หมุนเวียนสมบูรณ์และไร้รอยเท้าสิ่งแวดล้อม กู้คืนได้ 100% จากผิวดิน ใช้วัสดุไม่เป็นพิษและไม่ทิ้งขยะตกค้าง</t>
        </is>
      </c>
      <c r="S8" s="29" t="inlineStr">
        <is>
          <t>เกณฑ์รวม: &gt;=80 ผ่านสูง, &gt;=60 มีเงื่อนไข, &lt;60 เสี่ยงสูง | หากมีข้อใดได้ 1 = VETOED ตกเกณฑ์ทันที</t>
        </is>
      </c>
    </row>
    <row r="9" ht="36" customHeight="1">
      <c r="A9" s="30" t="inlineStr">
        <is>
          <t>คะแนนที่ได้รับ (ASSIGNED SCORE: 1, 2, 3, 4, 5 STRICT INTEGER)</t>
        </is>
      </c>
      <c r="B9" s="31" t="n">
        <v>1</v>
      </c>
      <c r="C9" s="31" t="n">
        <v>2</v>
      </c>
      <c r="D9" s="31" t="n">
        <v>2</v>
      </c>
      <c r="E9" s="31" t="n">
        <v>1</v>
      </c>
      <c r="F9" s="31" t="n">
        <v>1</v>
      </c>
      <c r="G9" s="31" t="n">
        <v>2</v>
      </c>
      <c r="H9" s="31" t="n">
        <v>1</v>
      </c>
      <c r="I9" s="31" t="n">
        <v>1</v>
      </c>
      <c r="J9" s="31" t="n">
        <v>2</v>
      </c>
      <c r="K9" s="31" t="n">
        <v>3</v>
      </c>
      <c r="L9" s="31" t="n">
        <v>2</v>
      </c>
      <c r="M9" s="31" t="n">
        <v>2</v>
      </c>
      <c r="N9" s="31" t="n">
        <v>2</v>
      </c>
      <c r="O9" s="31" t="n">
        <v>1</v>
      </c>
      <c r="P9" s="31" t="n">
        <v>1</v>
      </c>
      <c r="Q9" s="31" t="n">
        <v>3</v>
      </c>
      <c r="R9" s="31" t="n">
        <v>2</v>
      </c>
      <c r="S9" s="49">
        <f>IF(S10&gt;0, (S11/S10)*20, 0)</f>
        <v/>
      </c>
    </row>
    <row r="10" ht="22" customHeight="1">
      <c r="A10" s="25" t="inlineStr">
        <is>
          <t>ค่าน้ำหนัก (Weight %)</t>
        </is>
      </c>
      <c r="B10" s="33" t="n">
        <v>0.04</v>
      </c>
      <c r="C10" s="33" t="n">
        <v>0.04</v>
      </c>
      <c r="D10" s="33" t="n">
        <v>0.04</v>
      </c>
      <c r="E10" s="33" t="n">
        <v>0.04</v>
      </c>
      <c r="F10" s="33" t="n">
        <v>0.04</v>
      </c>
      <c r="G10" s="33" t="n">
        <v>0.0667</v>
      </c>
      <c r="H10" s="33" t="n">
        <v>0.0667</v>
      </c>
      <c r="I10" s="33" t="n">
        <v>0.06660000000000001</v>
      </c>
      <c r="J10" s="33" t="n">
        <v>0.075</v>
      </c>
      <c r="K10" s="33" t="n">
        <v>0.075</v>
      </c>
      <c r="L10" s="33" t="n">
        <v>0.05</v>
      </c>
      <c r="M10" s="33" t="n">
        <v>0.05</v>
      </c>
      <c r="N10" s="33" t="n">
        <v>0.05</v>
      </c>
      <c r="O10" s="33" t="n">
        <v>0.05</v>
      </c>
      <c r="P10" s="33" t="n">
        <v>0.15</v>
      </c>
      <c r="Q10" s="33" t="n">
        <v>0.05</v>
      </c>
      <c r="R10" s="33" t="n">
        <v>0.05</v>
      </c>
      <c r="S10" s="33">
        <f>SUM(B10:R10)</f>
        <v/>
      </c>
    </row>
    <row r="11" ht="24" customHeight="1">
      <c r="A11" s="25" t="inlineStr">
        <is>
          <t>คะแนนถ่วงน้ำหนัก (=Score * Weight)</t>
        </is>
      </c>
      <c r="B11" s="34">
        <f>B9*B10</f>
        <v/>
      </c>
      <c r="C11" s="34">
        <f>C9*C10</f>
        <v/>
      </c>
      <c r="D11" s="34">
        <f>D9*D10</f>
        <v/>
      </c>
      <c r="E11" s="34">
        <f>E9*E10</f>
        <v/>
      </c>
      <c r="F11" s="34">
        <f>F9*F10</f>
        <v/>
      </c>
      <c r="G11" s="34">
        <f>G9*G10</f>
        <v/>
      </c>
      <c r="H11" s="34">
        <f>H9*H10</f>
        <v/>
      </c>
      <c r="I11" s="34">
        <f>I9*I10</f>
        <v/>
      </c>
      <c r="J11" s="34">
        <f>J9*J10</f>
        <v/>
      </c>
      <c r="K11" s="34">
        <f>K9*K10</f>
        <v/>
      </c>
      <c r="L11" s="34">
        <f>L9*L10</f>
        <v/>
      </c>
      <c r="M11" s="34">
        <f>M9*M10</f>
        <v/>
      </c>
      <c r="N11" s="34">
        <f>N9*N10</f>
        <v/>
      </c>
      <c r="O11" s="34">
        <f>O9*O10</f>
        <v/>
      </c>
      <c r="P11" s="34">
        <f>P9*P10</f>
        <v/>
      </c>
      <c r="Q11" s="34">
        <f>Q9*Q10</f>
        <v/>
      </c>
      <c r="R11" s="34">
        <f>R9*R10</f>
        <v/>
      </c>
      <c r="S11" s="34">
        <f>SUM(B11:R11)</f>
        <v/>
      </c>
    </row>
    <row r="12" ht="115" customHeight="1">
      <c r="A12" s="25" t="inlineStr">
        <is>
          <t>คำอธิบาย &amp; หลักฐานอ้างอิงจากไฟล์ Intake (Evidence Citation)</t>
        </is>
      </c>
      <c r="B12" s="28" t="inlineStr">
        <is>
          <t>solution-details/solution-3.md lines 27-36, 43-45; 360° underwater scanning sonar heads require custom waterproof acoustic matching layers, high-voltage piezo pulse generators, slip-rings, and TGC analog frontends with zero open reference designs, triggering a fatal flaw VETO.</t>
        </is>
      </c>
      <c r="C12" s="28" t="inlineStr">
        <is>
          <t>solution-details/solution-3.md lines 33-36; commercial sewer sonar profilers operate on closed binary telemetry protocols with encrypted raw backscatter logs; open drivers are nonexistent.</t>
        </is>
      </c>
      <c r="D12" s="28" t="inlineStr">
        <is>
          <t>solution-details/solution-3.md lines 40, 45; high acoustic attenuation, suspended organic matter, grease layers, and multi-path reflections inside dirty wastewater create substantial signal degradation at breadboard level (TRL 4).</t>
        </is>
      </c>
      <c r="E12" s="28" t="inlineStr">
        <is>
          <t>team-skills/due.md, fifa.md, jk.md, kin.md; zero team members have experience in underwater acoustic transducer design, piezoelectric matching circuits, or submersible slip-ring mechanisms, creating a fatal manpower deficit.</t>
        </is>
      </c>
      <c r="F12" s="28" t="inlineStr">
        <is>
          <t>team-skills/due.md, jk.md; designing an underwater rotating sonar head, impedance matching circuitry, and polar-to-Cartesian reconstruction from scratch requires starting from total reset (Score 1).</t>
        </is>
      </c>
      <c r="G12" s="28" t="inlineStr">
        <is>
          <t>solution-details/solution-3.md lines 43-45; extremely high capital equipment cost for underwater sonar scan heads and winch rigs results in slow 6-9 year payback horizon for municipal drainage agencies.</t>
        </is>
      </c>
      <c r="H12" s="28" t="inlineStr">
        <is>
          <t>solution-details/solution-3.md lines 33-36; commercial sewer profiling sonar transducers, waterproof rotary slip rings, and acoustic matching lenses are proprietary single-source imports with 4-8 week lead times, triggering a fatal vendor lock-in flaw.</t>
        </is>
      </c>
      <c r="I12" s="28" t="inlineStr">
        <is>
          <t>team-skills/due.md, fifa.md; a single commercial 360 sonar transducer module exceeds the entire student project budget (&gt; 50,000 THB), leaving 0% margin for cracked piezo elements or flooded waterproof enclosures.</t>
        </is>
      </c>
      <c r="J12" s="28" t="inlineStr">
        <is>
          <t>solution-details/solution-3.md lines 27-28, 44; stringing winching cables between consecutive manholes across public roadways requires blocking traffic lanes for hours, necessitating formal municipal road closure permits.</t>
        </is>
      </c>
      <c r="K12" s="28" t="inlineStr">
        <is>
          <t>solution-details/solution-3.md lines 35, 45; sewer sonar mapping software and polar reconstruction suites are often proprietary and protected by commercial dongles or restrictive licenses.</t>
        </is>
      </c>
      <c r="L12" s="28" t="inlineStr">
        <is>
          <t>solution-details/solution-3.md lines 43-44; if the submerged sonar pod or float gets snagged on submerged debris or the winch line snaps under tension, the expensive equipment becomes a permanent pipe obstruction.</t>
        </is>
      </c>
      <c r="M12" s="28" t="inlineStr">
        <is>
          <t>solution-details/solution-3.md lines 43-44; requires setting up winches on two consecutive manholes, threading pull-ropes through sewage, and washing contaminated cables after every inspection run.</t>
        </is>
      </c>
      <c r="N12" s="28" t="inlineStr">
        <is>
          <t>team-skills/due.md, fifa.md; underwater acoustic testing requires access to deep water testing tanks, high-voltage pulse generators, and hydrophone calibration facilities.</t>
        </is>
      </c>
      <c r="O12" s="28" t="inlineStr">
        <is>
          <t>solution-details/solution-3.md lines 27-36, 45; highly convoluted multi-stage toolchain: waterproof rotary mechanics, high-voltage piezo pulsing, low-noise analog TGC filtering, and complex polar SLAM mapping software, triggering a fatal complexity flaw.</t>
        </is>
      </c>
      <c r="P12" s="28" t="inlineStr">
        <is>
          <t>schedule-details/schedule.md lines 8-15; developing custom underwater rotating sonar hardware, transducer matching, and float winching mechanisms from 0% baseline within 5 business weeks under exam blackout constraints is mathematically unfeasible, triggering a fatal schedule flaw.</t>
        </is>
      </c>
      <c r="Q12" s="28" t="inlineStr">
        <is>
          <t>solution-details/solution-3.md lines 6-10; addresses Biosphere (SDG 6.3 water infrastructure integrity) but lacks direct socio-economic scalability due to extreme equipment cost.</t>
        </is>
      </c>
      <c r="R12" s="28" t="inlineStr">
        <is>
          <t>solution-details/solution-3.md lines 43-44; submerged electronic pod and cables in sewage risk chemical degradation, wire snapping, and accidental abandonment as hazardous e-waste in drainage culverts.</t>
        </is>
      </c>
      <c r="S12" s="50">
        <f>IF(MIN(B9:R9)=1, "VETOED / ตกเกณฑ์ข้อบังคับวิกฤต (คะแนนระดับ 1)", IF(S9&gt;=80, "ผ่านเกณฑ์ระดับสูง (HIGHLY VIABLE)", IF(S9&gt;=60, "ผ่านแบบมีเงื่อนไข (CONDITIONALLY VIABLE)", "ความเสี่ยงสูง (HIGH RISK)")))</f>
        <v/>
      </c>
    </row>
    <row r="13" ht="70" customHeight="1">
      <c r="A13" s="25" t="inlineStr">
        <is>
          <t>แผนลดขอบเขตงาน &amp; มาตรการลดความเสี่ยง (De-scoping Action)</t>
        </is>
      </c>
      <c r="B13" s="28" t="inlineStr">
        <is>
          <t>Descope from continuous rotating underwater sonar to fixed single-point ultrasonic depth echo sounders.</t>
        </is>
      </c>
      <c r="C13" s="28" t="inlineStr">
        <is>
          <t>Use generic analog hydrophones with open ADC logging on microcontrollers.</t>
        </is>
      </c>
      <c r="D13" s="28" t="inlineStr">
        <is>
          <t>Test sonar transducers strictly in clean water bench tanks with artificial sediment steps.</t>
        </is>
      </c>
      <c r="E13" s="28" t="inlineStr">
        <is>
          <t>Engage faculty acoustic research labs or pivot to airborne reflectometry where Due and JK have verified competence.</t>
        </is>
      </c>
      <c r="F13" s="28" t="inlineStr">
        <is>
          <t>Pivot to standard open-source audio DSP architectures.</t>
        </is>
      </c>
      <c r="G13" s="28" t="inlineStr">
        <is>
          <t>Use sonar profiler strictly as a specialized secondary diagnostic tool on suspected severely damaged pipe segments.</t>
        </is>
      </c>
      <c r="H13" s="28" t="inlineStr">
        <is>
          <t>Replace proprietary commercial sonar modules with generic open piezoelectric transducer discs.</t>
        </is>
      </c>
      <c r="I13" s="28" t="inlineStr">
        <is>
          <t>Cap experimental hardware spending to &lt; 3,000 THB using DIY low-voltage acoustic elements.</t>
        </is>
      </c>
      <c r="J13" s="28" t="inlineStr">
        <is>
          <t>Perform winching trials exclusively inside closed university campus culverts.</t>
        </is>
      </c>
      <c r="K13" s="28" t="inlineStr">
        <is>
          <t>Write custom open-source Python NumPy/Matplotlib scripts for polar backscatter plotting.</t>
        </is>
      </c>
      <c r="L13" s="28" t="inlineStr">
        <is>
          <t>Implement a mechanical shear-pin release with a secondary redundant floating retrieval tether.</t>
        </is>
      </c>
      <c r="M13" s="28" t="inlineStr">
        <is>
          <t>Mount sonar on a self-propelled crawler to eliminate the two-manhole winch threading procedure.</t>
        </is>
      </c>
      <c r="N13" s="28" t="inlineStr">
        <is>
          <t>Use a small portable water tank container for bench testing.</t>
        </is>
      </c>
      <c r="O13" s="28" t="inlineStr">
        <is>
          <t>Descope mapping software into simple 2D polar scatter plots.</t>
        </is>
      </c>
      <c r="P13" s="28" t="inlineStr">
        <is>
          <t>Halt hardware development of 360 sonar and pivot team resources to viable acoustic reflectometry.</t>
        </is>
      </c>
      <c r="Q13" s="28" t="inlineStr">
        <is>
          <t>Map sediment clearance volume directly to local flood hazard reduction metrics.</t>
        </is>
      </c>
      <c r="R13" s="28" t="inlineStr">
        <is>
          <t>Install dual redundant stainless steel mechanical recovery tethers.</t>
        </is>
      </c>
      <c r="S13" s="27" t="inlineStr">
        <is>
          <t>ปฏิบัติตามแผนลดขอบเขตงาน (De-scoping Advisory)</t>
        </is>
      </c>
    </row>
    <row r="14" ht="15" customHeight="1"/>
    <row r="15" ht="26" customHeight="1">
      <c r="A15" s="21" t="inlineStr">
        <is>
          <t>ตารางสรุปคะแนนแยกตามมิติ TELOS+S (Pillar Score Breakdown)</t>
        </is>
      </c>
    </row>
    <row r="16" ht="24" customHeight="1">
      <c r="A16" s="36" t="inlineStr">
        <is>
          <t>มิติการประเมิน (TELOS+S Pillar)</t>
        </is>
      </c>
      <c r="B16" s="36" t="inlineStr">
        <is>
          <t>สัดส่วนน้ำหนัก (Weight %)</t>
        </is>
      </c>
      <c r="C16" s="36" t="inlineStr">
        <is>
          <t>คะแนนเต็มมิติ (Max Points)</t>
        </is>
      </c>
      <c r="D16" s="36" t="inlineStr">
        <is>
          <t>คะแนนที่ได้รับจริง (Earned Points)</t>
        </is>
      </c>
      <c r="E16" s="36" t="inlineStr">
        <is>
          <t>คะแนนเฉลี่ย (Score 1-5)</t>
        </is>
      </c>
      <c r="F16" s="36" t="inlineStr">
        <is>
          <t>ระดับความพร้อม (Readiness Level)</t>
        </is>
      </c>
    </row>
    <row r="17" ht="22" customHeight="1">
      <c r="A17" s="37" t="inlineStr">
        <is>
          <t>T : ด้านเทคโนโลยีและวิศวกรรม (Technical)</t>
        </is>
      </c>
      <c r="B17" s="38" t="n">
        <v>0.2</v>
      </c>
      <c r="C17" s="39" t="n">
        <v>20</v>
      </c>
      <c r="D17" s="40">
        <f>SUM(B11:F11)*20</f>
        <v/>
      </c>
      <c r="E17" s="41">
        <f>IF(C17&gt;0, (D17/C17)*5, 0)</f>
        <v/>
      </c>
      <c r="F17" s="27">
        <f>IF(D17&gt;=16.0, "พร้อมระดับสูง (High)", IF(D17&gt;=12.0, "ปานกลาง (Medium)", "เสี่ยงวิกฤต (Critical)"))</f>
        <v/>
      </c>
    </row>
    <row r="18" ht="22" customHeight="1">
      <c r="A18" s="37" t="inlineStr">
        <is>
          <t>E : ด้านเศรษฐศาสตร์และความคุ้มค่า (Economic)</t>
        </is>
      </c>
      <c r="B18" s="38" t="n">
        <v>0.2</v>
      </c>
      <c r="C18" s="39" t="n">
        <v>20</v>
      </c>
      <c r="D18" s="40">
        <f>SUM(G11:I11)*20</f>
        <v/>
      </c>
      <c r="E18" s="41">
        <f>IF(C18&gt;0, (D18/C18)*5, 0)</f>
        <v/>
      </c>
      <c r="F18" s="27">
        <f>IF(D18&gt;=16.0, "พร้อมระดับสูง (High)", IF(D18&gt;=12.0, "ปานกลาง (Medium)", "เสี่ยงวิกฤต (Critical)"))</f>
        <v/>
      </c>
    </row>
    <row r="19" ht="22" customHeight="1">
      <c r="A19" s="37" t="inlineStr">
        <is>
          <t>L : ด้านกฎหมาย ระเบียบ และภาคประชาชน (Legal &amp; Outreach)</t>
        </is>
      </c>
      <c r="B19" s="38" t="n">
        <v>0.15</v>
      </c>
      <c r="C19" s="39" t="n">
        <v>15</v>
      </c>
      <c r="D19" s="40">
        <f>SUM(J11:K11)*20</f>
        <v/>
      </c>
      <c r="E19" s="41">
        <f>IF(C19&gt;0, (D19/C19)*5, 0)</f>
        <v/>
      </c>
      <c r="F19" s="27">
        <f>IF(D19&gt;=12.0, "พร้อมระดับสูง (High)", IF(D19&gt;=9.0, "ปานกลาง (Medium)", "เสี่ยงวิกฤต (Critical)"))</f>
        <v/>
      </c>
    </row>
    <row r="20" ht="22" customHeight="1">
      <c r="A20" s="37" t="inlineStr">
        <is>
          <t>O : ด้านการปฏิบัติการและหน้างาน (Operational)</t>
        </is>
      </c>
      <c r="B20" s="38" t="n">
        <v>0.2</v>
      </c>
      <c r="C20" s="39" t="n">
        <v>20</v>
      </c>
      <c r="D20" s="40">
        <f>SUM(L11:O11)*20</f>
        <v/>
      </c>
      <c r="E20" s="41">
        <f>IF(C20&gt;0, (D20/C20)*5, 0)</f>
        <v/>
      </c>
      <c r="F20" s="27">
        <f>IF(D20&gt;=16.0, "พร้อมระดับสูง (High)", IF(D20&gt;=12.0, "ปานกลาง (Medium)", "เสี่ยงวิกฤต (Critical)"))</f>
        <v/>
      </c>
    </row>
    <row r="21" ht="22" customHeight="1">
      <c r="A21" s="37" t="inlineStr">
        <is>
          <t>S : ด้านแผนงานและเวลาส่งมอบ (Schedule)</t>
        </is>
      </c>
      <c r="B21" s="38" t="n">
        <v>0.15</v>
      </c>
      <c r="C21" s="39" t="n">
        <v>15</v>
      </c>
      <c r="D21" s="40">
        <f>P11*20</f>
        <v/>
      </c>
      <c r="E21" s="41">
        <f>IF(C21&gt;0, (D21/C21)*5, 0)</f>
        <v/>
      </c>
      <c r="F21" s="27">
        <f>IF(D21&gt;=12.0, "พร้อมระดับสูง (High)", IF(D21&gt;=9.0, "ปานกลาง (Medium)", "เสี่ยงวิกฤต (Critical)"))</f>
        <v/>
      </c>
    </row>
    <row r="22" ht="22" customHeight="1">
      <c r="A22" s="37" t="inlineStr">
        <is>
          <t>+S : ด้านความยั่งยืนและสิ่งแวดล้อม (Sustainability / SDG)</t>
        </is>
      </c>
      <c r="B22" s="38" t="n">
        <v>0.1</v>
      </c>
      <c r="C22" s="39" t="n">
        <v>10</v>
      </c>
      <c r="D22" s="40">
        <f>SUM(Q11:R11)*20</f>
        <v/>
      </c>
      <c r="E22" s="41">
        <f>IF(C22&gt;0, (D22/C22)*5, 0)</f>
        <v/>
      </c>
      <c r="F22" s="27">
        <f>IF(D22&gt;=8.0, "พร้อมระดับสูง (High)", IF(D22&gt;=6.0, "ปานกลาง (Medium)", "เสี่ยงวิกฤต (Critical)"))</f>
        <v/>
      </c>
    </row>
    <row r="23" ht="26" customHeight="1">
      <c r="A23" s="42" t="inlineStr">
        <is>
          <t>คะแนนรวมทุกมิติ (Total Feasibility Score)</t>
        </is>
      </c>
      <c r="B23" s="33">
        <f>SUM(B17:B22)</f>
        <v/>
      </c>
      <c r="C23" s="43">
        <f>SUM(C17:C22)</f>
        <v/>
      </c>
      <c r="D23" s="44">
        <f>SUM(D17:D22)</f>
        <v/>
      </c>
      <c r="E23" s="34">
        <f>IF(C23&gt;0, (D23/C23)*5, 0)</f>
        <v/>
      </c>
      <c r="F23" s="45">
        <f>IF(D23&gt;=80, "ผ่านเกณฑ์ระดับสูง (HIGHLY VIABLE)", IF(D23&gt;=60, "ผ่านแบบมีเงื่อนไข (CONDITIONALLY VIABLE)", "ความเสี่ยงสูง (HIGH RISK)"))</f>
        <v/>
      </c>
    </row>
    <row r="24" ht="12" customHeight="1"/>
    <row r="25" ht="26" customHeight="1">
      <c r="A25" s="21" t="inlineStr">
        <is>
          <t>เมทริกซ์ประเมินความเข้ากันได้กับองค์ความรู้ด้านวิศวกรรมหุ่นยนต์ (Robotics Knowledge Compatibility)</t>
        </is>
      </c>
    </row>
    <row r="26" ht="22" customHeight="1">
      <c r="A26" s="22" t="inlineStr">
        <is>
          <t>* หมายเหตุ: การประเมินส่วนนี้วัดศักยภาพในการประยุกต์ใช้องค์ความรู้ด้านวิศวกรรมหุ่นยนต์ (Perception, Control, Actuation) เต็ม 12 คะแนน (แกนละ 4 คะแนน) | เป็นเอกเทศ ไม่นับรวมในคะแนน TELOS 100 คะแนน</t>
        </is>
      </c>
    </row>
    <row r="27" ht="24" customHeight="1">
      <c r="A27" s="46" t="inlineStr">
        <is>
          <t>มิติการประเมิน (Robotics Dimension)</t>
        </is>
      </c>
      <c r="B27" s="46" t="inlineStr">
        <is>
          <t>คะแนนศักยภาพ (/12)</t>
        </is>
      </c>
      <c r="C27" s="46" t="inlineStr">
        <is>
          <t>แกน Perception &amp; Sensing (การรับรู้)</t>
        </is>
      </c>
      <c r="D27" s="46" t="inlineStr">
        <is>
          <t>แกน Control &amp; Algorithms (การควบคุม)</t>
        </is>
      </c>
      <c r="E27" s="46" t="inlineStr">
        <is>
          <t>แกน Actuation &amp; Mechanisms (กลไก)</t>
        </is>
      </c>
      <c r="F27" s="46" t="inlineStr">
        <is>
          <t>บทวิเคราะห์เชิงวิศวกรรมหุ่นยนต์ (FIBO Alignment Rationale)</t>
        </is>
      </c>
    </row>
    <row r="28" ht="95" customHeight="1">
      <c r="A28" s="47" t="inlineStr">
        <is>
          <t>ศักยภาพการประยุกต์ใช้องค์ความรู้หุ่นยนต์และระบบอัตโนมัติ</t>
        </is>
      </c>
      <c r="B28" s="48" t="n">
        <v>10.5</v>
      </c>
      <c r="C28" s="28" t="inlineStr">
        <is>
          <t>Score 4.0/4.0: High-frequency 360° rotating underwater acoustic transducer scanning polar cross-sections through turbid slurry with millimeter time-of-flight resolution.</t>
        </is>
      </c>
      <c r="D28" s="28" t="inlineStr">
        <is>
          <t>Score 3.5/4.0: Acoustic backscatter signal processing, polar-to-Cartesian scan conversion, and 3D geometric cross-section loss calculation.</t>
        </is>
      </c>
      <c r="E28" s="28" t="inlineStr">
        <is>
          <t>Score 3.0/4.0: Continuous 360° rotating transducer scan head paired with motorized winch cable rig or submersible crawler platform.</t>
        </is>
      </c>
      <c r="F28" s="28" t="inlineStr">
        <is>
          <t>Solution 3 represents an exemplary deep robotics sensing system with rotating acoustic transducers and underwater cross-sectional profiling, but exceeds student fabrication and budget reality.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8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36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  <col width="36" customWidth="1" min="8" max="8"/>
    <col width="36" customWidth="1" min="9" max="9"/>
    <col width="36" customWidth="1" min="10" max="10"/>
    <col width="36" customWidth="1" min="11" max="11"/>
    <col width="36" customWidth="1" min="12" max="12"/>
    <col width="36" customWidth="1" min="13" max="13"/>
    <col width="36" customWidth="1" min="14" max="14"/>
    <col width="36" customWidth="1" min="15" max="15"/>
    <col width="36" customWidth="1" min="16" max="16"/>
    <col width="36" customWidth="1" min="17" max="17"/>
    <col width="36" customWidth="1" min="18" max="18"/>
    <col width="36" customWidth="1" min="19" max="19"/>
  </cols>
  <sheetData>
    <row r="1">
      <c r="A1" s="21" t="inlineStr">
        <is>
          <t>เมทริกซ์ประเมินความเป็นไปได้เชิงระบบ TELOS+S: Pipe Inspection Instrument using LiDAR SLAM attaching with Robot (3D LiDAR + Laser SLAM Point Cloud Profiling)</t>
        </is>
      </c>
    </row>
    <row r="2">
      <c r="A2" s="22" t="inlineStr">
        <is>
          <t>ระบบคะแนนจำนวนเต็มเด็ดขาด: 1, 2, 3, 4, 5 เท่านั้น (ไม่มีจุดทศนิยม / ไม่มี 0.5) | โครงสร้างแบบ Transposed แนวนอน</t>
        </is>
      </c>
    </row>
    <row r="4" ht="24" customHeight="1">
      <c r="A4" s="23" t="inlineStr">
        <is>
          <t>รหัสคำถาม (Question Code)</t>
        </is>
      </c>
      <c r="B4" s="24" t="inlineStr">
        <is>
          <t>T-01</t>
        </is>
      </c>
      <c r="C4" s="24" t="inlineStr">
        <is>
          <t>T-02</t>
        </is>
      </c>
      <c r="D4" s="24" t="inlineStr">
        <is>
          <t>T-03</t>
        </is>
      </c>
      <c r="E4" s="24" t="inlineStr">
        <is>
          <t>T-04</t>
        </is>
      </c>
      <c r="F4" s="24" t="inlineStr">
        <is>
          <t>T-05</t>
        </is>
      </c>
      <c r="G4" s="24" t="inlineStr">
        <is>
          <t>E-01</t>
        </is>
      </c>
      <c r="H4" s="24" t="inlineStr">
        <is>
          <t>E-02</t>
        </is>
      </c>
      <c r="I4" s="24" t="inlineStr">
        <is>
          <t>E-03</t>
        </is>
      </c>
      <c r="J4" s="24" t="inlineStr">
        <is>
          <t>L-01</t>
        </is>
      </c>
      <c r="K4" s="24" t="inlineStr">
        <is>
          <t>L-02</t>
        </is>
      </c>
      <c r="L4" s="24" t="inlineStr">
        <is>
          <t>O-01</t>
        </is>
      </c>
      <c r="M4" s="24" t="inlineStr">
        <is>
          <t>O-02</t>
        </is>
      </c>
      <c r="N4" s="24" t="inlineStr">
        <is>
          <t>O-03</t>
        </is>
      </c>
      <c r="O4" s="24" t="inlineStr">
        <is>
          <t>O-04</t>
        </is>
      </c>
      <c r="P4" s="24" t="inlineStr">
        <is>
          <t>S-01</t>
        </is>
      </c>
      <c r="Q4" s="24" t="inlineStr">
        <is>
          <t>SDG-01</t>
        </is>
      </c>
      <c r="R4" s="24" t="inlineStr">
        <is>
          <t>SDG-02</t>
        </is>
      </c>
      <c r="S4" s="24" t="inlineStr">
        <is>
          <t>สรุปภาพรวม (SUMMARY)</t>
        </is>
      </c>
    </row>
    <row r="5" ht="24" customHeight="1">
      <c r="A5" s="25" t="inlineStr">
        <is>
          <t>มิติการประเมิน (TELOS+S Pillar)</t>
        </is>
      </c>
      <c r="B5" s="26" t="inlineStr">
        <is>
          <t>ด้านเทคนิค (Technical 2.2)</t>
        </is>
      </c>
      <c r="C5" s="26" t="inlineStr">
        <is>
          <t>ด้านเทคนิค (Technical 2.2)</t>
        </is>
      </c>
      <c r="D5" s="26" t="inlineStr">
        <is>
          <t>ด้านเทคนิค (Technical 2.2)</t>
        </is>
      </c>
      <c r="E5" s="26" t="inlineStr">
        <is>
          <t>ด้านเทคนิค (Technical 2.2)</t>
        </is>
      </c>
      <c r="F5" s="26" t="inlineStr">
        <is>
          <t>ด้านเทคนิค (Technical 2.2)</t>
        </is>
      </c>
      <c r="G5" s="26" t="inlineStr">
        <is>
          <t>ด้านเศรษฐศาสตร์ (Economic 2.3)</t>
        </is>
      </c>
      <c r="H5" s="26" t="inlineStr">
        <is>
          <t>ด้านเศรษฐศาสตร์ (Economic 2.3)</t>
        </is>
      </c>
      <c r="I5" s="26" t="inlineStr">
        <is>
          <t>ด้านเศรษฐศาสตร์ (Economic 2.3)</t>
        </is>
      </c>
      <c r="J5" s="26" t="inlineStr">
        <is>
          <t>ด้านกฎหมายและสถาบัน (Legal 2.4)</t>
        </is>
      </c>
      <c r="K5" s="26" t="inlineStr">
        <is>
          <t>ด้านกฎหมายและสถาบัน (Legal 2.4)</t>
        </is>
      </c>
      <c r="L5" s="26" t="inlineStr">
        <is>
          <t>ด้านการปฏิบัติการ (Operational 2.5)</t>
        </is>
      </c>
      <c r="M5" s="26" t="inlineStr">
        <is>
          <t>ด้านการปฏิบัติการ (Operational 2.5)</t>
        </is>
      </c>
      <c r="N5" s="26" t="inlineStr">
        <is>
          <t>ด้านการปฏิบัติการ (Operational 2.5)</t>
        </is>
      </c>
      <c r="O5" s="26" t="inlineStr">
        <is>
          <t>ด้านการปฏิบัติการ (Operational 2.5)</t>
        </is>
      </c>
      <c r="P5" s="26" t="inlineStr">
        <is>
          <t>ด้านแผนงานและเวลา (Schedule 2.6)</t>
        </is>
      </c>
      <c r="Q5" s="26" t="inlineStr">
        <is>
          <t>ด้านความยั่งยืน (SDGs Feasibility 2.7)</t>
        </is>
      </c>
      <c r="R5" s="26" t="inlineStr">
        <is>
          <t>ด้านความยั่งยืน (SDGs Feasibility 2.7)</t>
        </is>
      </c>
      <c r="S5" s="27" t="inlineStr">
        <is>
          <t>ผลรวมทุกมิติ (All Pillars)</t>
        </is>
      </c>
    </row>
    <row r="6" ht="80" customHeight="1">
      <c r="A6" s="25" t="inlineStr">
        <is>
          <t>คำถามทดสอบความเสี่ยงจริง (Stress-Test Question)</t>
        </is>
      </c>
      <c r="B6" s="28" t="inlineStr">
        <is>
          <t>ระดับการสร้างเองเทียบกับการซื้อสำเร็จรูป (Build vs. Buy Burden) ของสถาปัตยกรรมระบบตรวจประเมินท่อระบายน้ำ?</t>
        </is>
      </c>
      <c r="C6" s="28" t="inlineStr">
        <is>
          <t>สิทธิ์ในการเข้าถึงเทคโนโลยี ซอฟต์แวร์ และระบบนิเวศข้อมูล (Access &amp; Permissions) ของระบบตรวจประเมินท่อ?</t>
        </is>
      </c>
      <c r="D6" s="28" t="inlineStr">
        <is>
          <t>ระดับความพร้อมทางเทคโนโลยี (Base Performance / TRL) ในสภาพแวดล้อมจริงของท่อระบายน้ำใต้ดิน?</t>
        </is>
      </c>
      <c r="E6" s="28" t="inlineStr">
        <is>
          <t>ความพร้อมและกำลังคนสำรองของทีมงาน (Team Compatibility &amp; Redundancy / Anti-SPOF)?</t>
        </is>
      </c>
      <c r="F6" s="28" t="inlineStr">
        <is>
          <t>ความชันในการเรียนรู้และเวลาปรับตัวของทีมงาน (Learning Curve &amp; Ramp-up Time)?</t>
        </is>
      </c>
      <c r="G6" s="28" t="inlineStr">
        <is>
          <t>ระยะเวลาคืนทุนและความคุ้มค่าในการลงทุน (ROI / Payback Period) เทียบกับการขุดลอกแบบสุ่ม?</t>
        </is>
      </c>
      <c r="H6" s="28" t="inlineStr">
        <is>
          <t>การพึ่งพาผู้จำหน่ายและการผูกขาดชิ้นส่วนเฉพาะ (Component Dependency &amp; Vendor Lock-in)?</t>
        </is>
      </c>
      <c r="I6" s="28" t="inlineStr">
        <is>
          <t>วงเงินงบประมาณสำรองความเสียหายและการทำซ้ำ (Scrap Margin &amp; Iteration Allowance)?</t>
        </is>
      </c>
      <c r="J6" s="28" t="inlineStr">
        <is>
          <t>การปฏิบัติตามกฎหมายจราจร ความปลอดภัยในที่อับอากาศ และระเบียบพื้นที่สาธารณะ (Felony, Traffic &amp; Confined Space Compliance)?</t>
        </is>
      </c>
      <c r="K6" s="28" t="inlineStr">
        <is>
          <t>การปฏิบัติตามสัญญาอนุญาต ทรัพย์สินทางปัญญา และโอเพนซอร์ส (IP &amp; Software Licensing Compliance)?</t>
        </is>
      </c>
      <c r="L6" s="28" t="inlineStr">
        <is>
          <t>ผลกระทบและความรุนแรงเมื่อระบบเกิดความขัดข้องหรือติดค้าง (User — Failure Impact &amp; Stuck Hazards)?</t>
        </is>
      </c>
      <c r="M6" s="28" t="inlineStr">
        <is>
          <t>ความสอดคล้องกับพฤติกรรมเจ้าหน้าที่และขั้นตอนการทำงานเดิม (User — Workflow Friction &amp; Adoption)?</t>
        </is>
      </c>
      <c r="N6" s="28" t="inlineStr">
        <is>
          <t>การพึ่งพาห้องปฏิบัติการและขั้นตอนการขออนุมัติของนักพัฒนา (Developer — Lab &amp; Administrative Gatekeeping)?</t>
        </is>
      </c>
      <c r="O6" s="28" t="inlineStr">
        <is>
          <t>ความซับซ้อนของขั้นตอนการประกอบ ติดตั้ง และโปรแกรม (Developer — Setup Steps &amp; Pipeline Friction)?</t>
        </is>
      </c>
      <c r="P6" s="28" t="inlineStr">
        <is>
          <t>วุฒิภาวะของการออกแบบทางวิศวกรรมภายในกรอบเวลา 5 สัปดาห์ทำงาน (Engineering Design Maturity by 5 Weeks)?</t>
        </is>
      </c>
      <c r="Q6" s="28" t="inlineStr">
        <is>
          <t>การบูรณาการตามกรอบ Stockholm Wedding Cake (Biosphere, Society, Economy Integration)?</t>
        </is>
      </c>
      <c r="R6" s="28" t="inlineStr">
        <is>
          <t>ผลกระทบสิ่งแวดล้อม ขยะอิเล็กทรอนิกส์ และหลักเศรษฐกิจหมุนเวียน (E-Waste &amp; 'Do No Harm' — SDG 6.3/12.4)?</t>
        </is>
      </c>
      <c r="S6" s="29" t="inlineStr">
        <is>
          <t>ประเมินคำถามทั้งสิ้น 17 ข้อ</t>
        </is>
      </c>
    </row>
    <row r="7" ht="95" customHeight="1">
      <c r="A7" s="25" t="inlineStr">
        <is>
          <t>เหตุผลในการถาม &amp; โหมดความล้มเหลวที่เฝ้าระวัง (Rationale)</t>
        </is>
      </c>
      <c r="B7" s="28" t="inlineStr">
        <is>
          <t>ประเมินภาระการวิจัยและพัฒนาชิ้นส่วนกลไก อิเล็กทรอนิกส์ และอัลกอริทึม ป้องกันการเสียเวลากับงานประดิษฐ์ขึ้นใหม่โดยไม่จำเป็น</t>
        </is>
      </c>
      <c r="C7" s="28" t="inlineStr">
        <is>
          <t>ตรวจสอบข้อจำกัดด้านกรรมสิทธิ์ การล็อกสิทธิ์ใช้งาน และการอนุญาตเข้าถึง เพื่อป้องกันการพัฒนาระบบบนฐานข้อมูลที่ไม่สามารถเข้าถึงได้จริง</t>
        </is>
      </c>
      <c r="D7" s="28" t="inlineStr">
        <is>
          <t>วัดวุฒิภาวะของเทคโนโลยีว่าผ่านการพิสูจน์ในสภาพแวดล้อมใต้ดินที่มีความชื้น สารกัดกร่อน หรือน้ำขังจริงแล้วหรือไม่</t>
        </is>
      </c>
      <c r="E7" s="28" t="inlineStr">
        <is>
          <t>ตรวจสอบความเสี่ยงคอขวดบุคลากร (Single Point of Failure) ป้องกันไม่ให้โครงการหยุดชะงักหากผู้รับผิดชอบหลักไม่ว่าง</t>
        </is>
      </c>
      <c r="F7" s="28" t="inlineStr">
        <is>
          <t>ประเมินเวลาที่ทีมต้องใช้ในการเรียนรู้เครื่องมือหรือทฤษฎีใหม่ เพื่อไม่ให้กระทบต่อกำหนดการส่งมอบ 5 สัปดาห์</t>
        </is>
      </c>
      <c r="G7" s="28" t="inlineStr">
        <is>
          <t>วัดความคุ้มค่าทางการเงินและการประหยัดงบประมาณการลอกท่อของหน่วยงานภาครัฐเทียบกับ Baseline เดิม</t>
        </is>
      </c>
      <c r="H7" s="28" t="inlineStr">
        <is>
          <t>ตรวจสอบความเสี่ยงจากการพึ่งพาผู้ขายรายเดียว การผูกขาดชิ้นส่วนนำเข้า หรือค่าลิขสิทธิ์ซอฟต์แวร์รายปี</t>
        </is>
      </c>
      <c r="I7" s="28" t="inlineStr">
        <is>
          <t>ประเมินขีดความสามารถในการรับมือกับความเสียหายของอุปกรณ์และชิปที่อาจช็อตหรือเสียหายระหว่างการพัฒนา</t>
        </is>
      </c>
      <c r="J7" s="28" t="inlineStr">
        <is>
          <t>ตรวจสอบความเสี่ยงต่อการละเมิดกฎหมายจราจร กฎหมายความปลอดภัยในที่อับอากาศ และการปิดกั้นทางสัญจร</t>
        </is>
      </c>
      <c r="K7" s="28" t="inlineStr">
        <is>
          <t>ตรวจสอบสิทธิ์การใช้งานซอฟต์แวร์ ไลบรารี และสิทธิบัตร ป้องกันการฟ้องร้องละเมิดลิขสิทธิ์</t>
        </is>
      </c>
      <c r="L7" s="28" t="inlineStr">
        <is>
          <t>ประเมินความเสียหายต่อโครงสร้างพื้นฐาน ความปลอดภัยของเจ้าหน้าที่ และการกลายเป็นสิ่งกีดขวางในท่อระบายน้ำ</t>
        </is>
      </c>
      <c r="M7" s="28" t="inlineStr">
        <is>
          <t>ประเมินภาระการฝึกอบรม ความสะดวกในการพกพา และแรงต้านจากเจ้าหน้าที่ภาคสนามของ กทม.</t>
        </is>
      </c>
      <c r="N7" s="28" t="inlineStr">
        <is>
          <t>ประเมินอุปสรรคการเข้าถึงเครื่องมือ ช็อปเครื่องกล หรือการต้องรอคิวอนุมัติเอกสารของมหาวิทยาลัย</t>
        </is>
      </c>
      <c r="O7" s="28" t="inlineStr">
        <is>
          <t>ประเมินจำนวนขั้นตอนและความเปราะบางของเครื่องมือพัฒนา ป้องกันข้อผิดพลาดจากการตั้งค่าระบบที่ซับซ้อนเกินไป</t>
        </is>
      </c>
      <c r="P7" s="28" t="inlineStr">
        <is>
          <t>ทดสอบความเป็นไปได้ในการสร้างชิ้นงานให้สำเร็จตามเป้าหมาย TRL โดยหักสัปดาห์สอบมิดเทอมและไฟนอลออกแล้ว</t>
        </is>
      </c>
      <c r="Q7" s="28" t="inlineStr">
        <is>
          <t>ประเมินผลกระทบเชิงบวกที่ครอบคลุมทั้งด้านชีวมณฑล (SDG 6/14), สังคม (SDG 11) และเศรษฐกิจ (SDG 8/12)</t>
        </is>
      </c>
      <c r="R7" s="28" t="inlineStr">
        <is>
          <t>ตรวจสอบการป้องกันขยะอิเล็กทรอนิกส์ตกค้างในท่อระบายน้ำ สารพิษรั่วไหล และระบบกู้คืนอุปกรณ์ที่ปลอดภัย 100%</t>
        </is>
      </c>
      <c r="S7" s="29" t="inlineStr">
        <is>
          <t>สังเคราะห์จาก AI Agents Group 2</t>
        </is>
      </c>
    </row>
    <row r="8" ht="150" customHeight="1">
      <c r="A8" s="25" t="inlineStr">
        <is>
          <t>เกณฑ์การให้คะแนน (Scoring Rubric Definition: ระดับ 1, 2, 3, 4, 5 ครบทุกระดับ)</t>
        </is>
      </c>
      <c r="B8" s="28" t="inlineStr">
        <is>
          <t>1: ต้องวิจัยและสร้างขึ้นเองทั้งหมด 100% (ไม่มีพิมพ์เขียว อัลกอริทึม หรือไลบรารีอ้างอิง)
2: มีชิ้นส่วนหลักในท้องตลาด แต่ต้องดัดแปลงโครงสร้างอย่างหนักและเขียนโค้ดเชื่อมต่อเองทั้งหมด
3: บูรณาการชิ้นส่วน COTS เข้ากับแท่นยึดแบบกำหนดเอง และเขียนโค้ดเชื่อมต่อบางส่วน
4: ประกอบจากโมดูลมาตรฐานสำเร็จรูป (DIN-rail, I2C/CAN shields) มีงานประกอบกลไกเล็กน้อย
5: ซื้อมาติดตั้งใช้งานได้ทันที (Plug-and-Play) ไม่ต้องตัดกลึงหรือบัดกรีวงจรเพิ่มเติม</t>
        </is>
      </c>
      <c r="C8" s="28" t="inlineStr">
        <is>
          <t>1: ล็อกสิทธิ์ภายใต้สัญญา NDA ระบบปิด ติดไฟร์วอลล์องค์กร หรือไม่มีสิทธิ์เข้าถึงฝั่งนักพัฒนา
2: ซอฟต์แวร์หรือเฟิร์มแวร์กรรมสิทธิ์ปิด ทำงานแบบ Black-box โดยไม่มี Source Code หรือ Telemetry
3: บัญชีเพื่อการศึกษา/ทดลองใช้ที่มีโควตาหรือ Rate Limit เข้มงวด ต้องรอการอนุมัติอย่างเป็นทางการ
4: มี SDK หรือ Open API สาธารณะพร้อมเอกสารครบถ้วน แต่ไม่สามารถแก้ไขสถาปัตยกรรมระดับล่างได้
5: สถาปัตยกรรมเปิดสมบูรณ์ (Open Source/Open HW) ทีมงานมีสิทธิ์ระดับ Root/Admin เต็มรูปแบบ</t>
        </is>
      </c>
      <c r="D8" s="28" t="inlineStr">
        <is>
          <t>1: ระดับแนวคิด/สมการคณิตศาสตร์ (TRL 2–3) ทดสอบเฉพาะในห้องทดลองที่ควบคุมสภาพแวดล้อมได้
2: เบรดบอร์ดทำงานได้ในแล็บ (TRL 4) สายไฟเปราะบาง ยังไม่ผ่านการสอบเทียบในสภาพแวดล้อมจริง
3: ตัวต้นแบบประกอบลงกล่อง (TRL 5–6) ผ่านการทดสอบในสภาพแวดล้อมจำลอง ต้องมีคนคอยดูแล
4: ต้นแบบระดับพรีโปรดักชัน (TRL 7) ทำงานได้อย่างมีเสถียรภาพในสภาพแวดล้อมปฏิบัติงานจริง
5: ผลิตภัณฑ์เชิงพาณิชย์สมบูรณ์ (TRL 8–9) ผ่านการรับรองมาตรฐาน มีค่า MTBF ยืนยันความทนทาน</t>
        </is>
      </c>
      <c r="E8" s="28" t="inlineStr">
        <is>
          <t>1: พึ่งพาผู้เชี่ยวชาญเพียงคนเดียว (SPOF) หากไม่อยู่ โครงการหยุดชะงัก 100%
2: มีหัวหน้าโครงการ 1 คน และมีผู้ช่วยเข้าใจทฤษฎีแต่แก้โค้ดหรือซ่อมฮาร์ดแวร์แทนไม่ได้
3: มีคู่หลัก-รอง (Primary + Secondary) สามารถแก้ไขปัญหาและดูแลระบบแทนกันได้
4: สมาชิกตั้งแต่ 3 คนขึ้นไปสามารถร่วมพัฒนา ประกอบ และแก้ไขปัญหาระบบได้โดยตรง
5: สมาชิกทุกคนในทีมมีความเชี่ยวชาญเต็มรูปแบบ สามารถสลับงานแทนกันได้ทันทีอย่างไร้รอยต่อ</t>
        </is>
      </c>
      <c r="F8" s="28" t="inlineStr">
        <is>
          <t>1: ต้องเริ่มเรียนรู้ใหม่จากศูนย์ 100% ทั้งเครื่องมือ ภาษา และฮาร์ดแวร์ที่ไม่เคยใช้งานมาก่อน
2: มีพื้นฐานทฤษฎีแต่ขาดประสบการณ์จริง การติดตั้งและแก้บั๊กเบื้องต้นใช้เวลานานและติดขัด
3: มีความเชี่ยวชาญในเทคโนโลยีใกล้เคียง สามารถปรับตัวและเรียนรู้เพิ่มเติมได้ภายใน 1 สัปดาห์
4: คุ้นเคยกับเทคโนโลยีหลักอยู่แล้ว เพียงแค่เรียนรู้ไลบรารีหรือการตั้งค่าเฉพาะเพิ่มเติมเล็กน้อย
5: สามารถดึงโค้ดเก่า วงจรที่เคยทำ และประสบการณ์เดิมมาใช้งานได้ทันทีโดยไม่ต้องเรียนรู้ใหม่</t>
        </is>
      </c>
      <c r="G8" s="28" t="inlineStr">
        <is>
          <t>1: ระยะเวลาคืนทุนนานมาก (≥ 10 ปี) ต้นทุนเริ่มแรกสูงมากและแทบไม่มีผลประหยัดค่าใช้จ่าย
2: ระยะเวลาคืนทุนช้า (6–9 ปี) ใช้เงินลงทุนสูง ต้องอาศัยเงินอุดหนุนระยะยาวจึงจะคุ้มทุน
3: ระยะเวลาคืนทุนปานกลาง (3–5 ปี) ช่วยประหยัดค่าใช้จ่ายการปฏิบัติการในรอบปีงบประมาณปกติ
4: ระยะเวลาคืนทุนเร็ว (2–3 ปี) ลดค่าใช้จ่ายปฏิบัติการ (ค่าน้ำมัน แรงงาน เครื่องจักร) ได้อย่างมีนัยสำคัญ
5: คืนทุนทันที (≤ 1–2 ปี) ลดความสูญเสียจากน้ำท่วมและตัดรอบการลอกท่อที่ไม่จำเป็นได้ตั้งแต่ปีแรก</t>
        </is>
      </c>
      <c r="H8" s="28" t="inlineStr">
        <is>
          <t>1: ผูกขาดกับระบบปิด 100% ต้องใช้คลาวด์ หัวต่อ หรือเซนเซอร์เฉพาะจากผู้ผลิตรายเดียวเท่านั้น
2: พึ่งพาผู้ผลิตสูง ต้องใช้เครื่องมือตรวจวินิจฉัยเฉพาะหรือเสียค่าธรรมเนียมรายปีเพื่อใช้งาน
3: กึ่งอิสระ ฮาร์ดแวร์หลักเป็นระบบปิดแต่รองรับการส่งออกข้อมูลแบบเปิดและใช้อินเทอร์เฟซมาตรฐาน
4: มีความเป็นอิสระสูง ใช้โปรโตคอลสื่อสารมาตรฐาน (Modbus, MQTT, CAN) หาอะไหล่เทียบได้ง่าย
5: เป็นอิสระสมบูรณ์ 100% ใช้อุปกรณ์มาตรฐานทั่วไป สามารถซ่อมบำรุงและเปลี่ยนอะไหล่ได้เอง</t>
        </is>
      </c>
      <c r="I8" s="28" t="inlineStr">
        <is>
          <t>1: งบประมาณสำรอง 0% (ซื้อชุดเดียวพอดี) หากชิปไหม้หรืออุปกรณ์เสียหาย โครงการจะหยุดชะงักทันที
2: งบประมาณสำรอง 20–30% สำรองได้เฉพาะชิ้นส่วนพาสซีฟราคาถูก ไม่มีอะไหล่สำหรับเซนเซอร์หลัก
3: งบประมาณสำรอง 50% มีชิ้นส่วนพาสซีฟสำรองครบ และมีบอร์ดควบคุมหลักสำรอง 1 ชุด
4: งบประมาณสำรอง 80% มีอะไหล่สำรองเกือบครบทุกชิ้นส่วน รองรับการทดสอบพัง (Burn-in) ได้หลายรอบ
5: มีความพร้อมสำรองสมบูรณ์ (≥ 100%) งบประมาณครอบคลุมการสร้างตัวต้นแบบที่ทำงานได้ 2 ชุดพร้อมกัน</t>
        </is>
      </c>
      <c r="J8" s="28" t="inlineStr">
        <is>
          <t>1: ละเมิดกฎหมายโดยตรง (กีดขวางการจราจรสาธารณะร้ายแรง, ละเมิด PDPA รุนแรง, ส่งคลื่นรบกวนผิดกฎหมาย)
2: สุ่มเสี่ยงทางกฎหมายสูง อาจถูกร้องเรียนเรื่องปิดกั้นการจราจรหรือความปลอดภัย ต้องขอผ่อนผันซับซ้อน
3: มีเงื่อนไขทางกฎหมาย ต้องขออนุญาตเปิดฝาท่อและปิดช่องทางจราจรตามระเบียบของหน่วยงานเทศบาล
4: ผลกระทบทางกฎหมายต่ำ ปฏิบัติตามข้อยกเว้นงานวิศวกรรมสาธารณะทั่วไป ใช้เพียงการแจ้งเตือนความปลอดภัย
5: ได้รับการยกเว้นสมบูรณ์ 100% ไม่กีดขวางการจราจร ไม่เข้าข่ายที่อับอากาศ ไม่มีการเก็บข้อมูลส่วนบุคคล (Zero PII)</t>
        </is>
      </c>
      <c r="K8" s="28" t="inlineStr">
        <is>
          <t>1: ติดสัญญาอนุญาตเชิงพาณิชย์แบบปิด ไม่สามารถคอมไพล์ รัน หรือแจกจ่ายได้หากไม่จ่ายค่าลิขสิทธิ์ราคาแพง
2: สถานะทรัพย์สินทางปัญญาคลุมเครือ ไม่มีสัญญาอนุญาตระบุชัดเจน เสี่ยงต่อการถูกระงับเมื่อเปิดเผยต่อสาธารณะ
3: สัญญาอนุญาตแบบ Copyleft เข้มงวด (เช่น GPLv3) บังคับให้ต้องเปิดเผยโค้ดทั้งหมดหากมีการแจกจ่าย
4: สัญญาอนุญาตแบบผ่อนปรน (เช่น LGPL, CC-BY) ใช้งานและห่อหุ้มซอฟต์แวร์ได้โดยมีเงื่อนไขอ้างอิงแหล่งที่มา
5: โอเพนซอร์สสมบูรณ์ (MIT, Apache 2.0, BSD) หรือ Public Domain ใช้งานและต่อยอดได้อย่างอิสระ 100%</t>
        </is>
      </c>
      <c r="L8" s="28" t="inlineStr">
        <is>
          <t>1: เป็นอันตรายต่อชีวิต (ไฟฟ้าดูด เพลิงไหม้ อุบัติเหตุทางถนน สารพิษ หรือโครงสร้างท่อพังทลาย)
2: ก่อให้เกิดอันตรายทางกายภาพร้ายแรง อุปกรณ์ติดค้างกลายเป็นสิ่งอุดตันท่อ หรือระบบน้ำล้นฉับพลัน
3: เกิดความสับสนในการปฏิบัติงาน อุปกรณ์ขัดข้องต้องใช้เวลาหลายชั่วโมงในการกู้คืนหรือส่งทีมไปช่วย
4: เกิดความล่าช้าเล็กน้อย อุปกรณ์ตัดการทำงานอย่างปลอดภัย สามารถกู้คืนได้ตามขั้นตอนมาตรฐาน
5: ความเสียหายจำกัดเฉพาะงบประมาณ ไม่ส่งผลต่อความปลอดภัยหรือการไหลของน้ำ กู้คืนได้ทันที</t>
        </is>
      </c>
      <c r="M8" s="28" t="inlineStr">
        <is>
          <t>1: ขัดขวางขั้นตอนเดิมอย่างรุนแรง บังคับให้เจ้าหน้าที่ต้องเปลี่ยนวิธีทำงานทั้งหมดและกรอกเอกสารเพิ่มมากมาย
2: มีความฝืดสูง เพิ่มขั้นตอนการทำงานและต้องใช้อุปกรณ์เทอะทะ เจ้าหน้าที่มีแนวโน้มหลีกเลี่ยงการใช้งาน
3: ต้องปรับตัวปานกลาง ปรับเปลี่ยนขั้นตอนประจำวันเล็กน้อย ต้องฝึกอบรม 1–2 ครั้ง แต่ได้ผลลัพธ์คุ้มค่า
4: ความฝืดต่ำ บูรณาการเข้ากับเครื่องมือเดิมได้โดยตรง (ส่งค่าเข้า LINE/Dashboard) ปรับพฤติกรรมน้อยมาก
5: ราบรื่นไร้รอยต่อ 100% ทำงานอัตโนมัติในพื้นหลัง ลดภาระงานเอกสารและการลอกท่อเดิมของเจ้าหน้าที่</t>
        </is>
      </c>
      <c r="N8" s="28" t="inlineStr">
        <is>
          <t>1: ติดคอขวดขั้นตอนอนุมัติหนัก ห้องแล็บปิด ต้องลงนาม NDA หรือรอจัดซื้ออุปกรณ์หลายสัปดาห์
2: มีขั้นตอนราชการปานกลาง ต้องส่งแบบฟอร์มจองเครื่องมือล่วงหน้า และรออนุมัติ 3–5 วันทำการ
3: เข้าถึงได้ตามเวลาทำการปกติของมหาวิทยาลัย มีความล่าช้าเล็กน้อยในการเบิกใช้เครื่องมือเฉพาะทาง
4: มีอิสระสูง ทีมงานเข้าแล็บได้ตลอด มีสิทธิ์เขียนโค้ดลงบอร์ด และมีงบประมาณย่อยพร้อมใช้งานทันที
5: พัฒนาได้อย่างอิสระสมบูรณ์ 100% มีระบบ CI/CD บนคลาวด์และพัฒนาชิ้นงานได้เองที่บ้าน/หอพัก</t>
        </is>
      </c>
      <c r="O8" s="28" t="inlineStr">
        <is>
          <t>1: ซับซ้อนมาก มีขั้นตอนคอมไพล์และตั้งค่าหลายสิบขั้นตอน เสี่ยงต่อข้อผิดพลาดสูงมาก
2: ความซับซ้อนสูง ต้องใช้เครื่องมือหลายระดับ มีปัญหาความเข้ากันได้ของไลบรารีและแฟลชบอร์ดได้ยาก
3: ความซับซ้อนปานกลาง มีขั้นตอนประกอบและทดสอบตามคู่มือมาตรฐานที่บันทึกไว้ ทำซ้ำได้ไม่ยาก
4: ความซับซ้อนต่ำ ใช้สคริปต์อัตโนมัติ IDE มาตรฐาน หรือแฟลชเฟิร์มแวร์ด้วยคำสั่งเดียว
5: เรียบง่ายและตรงไปตรงมา เป็นระบบ Plug-and-Play ตั้งค่าขั้นตอนเดียวเสร็จสมบูรณ์</t>
        </is>
      </c>
      <c r="P8" s="28" t="inlineStr">
        <is>
          <t>1: ระดับแนวคิดเท่านั้น (แบบ 0%) มีเพียงภาพสเก็ตช์ ยังไม่มีโมเดล 3D วงจร หรือเฟิร์มแวร์ใดๆ
2: แบบร่างเบื้องต้น (แบบ 25%) มีบล็อกไดอะแกรม วงจรร่างมือ รายการชิ้นส่วนที่ยังไม่ยืนยัน และกล่อง 3D คร่าวๆ
3: วุฒิภาวะปานกลาง (แบบ 50%) แอสเซมบลี CAD ครบ วาดวงจรเสร็จ และวางโครงสร้างเฟิร์มแวร์แล้ว
4: พร้อมผลิตเบื้องต้น (แบบ 75–80%) ไฟล์ CAD พร้อมพิมพ์ 3D/CNC และไฟล์ PCB Gerber ผ่านการตรวจ DRC
5: แบบสมบูรณ์พร้อมผลิต 100% มีเอกสารสั่งผลิตครบ พิกัดความเผื่อ CAD แน่นอน และสคริปต์แฟลชพร้อมทำงาน</t>
        </is>
      </c>
      <c r="Q8" s="28" t="inlineStr">
        <is>
          <t>1: หลุดจากกรอบ Wedding Cake หรือสร้างผลกระทบเชิงลบอย่างรุนแรงต่อสิ่งแวดล้อมหรือสุขอนามัย
2: สัมผัสเพียง 1 เสาหลักอย่างผิวเผิน ขาดการเชื่อมโยงเชิงประจักษ์ไปยังสังคมหรือสิ่งแวดล้อมจริง
3: ครอบคลุม 1 เสาหลักอย่างเป็นรูปธรรม หรือเริ่มแตะ 2 เสาหลักแบบมีข้อจำกัดเฉพาะจุด
4: บูรณาการ 2 เสาหลักสำคัญอย่างมีนัยสำคัญ (เช่น Biosphere + Society) พร้อมตัวชี้วัดรองรับ
5: บูรณาการครบทั้ง 3 เสาหลักของ Wedding Cake อย่างสมบูรณ์ (Biosphere, Society, Economy)</t>
        </is>
      </c>
      <c r="R8" s="28" t="inlineStr">
        <is>
          <t>1: ก่อให้เกิดอันตรายจากสารพิษ แบตเตอรี่รั่วไหล หรืออุปกรณ์หลุดลอยลงสู่แหล่งน้ำสาธารณะเป็นขยะมลพิษ
2: อายุการใช้งานสั้น เซนเซอร์สึกกร่อนหรือเสียหายภายใน 2–3 สัปดาห์ และยากต่อการเก็บกู้คืน
3: มีขยะอิเล็กทรอนิกส์ตามมาตรฐาน ต้องเปลี่ยนแบตเตอรี่เป็นรอบๆ แต่มีสายโยงป้องกันการสูญหายในท่อ
4: ตัวกล่องทนทาน ใช้พลังงานต่ำ ใช้วัสดุรีไซเคิลได้ และมีสลิงสแตนเลสคู่ป้องกันการหลุดหาย
5: หมุนเวียนสมบูรณ์และไร้รอยเท้าสิ่งแวดล้อม กู้คืนได้ 100% จากผิวดิน ใช้วัสดุไม่เป็นพิษและไม่ทิ้งขยะตกค้าง</t>
        </is>
      </c>
      <c r="S8" s="29" t="inlineStr">
        <is>
          <t>เกณฑ์รวม: &gt;=80 ผ่านสูง, &gt;=60 มีเงื่อนไข, &lt;60 เสี่ยงสูง | หากมีข้อใดได้ 1 = VETOED ตกเกณฑ์ทันที</t>
        </is>
      </c>
    </row>
    <row r="9" ht="36" customHeight="1">
      <c r="A9" s="30" t="inlineStr">
        <is>
          <t>คะแนนที่ได้รับ (ASSIGNED SCORE: 1, 2, 3, 4, 5 STRICT INTEGER)</t>
        </is>
      </c>
      <c r="B9" s="31" t="n">
        <v>3</v>
      </c>
      <c r="C9" s="31" t="n">
        <v>4</v>
      </c>
      <c r="D9" s="31" t="n">
        <v>2</v>
      </c>
      <c r="E9" s="31" t="n">
        <v>3</v>
      </c>
      <c r="F9" s="31" t="n">
        <v>2</v>
      </c>
      <c r="G9" s="31" t="n">
        <v>3</v>
      </c>
      <c r="H9" s="31" t="n">
        <v>3</v>
      </c>
      <c r="I9" s="31" t="n">
        <v>1</v>
      </c>
      <c r="J9" s="31" t="n">
        <v>2</v>
      </c>
      <c r="K9" s="31" t="n">
        <v>5</v>
      </c>
      <c r="L9" s="31" t="n">
        <v>3</v>
      </c>
      <c r="M9" s="31" t="n">
        <v>3</v>
      </c>
      <c r="N9" s="31" t="n">
        <v>3</v>
      </c>
      <c r="O9" s="31" t="n">
        <v>2</v>
      </c>
      <c r="P9" s="31" t="n">
        <v>2</v>
      </c>
      <c r="Q9" s="31" t="n">
        <v>4</v>
      </c>
      <c r="R9" s="31" t="n">
        <v>3</v>
      </c>
      <c r="S9" s="49">
        <f>IF(S10&gt;0, (S11/S10)*20, 0)</f>
        <v/>
      </c>
    </row>
    <row r="10" ht="22" customHeight="1">
      <c r="A10" s="25" t="inlineStr">
        <is>
          <t>ค่าน้ำหนัก (Weight %)</t>
        </is>
      </c>
      <c r="B10" s="33" t="n">
        <v>0.04</v>
      </c>
      <c r="C10" s="33" t="n">
        <v>0.04</v>
      </c>
      <c r="D10" s="33" t="n">
        <v>0.04</v>
      </c>
      <c r="E10" s="33" t="n">
        <v>0.04</v>
      </c>
      <c r="F10" s="33" t="n">
        <v>0.04</v>
      </c>
      <c r="G10" s="33" t="n">
        <v>0.0667</v>
      </c>
      <c r="H10" s="33" t="n">
        <v>0.0667</v>
      </c>
      <c r="I10" s="33" t="n">
        <v>0.06660000000000001</v>
      </c>
      <c r="J10" s="33" t="n">
        <v>0.075</v>
      </c>
      <c r="K10" s="33" t="n">
        <v>0.075</v>
      </c>
      <c r="L10" s="33" t="n">
        <v>0.05</v>
      </c>
      <c r="M10" s="33" t="n">
        <v>0.05</v>
      </c>
      <c r="N10" s="33" t="n">
        <v>0.05</v>
      </c>
      <c r="O10" s="33" t="n">
        <v>0.05</v>
      </c>
      <c r="P10" s="33" t="n">
        <v>0.15</v>
      </c>
      <c r="Q10" s="33" t="n">
        <v>0.05</v>
      </c>
      <c r="R10" s="33" t="n">
        <v>0.05</v>
      </c>
      <c r="S10" s="33">
        <f>SUM(B10:R10)</f>
        <v/>
      </c>
    </row>
    <row r="11" ht="24" customHeight="1">
      <c r="A11" s="25" t="inlineStr">
        <is>
          <t>คะแนนถ่วงน้ำหนัก (=Score * Weight)</t>
        </is>
      </c>
      <c r="B11" s="34">
        <f>B9*B10</f>
        <v/>
      </c>
      <c r="C11" s="34">
        <f>C9*C10</f>
        <v/>
      </c>
      <c r="D11" s="34">
        <f>D9*D10</f>
        <v/>
      </c>
      <c r="E11" s="34">
        <f>E9*E10</f>
        <v/>
      </c>
      <c r="F11" s="34">
        <f>F9*F10</f>
        <v/>
      </c>
      <c r="G11" s="34">
        <f>G9*G10</f>
        <v/>
      </c>
      <c r="H11" s="34">
        <f>H9*H10</f>
        <v/>
      </c>
      <c r="I11" s="34">
        <f>I9*I10</f>
        <v/>
      </c>
      <c r="J11" s="34">
        <f>J9*J10</f>
        <v/>
      </c>
      <c r="K11" s="34">
        <f>K9*K10</f>
        <v/>
      </c>
      <c r="L11" s="34">
        <f>L9*L10</f>
        <v/>
      </c>
      <c r="M11" s="34">
        <f>M9*M10</f>
        <v/>
      </c>
      <c r="N11" s="34">
        <f>N9*N10</f>
        <v/>
      </c>
      <c r="O11" s="34">
        <f>O9*O10</f>
        <v/>
      </c>
      <c r="P11" s="34">
        <f>P9*P10</f>
        <v/>
      </c>
      <c r="Q11" s="34">
        <f>Q9*Q10</f>
        <v/>
      </c>
      <c r="R11" s="34">
        <f>R9*R10</f>
        <v/>
      </c>
      <c r="S11" s="34">
        <f>SUM(B11:R11)</f>
        <v/>
      </c>
    </row>
    <row r="12" ht="115" customHeight="1">
      <c r="A12" s="25" t="inlineStr">
        <is>
          <t>คำอธิบาย &amp; หลักฐานอ้างอิงจากไฟล์ Intake (Evidence Citation)</t>
        </is>
      </c>
      <c r="B12" s="28" t="inlineStr">
        <is>
          <t>solution-details/solution-4.md lines 27-36; mounts COTS 3D LiDAR module and embedded SBC (Jetson/Pi) on a custom crawler chassis, running standard ROS2 SLAM packages.</t>
        </is>
      </c>
      <c r="C12" s="28" t="inlineStr">
        <is>
          <t>solution-details/solution-4.md lines 33-36; open-source ROS2 LiDAR drivers, Point Cloud Library (PCL), and open SLAM repositories (FAST-LIO, Cartographer) provide rich open developer access.</t>
        </is>
      </c>
      <c r="D12" s="28" t="inlineStr">
        <is>
          <t>solution-details/solution-4.md lines 43-45; laser beams suffer total optical absorption and refraction on dirty standing water surfaces, and high humidity/fog creates backscatter noise; works at TRL 4 in dry lab pipes only.</t>
        </is>
      </c>
      <c r="E12" s="28" t="inlineStr">
        <is>
          <t>team-skills/jk.md, fifa.md, due.md; JK is highly competent in ROS2, Linux, C++, and linear algebra for SLAM; Fifa and Due provide mechanical crawler support.</t>
        </is>
      </c>
      <c r="F12" s="28" t="inlineStr">
        <is>
          <t>team-skills/jk.md; while JK knows ROS2 and differential equations, tuning 3D LiDAR SLAM in feature-degenerate cylindrical pipe tunnels requires extensive point cloud filtering and IMU tightly-coupled odometry.</t>
        </is>
      </c>
      <c r="G12" s="28" t="inlineStr">
        <is>
          <t>solution-details/solution-4.md lines 6-10, 38-40; produces millimeter-accurate 3D CAD models of pipe deformation and sediment volume, delivering moderate 3-5 year payback for specialized structural asset management.</t>
        </is>
      </c>
      <c r="H12" s="28" t="inlineStr">
        <is>
          <t>solution-details/solution-4.md lines 33-36; dependent on specialized solid-state 3D LiDAR hardware (Livox/Velodyne) and high-performance embedded GPU SBCs.</t>
        </is>
      </c>
      <c r="I12" s="28" t="inlineStr">
        <is>
          <t>team-skills/due.md, fifa.md; 3D LiDAR sensor (25,000–35,000 THB) + Jetson SBC exhausts 100% of student team funding; zero budget exists for replacement if the sensor is damaged or dropped into sewage, triggering a fatal scrap margin flaw.</t>
        </is>
      </c>
      <c r="J12" s="28" t="inlineStr">
        <is>
          <t>solution-details/solution-4.md lines 18, 27-28; requires opening public road manhole covers and deploying crawler tether stations, necessitating formal municipal permits and safety lane closures.</t>
        </is>
      </c>
      <c r="K12" s="28" t="inlineStr">
        <is>
          <t>solution-details/solution-4.md lines 33-36; ROS2 (Apache 2.0), Point Cloud Library (BSD), and FAST-LIO2 (GPL/BSD) are completely open source for academic research and prototyping.</t>
        </is>
      </c>
      <c r="L12" s="28" t="inlineStr">
        <is>
          <t>solution-details/solution-4.md lines 43-45; crawler stuck in sewage requires manual recovery; laser optical glass easily smudged by splashing wastewater slurry, requiring aborting scan run.</t>
        </is>
      </c>
      <c r="M12" s="28" t="inlineStr">
        <is>
          <t>solution-details/solution-4.md lines 44-45; generates massive 3D point cloud files (.pcd/.ply) requiring GIS/CAD engineering expertise to interpret, creating operational workflow friction for field maintenance crews.</t>
        </is>
      </c>
      <c r="N12" s="28" t="inlineStr">
        <is>
          <t>team-skills/due.md, jk.md; requires access to FIBO robotics lab GPU workstations for point cloud processing and mechanical workshop for crawler chassis mounting.</t>
        </is>
      </c>
      <c r="O12" s="28" t="inlineStr">
        <is>
          <t>solution-details/solution-4.md lines 27-36, 44-45; multi-stage setup: ROS2 network configuration, high-bandwidth sensor tethering, IMU extrinsic calibration, and point cloud registration pipeline.</t>
        </is>
      </c>
      <c r="P12" s="28" t="inlineStr">
        <is>
          <t>schedule-details/schedule.md lines 8-15; integrating crawler chassis + LiDAR drivers + SLAM calibration inside symmetrical cylindrical pipe tunnels within 5 business weeks during exam blackout is highly compressed.</t>
        </is>
      </c>
      <c r="Q12" s="28" t="inlineStr">
        <is>
          <t>solution-details/solution-4.md lines 6-10; strongly integrates Biosphere (SDG 6.3 preventing drainage blockage) and Society (SDG 11.5 urban infrastructure protection and flood resilience).</t>
        </is>
      </c>
      <c r="R12" s="28" t="inlineStr">
        <is>
          <t>solution-details/solution-4.md lines 43; tethered crawler prevents hardware loss, but expensive LiDAR and embedded SBC risk electronic scrap loss if compromised by corrosive sewer humidity.</t>
        </is>
      </c>
      <c r="S12" s="50">
        <f>IF(MIN(B9:R9)=1, "VETOED / ตกเกณฑ์ข้อบังคับวิกฤต (คะแนนระดับ 1)", IF(S9&gt;=80, "ผ่านเกณฑ์ระดับสูง (HIGHLY VIABLE)", IF(S9&gt;=60, "ผ่านแบบมีเงื่อนไข (CONDITIONALLY VIABLE)", "ความเสี่ยงสูง (HIGH RISK)")))</f>
        <v/>
      </c>
    </row>
    <row r="13" ht="70" customHeight="1">
      <c r="A13" s="25" t="inlineStr">
        <is>
          <t>แผนลดขอบเขตงาน &amp; มาตรการลดความเสี่ยง (De-scoping Action)</t>
        </is>
      </c>
      <c r="B13" s="28" t="inlineStr">
        <is>
          <t>Use a modular 2D LiDAR with a 1-DOF servo rotation pitch axis instead of a costly monolithic 3D LiDAR.</t>
        </is>
      </c>
      <c r="C13" s="28" t="inlineStr">
        <is>
          <t>Deploy open-source FAST-LIO2 or Cartographer ROS2 nodes directly.</t>
        </is>
      </c>
      <c r="D13" s="28" t="inlineStr">
        <is>
          <t>Restrict LiDAR SLAM inspection strictly to dry sewer pipe segments or pre-drained culverts.</t>
        </is>
      </c>
      <c r="E13" s="28" t="inlineStr">
        <is>
          <t>JK packages SLAM nodes with clear ROS2 launch files so team members can run inspection recordings without tuning parameters.</t>
        </is>
      </c>
      <c r="F13" s="28" t="inlineStr">
        <is>
          <t>Use wheel encoder odometry fusion to constrain the longitudinal translation axis inside symmetric pipes.</t>
        </is>
      </c>
      <c r="G13" s="28" t="inlineStr">
        <is>
          <t>Focus value proposition on structural defect quantification to justify CapEx.</t>
        </is>
      </c>
      <c r="H13" s="28" t="inlineStr">
        <is>
          <t>Use standardized ROS2 point cloud drivers to maintain compatibility across different LiDAR hardware vendors.</t>
        </is>
      </c>
      <c r="I13" s="28" t="inlineStr">
        <is>
          <t>Borrow an evaluation LiDAR unit from FIBO robotics labs with signed academic liability waivers.</t>
        </is>
      </c>
      <c r="J13" s="28" t="inlineStr">
        <is>
          <t>Perform SLAM scanning trials strictly on pedestrian campus walkways.</t>
        </is>
      </c>
      <c r="K13" s="28" t="inlineStr">
        <is>
          <t>Adhere to open-source repository documentation guidelines.</t>
        </is>
      </c>
      <c r="L13" s="28" t="inlineStr">
        <is>
          <t>Equip LiDAR with a protective clear acrylic splash shield and rubber wiper.</t>
        </is>
      </c>
      <c r="M13" s="28" t="inlineStr">
        <is>
          <t>Develop an automated Python script that converts 3D point clouds into a single 1-page PDF cross-section summary.</t>
        </is>
      </c>
      <c r="N13" s="28" t="inlineStr">
        <is>
          <t>Record raw ROS2 rosbag files on SBC and perform offline SLAM mapping on personal laptops.</t>
        </is>
      </c>
      <c r="O13" s="28" t="inlineStr">
        <is>
          <t>Provide a pre-built Docker container with all PCL and SLAM dependencies pre-compiled.</t>
        </is>
      </c>
      <c r="P13" s="28" t="inlineStr">
        <is>
          <t>Focus demonstration strictly on a 3-meter indoor PVC pipe section with pre-placed geometric obstacles.</t>
        </is>
      </c>
      <c r="Q13" s="28" t="inlineStr">
        <is>
          <t>Add automated reporting of sediment volume for environmental municipal dashboards.</t>
        </is>
      </c>
      <c r="R13" s="28" t="inlineStr">
        <is>
          <t>Enclose the SBC in an IP67 sealed pelican-style enclosure with desiccant packs.</t>
        </is>
      </c>
      <c r="S13" s="27" t="inlineStr">
        <is>
          <t>ปฏิบัติตามแผนลดขอบเขตงาน (De-scoping Advisory)</t>
        </is>
      </c>
    </row>
    <row r="14" ht="15" customHeight="1"/>
    <row r="15" ht="26" customHeight="1">
      <c r="A15" s="21" t="inlineStr">
        <is>
          <t>ตารางสรุปคะแนนแยกตามมิติ TELOS+S (Pillar Score Breakdown)</t>
        </is>
      </c>
    </row>
    <row r="16" ht="24" customHeight="1">
      <c r="A16" s="36" t="inlineStr">
        <is>
          <t>มิติการประเมิน (TELOS+S Pillar)</t>
        </is>
      </c>
      <c r="B16" s="36" t="inlineStr">
        <is>
          <t>สัดส่วนน้ำหนัก (Weight %)</t>
        </is>
      </c>
      <c r="C16" s="36" t="inlineStr">
        <is>
          <t>คะแนนเต็มมิติ (Max Points)</t>
        </is>
      </c>
      <c r="D16" s="36" t="inlineStr">
        <is>
          <t>คะแนนที่ได้รับจริง (Earned Points)</t>
        </is>
      </c>
      <c r="E16" s="36" t="inlineStr">
        <is>
          <t>คะแนนเฉลี่ย (Score 1-5)</t>
        </is>
      </c>
      <c r="F16" s="36" t="inlineStr">
        <is>
          <t>ระดับความพร้อม (Readiness Level)</t>
        </is>
      </c>
    </row>
    <row r="17" ht="22" customHeight="1">
      <c r="A17" s="37" t="inlineStr">
        <is>
          <t>T : ด้านเทคโนโลยีและวิศวกรรม (Technical)</t>
        </is>
      </c>
      <c r="B17" s="38" t="n">
        <v>0.2</v>
      </c>
      <c r="C17" s="39" t="n">
        <v>20</v>
      </c>
      <c r="D17" s="40">
        <f>SUM(B11:F11)*20</f>
        <v/>
      </c>
      <c r="E17" s="41">
        <f>IF(C17&gt;0, (D17/C17)*5, 0)</f>
        <v/>
      </c>
      <c r="F17" s="27">
        <f>IF(D17&gt;=16.0, "พร้อมระดับสูง (High)", IF(D17&gt;=12.0, "ปานกลาง (Medium)", "เสี่ยงวิกฤต (Critical)"))</f>
        <v/>
      </c>
    </row>
    <row r="18" ht="22" customHeight="1">
      <c r="A18" s="37" t="inlineStr">
        <is>
          <t>E : ด้านเศรษฐศาสตร์และความคุ้มค่า (Economic)</t>
        </is>
      </c>
      <c r="B18" s="38" t="n">
        <v>0.2</v>
      </c>
      <c r="C18" s="39" t="n">
        <v>20</v>
      </c>
      <c r="D18" s="40">
        <f>SUM(G11:I11)*20</f>
        <v/>
      </c>
      <c r="E18" s="41">
        <f>IF(C18&gt;0, (D18/C18)*5, 0)</f>
        <v/>
      </c>
      <c r="F18" s="27">
        <f>IF(D18&gt;=16.0, "พร้อมระดับสูง (High)", IF(D18&gt;=12.0, "ปานกลาง (Medium)", "เสี่ยงวิกฤต (Critical)"))</f>
        <v/>
      </c>
    </row>
    <row r="19" ht="22" customHeight="1">
      <c r="A19" s="37" t="inlineStr">
        <is>
          <t>L : ด้านกฎหมาย ระเบียบ และภาคประชาชน (Legal &amp; Outreach)</t>
        </is>
      </c>
      <c r="B19" s="38" t="n">
        <v>0.15</v>
      </c>
      <c r="C19" s="39" t="n">
        <v>15</v>
      </c>
      <c r="D19" s="40">
        <f>SUM(J11:K11)*20</f>
        <v/>
      </c>
      <c r="E19" s="41">
        <f>IF(C19&gt;0, (D19/C19)*5, 0)</f>
        <v/>
      </c>
      <c r="F19" s="27">
        <f>IF(D19&gt;=12.0, "พร้อมระดับสูง (High)", IF(D19&gt;=9.0, "ปานกลาง (Medium)", "เสี่ยงวิกฤต (Critical)"))</f>
        <v/>
      </c>
    </row>
    <row r="20" ht="22" customHeight="1">
      <c r="A20" s="37" t="inlineStr">
        <is>
          <t>O : ด้านการปฏิบัติการและหน้างาน (Operational)</t>
        </is>
      </c>
      <c r="B20" s="38" t="n">
        <v>0.2</v>
      </c>
      <c r="C20" s="39" t="n">
        <v>20</v>
      </c>
      <c r="D20" s="40">
        <f>SUM(L11:O11)*20</f>
        <v/>
      </c>
      <c r="E20" s="41">
        <f>IF(C20&gt;0, (D20/C20)*5, 0)</f>
        <v/>
      </c>
      <c r="F20" s="27">
        <f>IF(D20&gt;=16.0, "พร้อมระดับสูง (High)", IF(D20&gt;=12.0, "ปานกลาง (Medium)", "เสี่ยงวิกฤต (Critical)"))</f>
        <v/>
      </c>
    </row>
    <row r="21" ht="22" customHeight="1">
      <c r="A21" s="37" t="inlineStr">
        <is>
          <t>S : ด้านแผนงานและเวลาส่งมอบ (Schedule)</t>
        </is>
      </c>
      <c r="B21" s="38" t="n">
        <v>0.15</v>
      </c>
      <c r="C21" s="39" t="n">
        <v>15</v>
      </c>
      <c r="D21" s="40">
        <f>P11*20</f>
        <v/>
      </c>
      <c r="E21" s="41">
        <f>IF(C21&gt;0, (D21/C21)*5, 0)</f>
        <v/>
      </c>
      <c r="F21" s="27">
        <f>IF(D21&gt;=12.0, "พร้อมระดับสูง (High)", IF(D21&gt;=9.0, "ปานกลาง (Medium)", "เสี่ยงวิกฤต (Critical)"))</f>
        <v/>
      </c>
    </row>
    <row r="22" ht="22" customHeight="1">
      <c r="A22" s="37" t="inlineStr">
        <is>
          <t>+S : ด้านความยั่งยืนและสิ่งแวดล้อม (Sustainability / SDG)</t>
        </is>
      </c>
      <c r="B22" s="38" t="n">
        <v>0.1</v>
      </c>
      <c r="C22" s="39" t="n">
        <v>10</v>
      </c>
      <c r="D22" s="40">
        <f>SUM(Q11:R11)*20</f>
        <v/>
      </c>
      <c r="E22" s="41">
        <f>IF(C22&gt;0, (D22/C22)*5, 0)</f>
        <v/>
      </c>
      <c r="F22" s="27">
        <f>IF(D22&gt;=8.0, "พร้อมระดับสูง (High)", IF(D22&gt;=6.0, "ปานกลาง (Medium)", "เสี่ยงวิกฤต (Critical)"))</f>
        <v/>
      </c>
    </row>
    <row r="23" ht="26" customHeight="1">
      <c r="A23" s="42" t="inlineStr">
        <is>
          <t>คะแนนรวมทุกมิติ (Total Feasibility Score)</t>
        </is>
      </c>
      <c r="B23" s="33">
        <f>SUM(B17:B22)</f>
        <v/>
      </c>
      <c r="C23" s="43">
        <f>SUM(C17:C22)</f>
        <v/>
      </c>
      <c r="D23" s="44">
        <f>SUM(D17:D22)</f>
        <v/>
      </c>
      <c r="E23" s="34">
        <f>IF(C23&gt;0, (D23/C23)*5, 0)</f>
        <v/>
      </c>
      <c r="F23" s="45">
        <f>IF(D23&gt;=80, "ผ่านเกณฑ์ระดับสูง (HIGHLY VIABLE)", IF(D23&gt;=60, "ผ่านแบบมีเงื่อนไข (CONDITIONALLY VIABLE)", "ความเสี่ยงสูง (HIGH RISK)"))</f>
        <v/>
      </c>
    </row>
    <row r="24" ht="12" customHeight="1"/>
    <row r="25" ht="26" customHeight="1">
      <c r="A25" s="21" t="inlineStr">
        <is>
          <t>เมทริกซ์ประเมินความเข้ากันได้กับองค์ความรู้ด้านวิศวกรรมหุ่นยนต์ (Robotics Knowledge Compatibility)</t>
        </is>
      </c>
    </row>
    <row r="26" ht="22" customHeight="1">
      <c r="A26" s="22" t="inlineStr">
        <is>
          <t>* หมายเหตุ: การประเมินส่วนนี้วัดศักยภาพในการประยุกต์ใช้องค์ความรู้ด้านวิศวกรรมหุ่นยนต์ (Perception, Control, Actuation) เต็ม 12 คะแนน (แกนละ 4 คะแนน) | เป็นเอกเทศ ไม่นับรวมในคะแนน TELOS 100 คะแนน</t>
        </is>
      </c>
    </row>
    <row r="27" ht="24" customHeight="1">
      <c r="A27" s="46" t="inlineStr">
        <is>
          <t>มิติการประเมิน (Robotics Dimension)</t>
        </is>
      </c>
      <c r="B27" s="46" t="inlineStr">
        <is>
          <t>คะแนนศักยภาพ (/12)</t>
        </is>
      </c>
      <c r="C27" s="46" t="inlineStr">
        <is>
          <t>แกน Perception &amp; Sensing (การรับรู้)</t>
        </is>
      </c>
      <c r="D27" s="46" t="inlineStr">
        <is>
          <t>แกน Control &amp; Algorithms (การควบคุม)</t>
        </is>
      </c>
      <c r="E27" s="46" t="inlineStr">
        <is>
          <t>แกน Actuation &amp; Mechanisms (กลไก)</t>
        </is>
      </c>
      <c r="F27" s="46" t="inlineStr">
        <is>
          <t>บทวิเคราะห์เชิงวิศวกรรมหุ่นยนต์ (FIBO Alignment Rationale)</t>
        </is>
      </c>
    </row>
    <row r="28" ht="95" customHeight="1">
      <c r="A28" s="47" t="inlineStr">
        <is>
          <t>ศักยภาพการประยุกต์ใช้องค์ความรู้หุ่นยนต์และระบบอัตโนมัติ</t>
        </is>
      </c>
      <c r="B28" s="48" t="n">
        <v>11.5</v>
      </c>
      <c r="C28" s="28" t="inlineStr">
        <is>
          <t>Score 4.0/4.0: 3D LiDAR spatial laser time-of-flight scanning with IMU fusion, acquiring dense point clouds with millimeter-level geometric accuracy.</t>
        </is>
      </c>
      <c r="D28" s="28" t="inlineStr">
        <is>
          <t>Score 4.0/4.0: 3D LiDAR SLAM state estimation (FAST-LIO / LIO-SAM), point cloud registration/ICP, non-linear optimization, and volumetric debris extraction.</t>
        </is>
      </c>
      <c r="E28" s="28" t="inlineStr">
        <is>
          <t>Score 3.5/4.0: Motorized pipe crawler mobile platform with encoder feedback, speed/heading regulation, and data tether management.</t>
        </is>
      </c>
      <c r="F28" s="28" t="inlineStr">
        <is>
          <t>Solution 4 exercises the peak FIBO robotics curriculum: 3D spatial laser perception, advanced SLAM state estimation, and mobile mechatronic locomotion, representing a gold-standard capstone robotics architecture.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2026-09-28T18:34:22Z</dcterms:created>
  <dcterms:modified xsi:type="dcterms:W3CDTF">2026-09-28T18:34:22Z</dcterms:modified>
</cp:coreProperties>
</file>