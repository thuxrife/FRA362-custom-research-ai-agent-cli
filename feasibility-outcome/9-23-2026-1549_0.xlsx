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เปรียบเทียบทุก Solution" sheetId="1" state="visible" r:id="rId1"/>
    <sheet name="Solution-1" sheetId="2" state="visible" r:id="rId2"/>
    <sheet name="Solution-2" sheetId="3" state="visible" r:id="rId3"/>
    <sheet name="Solution-3" sheetId="4" state="visible" r:id="rId4"/>
    <sheet name="Solution-4" sheetId="5" state="visible" r:id="rId5"/>
    <sheet name="Solution-5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9">
    <font>
      <name val="Calibri"/>
      <family val="2"/>
      <color theme="1"/>
      <sz val="11"/>
      <scheme val="minor"/>
    </font>
    <font>
      <name val="Segoe UI"/>
      <b val="1"/>
      <color rgb="001F497D"/>
      <sz val="13"/>
    </font>
    <font>
      <name val="Segoe UI"/>
      <i val="1"/>
      <color rgb="00595959"/>
      <sz val="9.5"/>
    </font>
    <font>
      <name val="Segoe UI"/>
      <b val="1"/>
      <color rgb="001F497D"/>
      <sz val="11"/>
    </font>
    <font>
      <name val="Segoe UI"/>
      <b val="1"/>
      <color rgb="00FFFFFF"/>
      <sz val="10"/>
    </font>
    <font>
      <name val="Segoe UI"/>
      <b val="1"/>
      <sz val="9.5"/>
    </font>
    <font>
      <name val="Segoe UI"/>
      <sz val="9"/>
    </font>
    <font>
      <name val="Segoe UI"/>
      <b val="1"/>
      <color rgb="00002060"/>
      <sz val="15"/>
    </font>
    <font>
      <name val="Segoe UI"/>
      <b val="1"/>
      <color rgb="00006100"/>
      <sz val="16"/>
    </font>
    <font>
      <name val="Segoe UI"/>
      <b val="1"/>
      <color rgb="00006100"/>
      <sz val="12"/>
    </font>
    <font>
      <name val="Segoe UI"/>
      <b val="1"/>
      <color rgb="00002060"/>
      <sz val="10"/>
    </font>
    <font>
      <name val="Segoe UI"/>
      <b val="1"/>
      <color rgb="00002060"/>
      <sz val="11"/>
    </font>
    <font>
      <name val="Segoe UI"/>
      <b val="1"/>
      <color rgb="00002060"/>
      <sz val="14"/>
    </font>
    <font>
      <name val="Segoe UI"/>
      <b val="1"/>
      <color rgb="001F497D"/>
      <sz val="14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b val="1"/>
      <sz val="10"/>
    </font>
    <font>
      <name val="Segoe UI"/>
      <sz val="10"/>
    </font>
    <font>
      <name val="Segoe UI"/>
      <b val="1"/>
      <color rgb="00006100"/>
      <sz val="13"/>
    </font>
  </fonts>
  <fills count="9">
    <fill>
      <patternFill/>
    </fill>
    <fill>
      <patternFill patternType="gray125"/>
    </fill>
    <fill>
      <patternFill patternType="solid">
        <fgColor rgb="00F2F4F7"/>
        <bgColor rgb="00F2F4F7"/>
      </patternFill>
    </fill>
    <fill>
      <patternFill patternType="solid">
        <fgColor rgb="001F497D"/>
        <bgColor rgb="001F497D"/>
      </patternFill>
    </fill>
    <fill>
      <patternFill patternType="solid">
        <fgColor rgb="00002060"/>
        <bgColor rgb="00002060"/>
      </patternFill>
    </fill>
    <fill>
      <patternFill patternType="solid">
        <fgColor rgb="00DCE6F1"/>
        <bgColor rgb="00DCE6F1"/>
      </patternFill>
    </fill>
    <fill>
      <patternFill patternType="solid">
        <fgColor rgb="00C6EFCE"/>
        <bgColor rgb="00C6EFCE"/>
      </patternFill>
    </fill>
    <fill>
      <patternFill patternType="solid">
        <fgColor rgb="00366092"/>
        <bgColor rgb="00366092"/>
      </patternFill>
    </fill>
    <fill>
      <patternFill patternType="solid">
        <fgColor rgb="00F9FAFC"/>
        <bgColor rgb="00F9FAF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3" fillId="0" borderId="0" pivotButton="0" quotePrefix="0" xfId="0"/>
    <xf numFmtId="0" fontId="14" fillId="0" borderId="0" pivotButton="0" quotePrefix="0" xfId="0"/>
    <xf numFmtId="0" fontId="15" fillId="3" borderId="1" applyAlignment="1" pivotButton="0" quotePrefix="0" xfId="0">
      <alignment horizontal="center" vertical="center" wrapText="1"/>
    </xf>
    <xf numFmtId="0" fontId="15" fillId="7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/>
    </xf>
    <xf numFmtId="0" fontId="16" fillId="8" borderId="1" applyAlignment="1" pivotButton="0" quotePrefix="0" xfId="0">
      <alignment horizontal="center" vertical="center"/>
    </xf>
    <xf numFmtId="0" fontId="17" fillId="8" borderId="1" applyAlignment="1" pivotButton="0" quotePrefix="0" xfId="0">
      <alignment horizontal="left" vertical="center" wrapText="1"/>
    </xf>
    <xf numFmtId="165" fontId="18" fillId="6" borderId="1" applyAlignment="1" pivotButton="0" quotePrefix="0" xfId="0">
      <alignment horizontal="center" vertical="center"/>
    </xf>
    <xf numFmtId="2" fontId="16" fillId="8" borderId="1" applyAlignment="1" pivotButton="0" quotePrefix="0" xfId="0">
      <alignment horizontal="center" vertical="center"/>
    </xf>
    <xf numFmtId="0" fontId="16" fillId="8" borderId="1" applyAlignment="1" pivotButton="0" quotePrefix="0" xfId="0">
      <alignment horizontal="center" vertical="center" wrapText="1"/>
    </xf>
    <xf numFmtId="165" fontId="11" fillId="5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16" fillId="0" borderId="1" applyAlignment="1" pivotButton="0" quotePrefix="0" xfId="0">
      <alignment horizontal="center" vertical="center"/>
    </xf>
    <xf numFmtId="0" fontId="17" fillId="0" borderId="1" applyAlignment="1" pivotButton="0" quotePrefix="0" xfId="0">
      <alignment horizontal="left" vertical="center" wrapText="1"/>
    </xf>
    <xf numFmtId="2" fontId="16" fillId="0" borderId="1" applyAlignment="1" pivotButton="0" quotePrefix="0" xfId="0">
      <alignment horizontal="center" vertical="center"/>
    </xf>
    <xf numFmtId="0" fontId="16" fillId="0" borderId="1" applyAlignment="1" pivotButton="0" quotePrefix="0" xfId="0">
      <alignment horizontal="center" vertical="center" wrapText="1"/>
    </xf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top" wrapText="1"/>
    </xf>
    <xf numFmtId="0" fontId="6" fillId="0" borderId="1" applyAlignment="1" pivotButton="0" quotePrefix="0" xfId="0">
      <alignment wrapText="1"/>
    </xf>
    <xf numFmtId="0" fontId="4" fillId="4" borderId="1" applyAlignment="1" pivotButton="0" quotePrefix="0" xfId="0">
      <alignment horizontal="left" vertical="center" wrapText="1"/>
    </xf>
    <xf numFmtId="1" fontId="7" fillId="5" borderId="1" applyAlignment="1" pivotButton="0" quotePrefix="0" xfId="0">
      <alignment horizontal="center" vertical="center"/>
    </xf>
    <xf numFmtId="165" fontId="8" fillId="6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2" fontId="5" fillId="0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0" borderId="1" pivotButton="0" quotePrefix="0" xfId="0"/>
    <xf numFmtId="164" fontId="6" fillId="0" borderId="1" applyAlignment="1" pivotButton="0" quotePrefix="0" xfId="0">
      <alignment horizontal="center" vertical="center"/>
    </xf>
    <xf numFmtId="165" fontId="6" fillId="0" borderId="1" applyAlignment="1" pivotButton="0" quotePrefix="0" xfId="0">
      <alignment horizontal="center" vertical="center"/>
    </xf>
    <xf numFmtId="2" fontId="10" fillId="5" borderId="1" applyAlignment="1" pivotButton="0" quotePrefix="0" xfId="0">
      <alignment horizontal="center" vertical="center"/>
    </xf>
    <xf numFmtId="2" fontId="6" fillId="0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left" vertical="center"/>
    </xf>
    <xf numFmtId="165" fontId="5" fillId="0" borderId="1" applyAlignment="1" pivotButton="0" quotePrefix="0" xfId="0">
      <alignment horizontal="center" vertical="center"/>
    </xf>
    <xf numFmtId="2" fontId="11" fillId="6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/>
    </xf>
    <xf numFmtId="165" fontId="1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34" customWidth="1" min="3" max="3"/>
    <col width="18" customWidth="1" min="4" max="4"/>
    <col width="14" customWidth="1" min="5" max="5"/>
    <col width="17" customWidth="1" min="6" max="6"/>
    <col width="14" customWidth="1" min="7" max="7"/>
    <col width="16" customWidth="1" min="8" max="8"/>
    <col width="14" customWidth="1" min="9" max="9"/>
    <col width="14" customWidth="1" min="10" max="10"/>
    <col width="28" customWidth="1" min="11" max="11"/>
    <col width="35" customWidth="1" min="12" max="12"/>
    <col width="35" customWidth="1" min="13" max="13"/>
    <col width="35" customWidth="1" min="14" max="14"/>
    <col width="22" customWidth="1" min="15" max="15"/>
    <col width="45" customWidth="1" min="16" max="16"/>
  </cols>
  <sheetData>
    <row r="1">
      <c r="A1" s="1" t="inlineStr">
        <is>
          <t>ตารางเปรียบเทียบความเป็นไปได้ของทุกข้อเสนอ (Multi-Solution Feasibility Summary)</t>
        </is>
      </c>
    </row>
    <row r="2">
      <c r="A2" s="2" t="inlineStr">
        <is>
          <t>วิเคราะห์เปรียบเทียบเชิงระบบ (Systems-Thinking) ตามเกณฑ์ TELOS+S (เต็ม 100) และเมทริกซ์ศักยภาพด้านวิศวกรรมหุ่นยนต์ (เต็ม 10 แยกอิสระ)</t>
        </is>
      </c>
    </row>
    <row r="4" ht="28" customHeight="1">
      <c r="A4" s="3" t="inlineStr">
        <is>
          <t>ลำดับ</t>
        </is>
      </c>
      <c r="B4" s="3" t="inlineStr">
        <is>
          <t>รหัสข้อเสนอ (Solution ID)</t>
        </is>
      </c>
      <c r="C4" s="3" t="inlineStr">
        <is>
          <t>ชื่อแนวทางแก้ปัญหา (Title / Concept)</t>
        </is>
      </c>
      <c r="D4" s="3" t="inlineStr">
        <is>
          <t>คะแนนรวม (เต็ม 100)</t>
        </is>
      </c>
      <c r="E4" s="3" t="inlineStr">
        <is>
          <t>T: เทคนิค (/20)</t>
        </is>
      </c>
      <c r="F4" s="3" t="inlineStr">
        <is>
          <t>E: เศรษฐศาสตร์ (/20)</t>
        </is>
      </c>
      <c r="G4" s="3" t="inlineStr">
        <is>
          <t>L: กฎหมาย (/15)</t>
        </is>
      </c>
      <c r="H4" s="3" t="inlineStr">
        <is>
          <t>O: ปฏิบัติการ (/20)</t>
        </is>
      </c>
      <c r="I4" s="3" t="inlineStr">
        <is>
          <t>S: แผนงาน (/15)</t>
        </is>
      </c>
      <c r="J4" s="3" t="inlineStr">
        <is>
          <t>+S: ยั่งยืน (/10)</t>
        </is>
      </c>
      <c r="K4" s="3" t="inlineStr">
        <is>
          <t>ผลการประเมิน (Verdict)</t>
        </is>
      </c>
      <c r="L4" s="3" t="inlineStr">
        <is>
          <t>จุดแข็งสำคัญ (Key Strengths)</t>
        </is>
      </c>
      <c r="M4" s="3" t="inlineStr">
        <is>
          <t>จุดติดขัดวิกฤต (Critical Bottlenecks)</t>
        </is>
      </c>
      <c r="N4" s="3" t="inlineStr">
        <is>
          <t>คำแนะนำเชิงระบบ (Strategic Advice)</t>
        </is>
      </c>
      <c r="O4" s="4" t="inlineStr">
        <is>
          <t>Robotics Potential (/10)</t>
        </is>
      </c>
      <c r="P4" s="4" t="inlineStr">
        <is>
          <t>เหตุผลความเข้ากันได้ด้านหุ่นยนต์ (Robotics Engineering Rationale)</t>
        </is>
      </c>
    </row>
    <row r="5" ht="55" customHeight="1">
      <c r="A5" s="5" t="n">
        <v>1</v>
      </c>
      <c r="B5" s="6" t="inlineStr">
        <is>
          <t>Solution-1</t>
        </is>
      </c>
      <c r="C5" s="7" t="inlineStr">
        <is>
          <t>Recession Rate (dh/dt) Predictive Filtering for QRT Dispatch (Ann Arbor Case)</t>
        </is>
      </c>
      <c r="D5" s="8">
        <f>'Solution-1'!T9</f>
        <v/>
      </c>
      <c r="E5" s="9">
        <f>'Solution-1'!D17</f>
        <v/>
      </c>
      <c r="F5" s="9">
        <f>'Solution-1'!D18</f>
        <v/>
      </c>
      <c r="G5" s="9">
        <f>'Solution-1'!D19</f>
        <v/>
      </c>
      <c r="H5" s="9">
        <f>'Solution-1'!D20</f>
        <v/>
      </c>
      <c r="I5" s="9">
        <f>'Solution-1'!D21</f>
        <v/>
      </c>
      <c r="J5" s="9">
        <f>'Solution-1'!D22</f>
        <v/>
      </c>
      <c r="K5" s="10">
        <f>'Solution-1'!T12</f>
        <v/>
      </c>
      <c r="L5" s="7" t="inlineStr">
        <is>
          <t>ใช้สมการอนุพันธ์ชลศาสตร์คำนวณอัตราน้ำลด dh/dt เทียบกับเวลาเดินทาง 20-30 นาที ตัด Empty Cases ได้ 40-50% สมาชิกแบ่งงานชัดเจน ต้นทุนต่ำ (&lt; 3,500 บ.)</t>
        </is>
      </c>
      <c r="M5" s="7" t="inlineStr">
        <is>
          <t>ต้องมีหลักฐาน Digital Evidence Card ประกอบการปิดงานบน Traffy Fondue และเซนเซอร์ต้องกรองฟองคลื่นน้ำเพื่อเลี่ยง Derivative Kick</t>
        </is>
      </c>
      <c r="N5" s="7" t="inlineStr">
        <is>
          <t>พัฒนาโมดูลคำนวณ dh/dt บน Python/ROS 2 ร่วมกับ Screw Terminal Shield และออกแบบ Median Filter กรองสัญญาณผิวน้ำ</t>
        </is>
      </c>
      <c r="O5" s="11" t="n">
        <v>7.5</v>
      </c>
      <c r="P5" s="7" t="inlineStr">
        <is>
          <t>มีความเข้ากันได้สูงในแกนคณิตศาสตร์วิศวกรรม ทฤษฎีระบบควบคุม (Control Theory) และการประมวลผลสัญญาณ (Signal Processing &amp; State Estimation) ของ JK แต่คะแนนอยู่ที่ 7.5 เนื่องจากขาด Physical Actuation และกลไกการเคลื่อนที่</t>
        </is>
      </c>
    </row>
    <row r="6" ht="55" customHeight="1">
      <c r="A6" s="12" t="n">
        <v>2</v>
      </c>
      <c r="B6" s="13" t="inlineStr">
        <is>
          <t>Solution-2</t>
        </is>
      </c>
      <c r="C6" s="14" t="inlineStr">
        <is>
          <t>PUB Singapore CWOS 2-Factor Authentication Dispatch Filter</t>
        </is>
      </c>
      <c r="D6" s="8">
        <f>'Solution-2'!T9</f>
        <v/>
      </c>
      <c r="E6" s="15">
        <f>'Solution-2'!D17</f>
        <v/>
      </c>
      <c r="F6" s="15">
        <f>'Solution-2'!D18</f>
        <v/>
      </c>
      <c r="G6" s="15">
        <f>'Solution-2'!D19</f>
        <v/>
      </c>
      <c r="H6" s="15">
        <f>'Solution-2'!D20</f>
        <v/>
      </c>
      <c r="I6" s="15">
        <f>'Solution-2'!D21</f>
        <v/>
      </c>
      <c r="J6" s="15">
        <f>'Solution-2'!D22</f>
        <v/>
      </c>
      <c r="K6" s="16">
        <f>'Solution-2'!T12</f>
        <v/>
      </c>
      <c r="L6" s="14" t="inlineStr">
        <is>
          <t>สถาปัตยกรรมคลาวด์ซอฟต์แวร์ ตรวจสอบ 2 เงื่อนไข (Rain Radar + Telemetry) ตัดการส่งรถ QRT บน False Alarms ได้เด็ดขาด ค่าใช้จ่ายฮาร์ดแวร์เป็น 0</t>
        </is>
      </c>
      <c r="M6" s="14" t="inlineStr">
        <is>
          <t>การพึ่งพาข้อมูลเรดาร์ภายนอกมีความล่าช้า (Latency) และต้องทำข้อตกลงเข้าถึง API ข้อมูลสภาพอากาศและน้ำท่วม</t>
        </is>
      </c>
      <c r="N6" s="14" t="inlineStr">
        <is>
          <t>พัฒนาโมดูลเชื่อมต่อ API เรดาร์ของ TMD/กทม. และสร้างกลไก Fallback เมื่อสัญญาณ API ขาดหาย</t>
        </is>
      </c>
      <c r="O6" s="11" t="n">
        <v>5</v>
      </c>
      <c r="P6" s="14" t="inlineStr">
        <is>
          <t>สอดคล้องกับแกน Data Pipeline &amp; Ingestion API ของ Kin แต่แก่นแท้เป็นงาน Software Engineering / IT Management ขาดองค์ประกอบหลักด้าน Mechatronics, Embedded Control และ Actuation ของวิศวกรรมหุ่นยนต์</t>
        </is>
      </c>
    </row>
    <row r="7" ht="55" customHeight="1">
      <c r="A7" s="5" t="n">
        <v>3</v>
      </c>
      <c r="B7" s="6" t="inlineStr">
        <is>
          <t>Solution-3</t>
        </is>
      </c>
      <c r="C7" s="7" t="inlineStr">
        <is>
          <t>Acoustic Sewer Measurement &amp; Pre-Screening Maintenance (UK/USA SL-RAT Case)</t>
        </is>
      </c>
      <c r="D7" s="8">
        <f>'Solution-3'!T9</f>
        <v/>
      </c>
      <c r="E7" s="9">
        <f>'Solution-3'!D17</f>
        <v/>
      </c>
      <c r="F7" s="9">
        <f>'Solution-3'!D18</f>
        <v/>
      </c>
      <c r="G7" s="9">
        <f>'Solution-3'!D19</f>
        <v/>
      </c>
      <c r="H7" s="9">
        <f>'Solution-3'!D20</f>
        <v/>
      </c>
      <c r="I7" s="9">
        <f>'Solution-3'!D21</f>
        <v/>
      </c>
      <c r="J7" s="9">
        <f>'Solution-3'!D22</f>
        <v/>
      </c>
      <c r="K7" s="10">
        <f>'Solution-3'!T12</f>
        <v/>
      </c>
      <c r="L7" s="7" t="inlineStr">
        <is>
          <t>ใช้คลื่นเสียงทดสอบสภาพความสะอาดท่อระบายน้ำจากปากบ่อพักใน 3 นาที แบ่ง 3 Tiers (0-3, 4-6, 7-10) ตัดรอบล้างท่อที่ไม่จำเป็นได้ 60%</t>
        </is>
      </c>
      <c r="M7" s="7" t="inlineStr">
        <is>
          <t>การจัดหา Transducer ทนก๊าซ H2S ในงบจำกัด และความเสี่ยงอุบัติเหตุจราจรจากการเปิดฝาท่อพักบนถนน</t>
        </is>
      </c>
      <c r="N7" s="7" t="inlineStr">
        <is>
          <t>ใช้ลำโพงและไมค์มาตรฐาน COTS ร่วมกับซีลซิลิโคน และตั้งแนวกรวยจราจรความปลอดภัยตามระเบียบ</t>
        </is>
      </c>
      <c r="O7" s="11" t="n">
        <v>8.5</v>
      </c>
      <c r="P7" s="7" t="inlineStr">
        <is>
          <t>เข้ากันได้สูงมากกับองค์ความรู้ Mechatronics, Acoustic Signal Processing, Instrument Design และ Field Robotics Payload ที่สามารถนำไปประกอบกับหุ่นยนต์มุดท่อระบายน้ำได้โดยตรง ตอบโจทย์วิศวกรรมหุ่นยนต์ภาคสนามอย่างยิ่ง</t>
        </is>
      </c>
    </row>
    <row r="8" ht="55" customHeight="1">
      <c r="A8" s="12" t="n">
        <v>4</v>
      </c>
      <c r="B8" s="13" t="inlineStr">
        <is>
          <t>Solution-4</t>
        </is>
      </c>
      <c r="C8" s="14" t="inlineStr">
        <is>
          <t>Jakarta Drainage Pipe Telemetry &amp; Prioritized Flushing DSS</t>
        </is>
      </c>
      <c r="D8" s="8">
        <f>'Solution-4'!T9</f>
        <v/>
      </c>
      <c r="E8" s="15">
        <f>'Solution-4'!D17</f>
        <v/>
      </c>
      <c r="F8" s="15">
        <f>'Solution-4'!D18</f>
        <v/>
      </c>
      <c r="G8" s="15">
        <f>'Solution-4'!D19</f>
        <v/>
      </c>
      <c r="H8" s="15">
        <f>'Solution-4'!D20</f>
        <v/>
      </c>
      <c r="I8" s="15">
        <f>'Solution-4'!D21</f>
        <v/>
      </c>
      <c r="J8" s="15">
        <f>'Solution-4'!D22</f>
        <v/>
      </c>
      <c r="K8" s="16">
        <f>'Solution-4'!T12</f>
        <v/>
      </c>
      <c r="L8" s="14" t="inlineStr">
        <is>
          <t>โครงข่ายเซนเซอร์ IoT วัดระดับน้ำและความเร็วการไหลใต้ท่อระบายน้ำ วิเคราะห์ Hydraulic Gradient เพื่อจัดลำดับรถดูดโคลนล้างท่อล่วงหน้า</t>
        </is>
      </c>
      <c r="M8" s="14" t="inlineStr">
        <is>
          <t>การกัดกร่อนจากก๊าซ H2S ใต้ท่อระบายน้ำ และคราบไขมันเกาะหัววัดจนเสี่ยงต่อสัญญาณหลอก</t>
        </is>
      </c>
      <c r="N8" s="14" t="inlineStr">
        <is>
          <t>ใช้กล่อง IP68 เคลือบ Conformal Coating ป้องกันก๊าซ และกำหนดรอบฉีดล้างหัววัด</t>
        </is>
      </c>
      <c r="O8" s="11" t="n">
        <v>6.5</v>
      </c>
      <c r="P8" s="14" t="inlineStr">
        <is>
          <t>สอดคล้องกับแกน Embedded Systems, Power Electronics &amp; Custom PCB, และ Industrial Sensor Bus แต่ขาด Physical Actuation หรือแขนกล/กลไกการทำความสะอาดอัตโนมัติ (เน้นการเฝ้าระวังมากกว่าการกระทำ)</t>
        </is>
      </c>
    </row>
    <row r="9" ht="55" customHeight="1">
      <c r="A9" s="5" t="n">
        <v>5</v>
      </c>
      <c r="B9" s="6" t="inlineStr">
        <is>
          <t>Solution-5</t>
        </is>
      </c>
      <c r="C9" s="7" t="inlineStr">
        <is>
          <t>UHI Latent Heat Precision Road Cooling (Micro-dosing 0.2-0.4 mm Evaporative Spraying)</t>
        </is>
      </c>
      <c r="D9" s="8">
        <f>'Solution-5'!T9</f>
        <v/>
      </c>
      <c r="E9" s="9">
        <f>'Solution-5'!D17</f>
        <v/>
      </c>
      <c r="F9" s="9">
        <f>'Solution-5'!D18</f>
        <v/>
      </c>
      <c r="G9" s="9">
        <f>'Solution-5'!D19</f>
        <v/>
      </c>
      <c r="H9" s="9">
        <f>'Solution-5'!D20</f>
        <v/>
      </c>
      <c r="I9" s="9">
        <f>'Solution-5'!D21</f>
        <v/>
      </c>
      <c r="J9" s="9">
        <f>'Solution-5'!D22</f>
        <v/>
      </c>
      <c r="K9" s="10">
        <f>'Solution-5'!T12</f>
        <v/>
      </c>
      <c r="L9" s="7" t="inlineStr">
        <is>
          <t>ระบบ Cyber-Physical Closed-Loop Thermal Control ฉีดพ่นละอองน้ำละเอียด 0.2-0.4 mm ดึงความร้อนแฝง ลดอุณหภูมิผิวถนน 5-10°C โดยไม่ลื่นไถล</t>
        </is>
      </c>
      <c r="M9" s="7" t="inlineStr">
        <is>
          <t>การจัดหาปั๊มแรงดันสูงและวาล์ว PWM ในงบจำกัด และการปฏิบัติตาม พ.ร.บ. จราจรในการพ่นละอองน้ำบนถนนหลวง</t>
        </is>
      </c>
      <c r="N9" s="7" t="inlineStr">
        <is>
          <t>ติดตั้งโซลินอยด์วาล์ว PWM ควบคุมด้วยไมโครคอนโทรลเลอร์ร่วมกับไพโรมิเตอร์วัดอุณหภูมิอินฟราเรด และทดสอบบนรถกอล์ฟความเร็วต่ำ</t>
        </is>
      </c>
      <c r="O9" s="11" t="n">
        <v>9</v>
      </c>
      <c r="P9" s="7" t="inlineStr">
        <is>
          <t>เป็นระบบ Cyber-Physical Mechatronic System สมบูรณ์แบบที่ผสานครบทั้ง 4 เสาหลักของหุ่นยนต์: Perception (Thermal Sensing), Control (Dynamic Closed-loop Model), Actuation (PWM Fluidic Valves &amp; Pumps) และ Mechatronics Integration สอดคล้องกับวิชาการด้านหุ่นยนต์ของ FIBO อย่างเด่นชัดที่สุด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8"/>
  <sheetViews>
    <sheetView showGridLines="1" workbookViewId="0">
      <selection activeCell="A1" sqref="A1"/>
    </sheetView>
  </sheetViews>
  <sheetFormatPr baseColWidth="8" defaultRowHeight="15"/>
  <cols>
    <col width="38" customWidth="1" min="1" max="1"/>
    <col width="36" customWidth="1" min="2" max="2"/>
    <col width="36" customWidth="1" min="3" max="3"/>
    <col width="36" customWidth="1" min="4" max="4"/>
    <col width="36" customWidth="1" min="5" max="5"/>
    <col width="36" customWidth="1" min="6" max="6"/>
    <col width="36" customWidth="1" min="7" max="7"/>
    <col width="36" customWidth="1" min="8" max="8"/>
    <col width="36" customWidth="1" min="9" max="9"/>
    <col width="36" customWidth="1" min="10" max="10"/>
    <col width="36" customWidth="1" min="11" max="11"/>
    <col width="36" customWidth="1" min="12" max="12"/>
    <col width="36" customWidth="1" min="13" max="13"/>
    <col width="36" customWidth="1" min="14" max="14"/>
    <col width="36" customWidth="1" min="15" max="15"/>
    <col width="36" customWidth="1" min="16" max="16"/>
    <col width="36" customWidth="1" min="17" max="17"/>
    <col width="36" customWidth="1" min="18" max="18"/>
    <col width="36" customWidth="1" min="19" max="19"/>
    <col width="36" customWidth="1" min="20" max="20"/>
  </cols>
  <sheetData>
    <row r="1">
      <c r="A1" s="17" t="inlineStr">
        <is>
          <t>เมทริกซ์ประเมินความเป็นไปได้เชิงระบบ TELOS+S: Recession Rate (dh/dt) Predictive Filtering for QRT Dispatch (Ann Arbor Case)</t>
        </is>
      </c>
    </row>
    <row r="2">
      <c r="A2" s="18" t="inlineStr">
        <is>
          <t>ระบบคะแนนจำนวนเต็มเด็ดขาด: 1, 2, 3, 4, 5 เท่านั้น (ไม่มีจุดทศนิยม / ไม่มี 0.5) | โครงสร้างแบบ Transposed แนวนอน</t>
        </is>
      </c>
    </row>
    <row r="4" ht="24" customHeight="1">
      <c r="A4" s="19" t="inlineStr">
        <is>
          <t>รหัสคำถาม (Question Code)</t>
        </is>
      </c>
      <c r="B4" s="20" t="inlineStr">
        <is>
          <t>T-01</t>
        </is>
      </c>
      <c r="C4" s="20" t="inlineStr">
        <is>
          <t>T-02</t>
        </is>
      </c>
      <c r="D4" s="20" t="inlineStr">
        <is>
          <t>T-03</t>
        </is>
      </c>
      <c r="E4" s="20" t="inlineStr">
        <is>
          <t>T-04</t>
        </is>
      </c>
      <c r="F4" s="20" t="inlineStr">
        <is>
          <t>E-01</t>
        </is>
      </c>
      <c r="G4" s="20" t="inlineStr">
        <is>
          <t>E-02</t>
        </is>
      </c>
      <c r="H4" s="20" t="inlineStr">
        <is>
          <t>E-03</t>
        </is>
      </c>
      <c r="I4" s="20" t="inlineStr">
        <is>
          <t>L-01</t>
        </is>
      </c>
      <c r="J4" s="20" t="inlineStr">
        <is>
          <t>L-02</t>
        </is>
      </c>
      <c r="K4" s="20" t="inlineStr">
        <is>
          <t>O-01</t>
        </is>
      </c>
      <c r="L4" s="20" t="inlineStr">
        <is>
          <t>O-02</t>
        </is>
      </c>
      <c r="M4" s="20" t="inlineStr">
        <is>
          <t>O-03</t>
        </is>
      </c>
      <c r="N4" s="20" t="inlineStr">
        <is>
          <t>S-01</t>
        </is>
      </c>
      <c r="O4" s="20" t="inlineStr">
        <is>
          <t>S-02</t>
        </is>
      </c>
      <c r="P4" s="20" t="inlineStr">
        <is>
          <t>S-03</t>
        </is>
      </c>
      <c r="Q4" s="20" t="inlineStr">
        <is>
          <t>SDG-01</t>
        </is>
      </c>
      <c r="R4" s="20" t="inlineStr">
        <is>
          <t>SDG-02</t>
        </is>
      </c>
      <c r="S4" s="20" t="inlineStr">
        <is>
          <t>SDG-03</t>
        </is>
      </c>
      <c r="T4" s="20" t="inlineStr">
        <is>
          <t>สรุปภาพรวม (SUMMARY)</t>
        </is>
      </c>
    </row>
    <row r="5" ht="24" customHeight="1">
      <c r="A5" s="21" t="inlineStr">
        <is>
          <t>มิติการประเมิน (TELOS+S Pillar)</t>
        </is>
      </c>
      <c r="B5" s="22" t="inlineStr">
        <is>
          <t>ด้านเทคนิค (Technical 2.2)</t>
        </is>
      </c>
      <c r="C5" s="22" t="inlineStr">
        <is>
          <t>ด้านเทคนิค (Technical 2.2)</t>
        </is>
      </c>
      <c r="D5" s="22" t="inlineStr">
        <is>
          <t>ด้านเทคนิค (Technical 2.2)</t>
        </is>
      </c>
      <c r="E5" s="22" t="inlineStr">
        <is>
          <t>ด้านเทคนิค (Technical 2.2)</t>
        </is>
      </c>
      <c r="F5" s="22" t="inlineStr">
        <is>
          <t>ด้านเศรษฐศาสตร์ (Economic 2.3)</t>
        </is>
      </c>
      <c r="G5" s="22" t="inlineStr">
        <is>
          <t>ด้านเศรษฐศาสตร์ (Economic 2.3)</t>
        </is>
      </c>
      <c r="H5" s="22" t="inlineStr">
        <is>
          <t>ด้านเศรษฐศาสตร์ (Economic 2.3)</t>
        </is>
      </c>
      <c r="I5" s="22" t="inlineStr">
        <is>
          <t>ด้านกฎหมาย (Legal 2.4)</t>
        </is>
      </c>
      <c r="J5" s="22" t="inlineStr">
        <is>
          <t>ด้านกฎหมาย (Legal 2.4)</t>
        </is>
      </c>
      <c r="K5" s="22" t="inlineStr">
        <is>
          <t>ด้านการปฏิบัติการ (Operational 2.5)</t>
        </is>
      </c>
      <c r="L5" s="22" t="inlineStr">
        <is>
          <t>ด้านการปฏิบัติการ (Operational 2.5)</t>
        </is>
      </c>
      <c r="M5" s="22" t="inlineStr">
        <is>
          <t>ด้านการปฏิบัติการ (Operational 2.5)</t>
        </is>
      </c>
      <c r="N5" s="22" t="inlineStr">
        <is>
          <t>ด้านเวลา (Schedule 2.6)</t>
        </is>
      </c>
      <c r="O5" s="22" t="inlineStr">
        <is>
          <t>ด้านเวลา (Schedule 2.6)</t>
        </is>
      </c>
      <c r="P5" s="22" t="inlineStr">
        <is>
          <t>ด้านเวลา (Schedule 2.6)</t>
        </is>
      </c>
      <c r="Q5" s="22" t="inlineStr">
        <is>
          <t>ด้านความยั่งยืน (SDGs 2.7)</t>
        </is>
      </c>
      <c r="R5" s="22" t="inlineStr">
        <is>
          <t>ด้านความยั่งยืน (SDGs 2.7)</t>
        </is>
      </c>
      <c r="S5" s="22" t="inlineStr">
        <is>
          <t>ด้านความยั่งยืน (SDGs 2.7)</t>
        </is>
      </c>
      <c r="T5" s="23" t="inlineStr">
        <is>
          <t>ผลรวมทุกมิติ (All Pillars)</t>
        </is>
      </c>
    </row>
    <row r="6" ht="80" customHeight="1">
      <c r="A6" s="21" t="inlineStr">
        <is>
          <t>คำถามทดสอบความเสี่ยงจริง (Stress-Test Question)</t>
        </is>
      </c>
      <c r="B6" s="24" t="inlineStr">
        <is>
          <t>โครงสร้างทางกายภาพและกลไกยึดจับภายนอกของระบบ สามารถออกแบบ ผลิต และประกอบขึ้นได้จริงด้วยเครื่องมือกลที่เข้าถึงได้ และทนทานต่อสภาวะแวดล้อมจริงของ กทม. (ลมมรสุม ละอองน้ำ ไอสารเคมี การกัดกร่อน) อย่างต่อเนื่องหรือไม่?</t>
        </is>
      </c>
      <c r="C6" s="24" t="inlineStr">
        <is>
          <t>สถาปัตยกรรมวงจรอิเล็กทรอนิกส์ การจ่ายพลังงาน และการเชื่อมต่อเซนเซอร์ สามารถทำงานได้อย่างต่อเนื่อง มีเสถียรภาพ ปราศจากความร้อนสะสมและการรบกวนทางแม่เหล็กไฟฟ้า (EMI) ในสภาวะแวดล้อมปิดหรือกลางแจ้งหรือไม่?</t>
        </is>
      </c>
      <c r="D6" s="24" t="inlineStr">
        <is>
          <t>โมเดลคณิตศาสตร์หรือตรรกะการประมวลผล สามารถส่งมอบผลลัพธ์การตัดสินใจที่ถูกต้อง แม่นยำ และทันต่อกรอบเวลาปฏิบัติการหน้างาน (Operating Time Horizon) ของระบบหรือไม่?</t>
        </is>
      </c>
      <c r="E6" s="24" t="inlineStr">
        <is>
          <t>ระบบสามารถรักษาความถูกต้องของสัญญาณตรวจวัด และทนทานต่อสิ่งรบกวนทางกายภาพในพื้นที่จริง (คราบไขมัน ตะกอน ก๊าซกัดกร่อน ฝุ่นละออง คลื่นผิวน้ำ) โดยไม่เกิดความล้มเหลวหรือส่งข้อมูลหลอก (False Alarms) หรือไม่?</t>
        </is>
      </c>
      <c r="F6" s="24" t="inlineStr">
        <is>
          <t>งบประมาณจัดซื้อวัสดุ เซนเซอร์ บอร์ดประมวลผล และตัวกระตุ้น (BOM) สำหรับสร้างต้นแบบที่ใช้งานได้จริง สามารถควบคุมให้อยู่ภายใต้เพดานงบประมาณโครงงาน (&lt; 5,000 บาท) ได้จริงหรือไม่?</t>
        </is>
      </c>
      <c r="G6" s="24" t="inlineStr">
        <is>
          <t>โครงการมีการจัดสรรงบประมาณสำรองสำหรับชิ้นส่วนทดแทนกรณีเสียหาย (Scrap Margin) อย่างน้อย 80-100% สำหรับอุปกรณ์หลักที่มีความเสี่ยงสูงจากการทดสอบหน้างานหรือไม่?</t>
        </is>
      </c>
      <c r="H6" s="24" t="inlineStr">
        <is>
          <t>เมื่อระบบถูกนำไปใช้งานจริง สามารถลดการสิ้นเปลืองทรัพยากร (ค่าน้ำมันรถปฏิบัติการ ค่าแรงเจ้าหน้าที่ ค่าบำรุงรักษายานพาหนะ) ได้คุ้มค่ากว่าภาระค่าใช้จ่ายในการติดตั้งและดูแลรักษาระบบ (OpEx) หรือไม่?</t>
        </is>
      </c>
      <c r="I6" s="24" t="inlineStr">
        <is>
          <t>การติดตั้งและปฏิบัติการของระบบ สอดคล้องกับ พ.ร.บ. คุ้มครองข้อมูลส่วนบุคคล (PDPA), พ.ร.บ. จราจรทางบก และระเบียบความปลอดภัยในที่สาธารณะ โดยไม่ก่อให้เกิดความเสี่ยงต่อการถูกฟ้องร้องหรืออุบัติเหตุบนท้องถนนหรือไม่?</t>
        </is>
      </c>
      <c r="J6" s="24" t="inlineStr">
        <is>
          <t>อุปกรณ์สื่อสารไร้สายผ่านเกณฑ์รับรองมาตรฐานคลื่นความถี่ของ กสทช. และมีช่องทางหรือศักยภาพในการประสานงานเพื่อขออนุญาตเข้าใช้พื้นที่โครงสร้างพื้นฐานเมืองกับหน่วยงานรัฐอย่างเป็นทางการหรือไม่?</t>
        </is>
      </c>
      <c r="K6" s="24" t="inlineStr">
        <is>
          <t>ระบบสามารถสร้างหลักฐานดิจิทัลเชิงประจักษ์ (Digital Evidence Card / Audit Trail) เช่น ข้อมูลแนวโน้ม พิกัดเวลา และสถานะการทำงาน เพื่อสนับสนุนการปิดงานหรือตัดสินใจของเจ้าหน้าที่ตามระเบียบขั้นตอน (SOP) โดยไม่สร้างภาระงานซ้ำซ้อนหรือไม่?</t>
        </is>
      </c>
      <c r="L6" s="24" t="inlineStr">
        <is>
          <t>ขั้นตอนการติดตั้ง การบำรุงรักษา และการใช้งานโดยเจ้าหน้าที่หน้างาน มีความสะดวก ไม่สร้างภาระงานส่วนเกิน และสอดคล้องกับสภาพการทำงานจริงของบุคลากรภาคสนามหรือไม่?</t>
        </is>
      </c>
      <c r="M6" s="24" t="inlineStr">
        <is>
          <t>ขั้นตอนการติดตั้ง ตรวจสอบ และซ่อมบำรุงอุปกรณ์หน้างาน สามารถกระทำได้อย่างปลอดภัย โดยไม่ก่อให้เกิดความเสี่ยงต่อชีวิตของผู้พัฒนา เจ้าหน้าที่ หรือประชาชนผู้สัญจร (พื้นที่อับอากาศ กระแสน้ำเชี่ยว หรือผิวจราจรที่มีรถยนต์สัญจร) หรือไม่?</t>
        </is>
      </c>
      <c r="N6" s="24" t="inlineStr">
        <is>
          <t>แผนงานและการกระจายสถาปัตยกรรมระบบ มีเวลาสำรอง (Buffer Time 3-4 สัปดาห์) เพียงพอที่จะดูดซับช่วงสอบของมหาวิทยาลัยและภาระงานอื่น โดยโครงการไม่ล่าช้ากว่ากำหนดหรือไม่?</t>
        </is>
      </c>
      <c r="O6" s="24" t="inlineStr">
        <is>
          <t>ความก้าวหน้าของโครงการสามารถบรรลุการบูรณาการฮาร์ดแวร์และซอฟต์แวร์ให้ทำงานร่วมกันได้จริง (Working Prototype / PoC) ภายในสัปดาห์ที่ 9 ก่อนการประเมินหลักของภาคการศึกษาหรือไม่?</t>
        </is>
      </c>
      <c r="P6" s="24" t="inlineStr">
        <is>
          <t>ระยะเวลาในการสั่งซื้อและขนส่งชิ้นส่วน อุปกรณ์เซนเซอร์ และบอร์ดอิเล็กทรอนิกส์ทั้งหมด สอดคล้องกับกรอบเวลา โดยสามารถได้รับของครบถ้วนภายในไม่เกิน 14 วันทำการหรือไม่?</t>
        </is>
      </c>
      <c r="Q6" s="24" t="inlineStr">
        <is>
          <t>ระบบส่งเสริมการลดความสูญเสียต่อชีวิต ทรัพย์สิน และโครงสร้างพื้นฐานของเมืองจากภัยพิบัติหรือสภาพอากาศแปรปรวน (น้ำท่วมขังหรือความร้อนรุนแรง) สอดคล้องกับเป้าหมาย SDG 11.5 และ SDG 13.1 อย่างเป็นรูปธรรมหรือไม่?</t>
        </is>
      </c>
      <c r="R6" s="24" t="inlineStr">
        <is>
          <t>ชิ้นส่วน วัสดุ และอุปกรณ์ที่ติดตั้ง ไม่ก่อให้เกิดมลพิษทางสิ่งแวดล้อม ไม่เสี่ยงต่อการหลุดลอยกลายเป็นขยะอุดตันโครงสร้างพื้นฐานสาธารณะ ใช้วัสดุที่ทนทาน ปลอดสารพิษ และใช้น้ำ/พลังงานอย่างคุ้มค่า สอดคล้องกับ SDG 6.3 / 6.4 และ SDG 12.4 หรือไม่?</t>
        </is>
      </c>
      <c r="S6" s="24" t="inlineStr">
        <is>
          <t>ตรรกะการตัดสินใจ การคัดกรอง หรือการจัดสรรทรัพยากรของระบบ มีความโปร่งใส ตรวจสอบย้อนกลับได้ (Audit Trail) และให้บริการต่อประชาชนทุกกลุ่มอย่างเป็นธรรมโดยไม่เลือกปฏิบัติ สอดคล้องกับ SDG 10.2 และ SDG 16.6 หรือไม่?</t>
        </is>
      </c>
      <c r="T6" s="25" t="inlineStr">
        <is>
          <t>ประเมินคำถามทั้งสิ้น 18 ข้อ</t>
        </is>
      </c>
    </row>
    <row r="7" ht="95" customHeight="1">
      <c r="A7" s="21" t="inlineStr">
        <is>
          <t>เหตุผลในการถาม &amp; โหมดความล้มเหลวที่เฝ้าระวัง (Rationale)</t>
        </is>
      </c>
      <c r="B7" s="24" t="inlineStr">
        <is>
          <t>หากโครงสร้างบังคับใช้วิธีผลิตระดับอุตสาหกรรมหนักที่ทีมเข้าไม่ถึง โครงงานจะล้มเหลว และหากไม่ทนต่อสภาพอากาศกลางแจ้ง อุปกรณ์จะเสียหายก่อนส่งมอบงาน</t>
        </is>
      </c>
      <c r="C7" s="24" t="inlineStr">
        <is>
          <t>วงจรไฟฟ้าที่ขาดการป้องกันจะเสี่ยงต่อการลัดวงจรเมื่อเจอน้ำและความชื้น นอกจากนี้ อุปกรณ์ที่ต้องประมวลผลต่อเนื่องหรือจ่ายกระแสสูงกลางแจ้ง เสี่ยงต่อความร้อนสะสมจนชิปค้างหรือรีบูตตัวเองขณะปฏิบัติการ</t>
        </is>
      </c>
      <c r="D7" s="24" t="inlineStr">
        <is>
          <t>หัวใจของระบบอัตโนมัติคือการให้ผลการตัดสินใจที่ทันเวลาและถูกต้อง หากโมเดลซับซ้อนเกินไปจนรันไม่ทัน หรือขาดข้อมูลฝึกฝนจนผลลัพธ์เพี้ยน ระบบจะไม่สามารถสนับสนุนการทำงานจริงของเจ้าหน้าที่ได้</t>
        </is>
      </c>
      <c r="E7" s="24" t="inlineStr">
        <is>
          <t>สภาพแวดล้อมจริงในเขตเมืองเต็มไปด้วยสิ่งรบกวน หากไม่มีเกราะกำบังทางกายภาพและตัวกรองสัญญาณเชิงสถิติ ข้อมูลจะกระโดดไปมา นำไปสู่การตัดสินใจที่ผิดพลาดและสร้างความเสียหายต่อกระบวนการทำงาน</t>
        </is>
      </c>
      <c r="F7" s="24" t="inlineStr">
        <is>
          <t>โครงงานนักศึกษาไม่มีงบประมาณสนับสนุนขนาดใหญ่จากภายนอก หากสถาปัตยกรรมบังคับใช้อุปกรณ์เกรดอุตสาหกรรมนำเข้าราคาหลายหมื่นบาท จะทำให้โครงงานหยุดชะงักจากปัญหางบประมาณบานปลาย</t>
        </is>
      </c>
      <c r="G7" s="24" t="inlineStr">
        <is>
          <t>การทดสอบหน้างานมีความเสี่ยงสูงที่จะเกิดการลัดวงจร ตกกระแทก หรือน้ำเข้า หากไม่มีอะไหล่สำรอง เมื่อชิ้นส่วนเสียหายโครงการจะต้องหยุดรอการสั่งซื้อใหม่เป็นเวลาหลายสัปดาห์</t>
        </is>
      </c>
      <c r="H7" s="24" t="inlineStr">
        <is>
          <t>ระบบที่พัฒนาขึ้นต้องสร้างผลตอบแทนทางเศรษฐศาสตร์สาธารณะที่คุ้มค่า หากค่าใช้จ่ายในการบำรุงรักษาสูงกว่ามูลค่าทรัพยากรที่ประหยัดได้ ภาครัฐจะยกเลิกการใช้งานหลังสิ้นสุดการทดสอบ</t>
        </is>
      </c>
      <c r="I7" s="24" t="inlineStr">
        <is>
          <t>การทดสอบและติดตั้งอุปกรณ์ในพื้นที่สาธารณะของเมืองต้องเคารพกฎหมายสิทธิส่วนบุคคลและความปลอดภัยในการสัญจร หากละเมิดกฎหมาย โครงการจะถูกระงับการทำงานและถูกดำเนินคดีทันที</t>
        </is>
      </c>
      <c r="J7" s="24" t="inlineStr">
        <is>
          <t>การใช้คลื่นวิทยุที่ไม่ผ่านการรับรองถือเป็นความผิดทางอาญา และการเข้าถึงพื้นที่โครงสร้างพื้นฐานสาธารณะจำเป็นต้องมีหนังสือขออนุญาตและช่องทางประสานงานกับหน่วยงานท้องถิ่น</t>
        </is>
      </c>
      <c r="K7" s="24" t="inlineStr">
        <is>
          <t>เจ้าหน้าที่หน้างานมีระเบียบปฏิบัติราชการที่ต้องมีหลักฐานชัดเจนในการปิดงาน หากระบบส่งเฉพาะข้อความเตือนโดยไม่มีกราฟแนวโน้มและบันทึกเวลา เจ้าหน้าที่จะไม่สามารถนำไปใช้ปิดงานตามระเบียบได้</t>
        </is>
      </c>
      <c r="L7" s="24" t="inlineStr">
        <is>
          <t>หากระบบใช้งานยาก ต้องใช้เครื่องมือพิเศษหรือช่างเทคนิคขั้นสูงในการบำรุงรักษา ระบบจะถูกละเลยและกลายเป็นขยะอิเล็กทรอนิกส์ในเวลาไม่นาน</t>
        </is>
      </c>
      <c r="M7" s="24" t="inlineStr">
        <is>
          <t>ความปลอดภัยต่อชีวิตเป็นเรื่องสำคัญที่สุด การทำงานในพื้นที่อับอากาศที่มีก๊าซพิษสะสม ทางน้ำลึก หรือบนผิวทางสัญจรที่ไม่มีการกั้นพื้นที่ อาจนำไปสู่อุบัติเหตุร้ายแรงถึงแก่ชีวิต</t>
        </is>
      </c>
      <c r="N7" s="24" t="inlineStr">
        <is>
          <t>ตารางสอบกลางภาคและปลายภาคของมหาวิทยาลัยจะดึงเวลาของสมาชิกไปเต็มที่ 1-2 สัปดาห์ หากไม่มี Buffer Time โครงงานจะล้มเหลวด้านเวลาทันที</t>
        </is>
      </c>
      <c r="O7" s="24" t="inlineStr">
        <is>
          <t>สัปดาห์ที่ 9 เป็น Milestone สำคัญในการประเมินความก้าวหน้า หากฮาร์ดแวร์และซอฟต์แวร์ยังไม่สามารถเชื่อมต่อกันได้จริง โครงงานจะถูกจัดอยู่ในกลุ่มเสี่ยงสูง</t>
        </is>
      </c>
      <c r="P7" s="24" t="inlineStr">
        <is>
          <t>การรอคอยชิ้นส่วนเป็นคอขวดที่พบบ่อยที่สุดในโครงงานวิศวกรรม หากอุปกรณ์ต้องรอสั่งจากต่างประเทศนานเกินไป จะทำให้เวลาในการพัฒนาและการทดสอบจริงไม่เพียงพอ</t>
        </is>
      </c>
      <c r="Q7" s="24" t="inlineStr">
        <is>
          <t>โครงงานวิศวกรรมต้องตอบสนองต่อเป้าหมายการพัฒนาที่ยั่งยืนของสหประชาชาติ โดยเฉพาะการลดผลกระทบจากภัยพิบัติเมืองและการเปลี่ยนแปลงสภาพภูมิอากาศ</t>
        </is>
      </c>
      <c r="R7" s="24" t="inlineStr">
        <is>
          <t>อุปกรณ์ที่ติดตั้งในโครงสร้างพื้นฐานเมืองต้องไม่กลายเป็นสาเหตุของมลพิษ หรือหลุดลอยไปสร้างปัญหาการอุดตัน และต้องใช้ทรัพยากรอย่างมีประสิทธิภาพ</t>
        </is>
      </c>
      <c r="S7" s="24" t="inlineStr">
        <is>
          <t>ระบบสนับสนุนการตัดสินใจของรัฐต้องมีความเป็นธรรม ไม่เลือกปฏิบัติในการจัดสรรทรัพยากรและสามารถตรวจสอบความถูกต้องย้อนหลังได้ทุกขั้นตอน</t>
        </is>
      </c>
      <c r="T7" s="25" t="inlineStr">
        <is>
          <t>สังเคราะห์จาก AI Agents Group 2</t>
        </is>
      </c>
    </row>
    <row r="8" ht="150" customHeight="1">
      <c r="A8" s="21" t="inlineStr">
        <is>
          <t>เกณฑ์การให้คะแนน (Scoring Rubric Definition: ระดับ 1, 2, 3, 4, 5 ครบทุกระดับ)</t>
        </is>
      </c>
      <c r="B8" s="24" t="inlineStr">
        <is>
          <t>1: บังคับใช้กระบวนการผลิตระดับอุตสาหกรรมหนัก (เช่น หล่อโลหะ/กลึงชิ้นงานขนาดใหญ่) ที่ไม่มีสิทธิ์เข้าถึง และโครงสร้างพังทลายเมื่อสัมผัสน้ำหรือความชื้น (Fatal Flaw)
2: ต้องจ้างโรงกลึงภายนอกผลิตเกือบทั้งหมด เสี่ยงต่อความล่าช้าเกินงบประมาณ โครงสร้างทนสภาพแวดล้อมได้ไม่เกิน 7 วัน
3: ใช้โครงสร้าง 3D Print ทั่วไป (เช่น PLA) หรือประกอบมือโดยไม่มีการซีลป้องกัน ความแข็งแรงปานกลาง ต้องมีโครงกำบังภายนอกเพิ่มเติม
4: ผสมผสานชิ้นส่วน COTS ร่วมกับชิ้นงานที่ผลิตขึ้นรูปเองภายใน (เช่น PETG/ABS/โลหะแผ่น) มีการทดสอบความแข็งแรงและซีลกันละอองน้ำระดับ IP65
5: ใช้โครงสร้างและกล่องสำเร็จรูปมาตรฐานอุตสาหกรรม (IP67/IP68) พร้อมแคลมป์ยึดมาตรฐาน ทนแรงสั่นสะเทือนและสภาพแวดล้อมภายนอกได้เกิน 90 วันโดยไม่ต้องดัดแปลง</t>
        </is>
      </c>
      <c r="C8" s="24" t="inlineStr">
        <is>
          <t>1: วงจรไม่มีระบบป้องกันไฟกระชาก เกิดความร้อนสะสมจนชิปหยุดทำงาน หรือเกิดการลัดวงจรทันทีเมื่อมีความชื้น (Fatal Flaw)
2: อุปกรณ์ประมวลผลเกิดความร้อนสูงสะสมจนลดทอนความเร็ว สัญญาณแอนะล็อกถูกสัญญาณรบกวนจนอ่านค่าผิดพลาดเกิน 30%
3: ใช้วงจรประกอบมือบน Perfboard หรือสายไฟแบบ Dupont เสี่ยงต่อการหลวมหลุดเมื่อมีแรงสั่นสะเทือน แต่ยังทำงานได้
4: ใช้วงจรไมโครคอนโทรลเลอร์เชื่อมต่อผ่าน Screw Terminal Shield หรือ Custom PCB ขนาดเล็กที่มี Diode ป้องกันไฟย้อนและตัวเก็บประจุกรองสัญญาณรบกวน
5: สถาปัตยกรรมวงจรมาตรฐาน มีการแยกกราวและสัญญาณ (Optocoupler/Galvanic Isolation) มีการจัดการพลังงานแบบ Low-power Sleep Mode และกระจายความร้อนโดยไม่ใช้พัดลม</t>
        </is>
      </c>
      <c r="D8" s="24" t="inlineStr">
        <is>
          <t>1: โมเดลขาดข้อมูลฝึกฝนโดยสิ้นเชิง หรืออัลกอริทึมใช้เวลาประมวลผลนานกว่ากรอบเวลาตัดสินใจหน้างานจนระบบไร้ประโยชน์ (Fatal Flaw)
2: อัลกอริทึมมีความซับซ้อนสูงแต่ขาดการปรับเทียบ (Calibration) ทำให้ผลการตัดสินใจคลาดเคลื่อนบ่อยครั้ง
3: ใช้เกณฑ์แบบคงที่ (Static Threshold) ซึ่งปรับตัวตามสภาวะพลวัตของสภาพแวดล้อมจริงได้จำกัด แต่ประมวลผลได้เร็ว
4: ใช้อัลกอริทึมประมวลผลสัญญาณหรือโมเดลน้ำหนักเบา ให้ผลลัพธ์ที่แม่นยำและประมวลผลเสร็จสิ้นภายในไม่เกิน 5 วินาที
5: ใช้สมการฟิสิกส์เชิงวิเคราะห์ (Analytical Physics) หรือสมการอนุพันธ์แบบ Closed-form ประมวลผลเสร็จในระดับมิลลิวินาที (≤ 100 ms) บน Edge Node โดยตรง</t>
        </is>
      </c>
      <c r="E8" s="24" t="inlineStr">
        <is>
          <t>1: หัววัดล้มเหลวโดยสิ้นเชิงทันทีที่สัมผัสสภาพแวดล้อมจริง (เช่น คราบไขมันเคลือบมิดจนวัดค่าไม่ได้ หรือก๊าซกัดกร่อนละลายหัววัด / Fatal Flaw)
2: เกิด False Alarm สูงเกิน 40% เมื่อเจอกระแสลม คลื่นผิวน้ำ หรือไอน้ำ ต้องอาศัยมนุษย์คอยตรวจสอบซ้ำตลอดเวลา
3: สัญญาณแกว่งตัวเมื่อเจอสิ่งรบกวน ต้องกำหนดรอบการเข้าทำความสะอาดหัววัดบ่อยครั้ง (ทุก 3-5 วัน) เพื่อรักษาความแม่นยำ
4: มีโครงกำบังทางกายภาพ (Housing/Baffle) ร่วมกับอัลกอริทึมกรองสัญญาณเชิงสถิติ (Median/Moving Average Filter) ลด False Alarm เหลือ &lt; 10%
5: ออกแบบการตรวจวัดแบบไม่สัมผัสสิ่งรบกวน (Non-contact Sensing) ร่วมกับ Adaptive Filtering กำจัดสัญญาณกวนได้สมบูรณ์โดยไม่ต้องบำรุงรักษาหัววัดเกิน 60 วัน</t>
        </is>
      </c>
      <c r="F8" s="24" t="inlineStr">
        <is>
          <t>1: งบประมาณ BOM เกิน 15,000 บาท (เกินเพดาน 5,000 บาท ถึง 3 เท่าตัว โดยไม่มีแหล่งทุนรองรับ / Fatal Flaw)
2: งบประมาณ BOM อยู่ระหว่าง 8,000 - 15,000 บาท จำเป็นต้องยื่นขอทุนสนับสนุนภายนอกซึ่งมีความไม่แน่นอนสูง
3: งบประมาณ BOM อยู่ระหว่าง 5,000 - 8,000 บาท เกินงบประมาณเล็กน้อย ต้องตัดทอนความสามารถของฮาร์ดแวร์บางส่วนออก
4: งบประมาณ BOM อยู่ระหว่าง 3,500 - 5,000 บาท พอดีกับเพดานงบประมาณโครงงาน
5: งบประมาณ BOM ต่ำกว่า 3,500 บาท ใช้อุปกรณ์ COTS ราคาประหยัด ควบคุมต้นทุนได้อย่างเด็ดขาด</t>
        </is>
      </c>
      <c r="G8" s="24" t="inlineStr">
        <is>
          <t>1: จัดซื้ออุปกรณ์เพียง 1x BOM พอดีเป๊ะ ไม่มีงบสำรองอะไหล่เลย (0%) หากอุปกรณ์ช็อตหรือแตกหัก โครงการจะหยุดชะงักทันที (Fatal Flaw)
2: มีงบสำรองอะไหล่เพียง 10-20% ครอบคลุมเฉพาะอุปกรณ์พื้นฐานชิ้นเล็ก (สายไฟ, ขั้วต่อ)
3: มีงบสำรองอะไหล่ประมาณ 50% สามารถสำรองเซนเซอร์ได้บางตัว แต่ไม่มีบอร์ดประมวลผลสำรอง
4: มีงบสำรองอะไหล่ 80-100% สำหรับเซนเซอร์หลักและโมดูลควบคุมสำคัญ
5: มีงบสำรองจัดซื้ออุปกรณ์หลักครบ 2 ชุด (100% Duplication) ภายใต้กรอบงบประมาณรวมของโครงงาน</t>
        </is>
      </c>
      <c r="H8" s="24" t="inlineStr">
        <is>
          <t>1: ค่าบำรุงรักษาระบบ (OpEx) แพงกว่ามูลค่าทรัพยากรที่ประหยัดได้ หรือไม่ก่อให้เกิดการประหยัดทรัพยากรใด ๆ เมื่อเทียบกับการไม่ทำอะไรเลย (Fatal Flaw)
2: ประหยัดทรัพยากรได้น้อยมาก มีจุดคุ้มทุนยาวนานเกินกว่า 3 ปี ไม่ดึงดูดใจเชิงนโยบาย
3: คืนทุนได้ในระยะ 1-2 ปี การประหยัดทรัพยากรแปรผันตามฤดูกาลอย่างมีนัยสำคัญ
4: ประหยัดทรัพยากร ค่าน้ำมัน และกำลังพลได้อย่างชัดเจน มีจุดคุ้มทุนภายในระยะเวลา 1 ปีแรกของการใช้งาน
5: ลดการสูญเปล่าของงบประมาณและกำลังพลได้มากกว่า 30-50% ระบบกินพลังงานต่ำมาก คืนทุนได้ภายในรอบฤดูกาลเดียว</t>
        </is>
      </c>
      <c r="I8" s="24" t="inlineStr">
        <is>
          <t>1: มีการบันทึกภาพใบหน้าหรือป้ายทะเบียนรถในที่สาธารณะโดยผิดกฎหมาย PDPA หรือติดตั้งขวางช่องทางจราจรเสี่ยงต่ออุบัติเหตุร้ายแรง (Fatal Flaw)
2: สุ่มเสี่ยงต่อการละเมิดกฎหมาย ต้องมีขั้นตอนทางเทคนิคที่ซับซ้อนเพื่อเลี่ยงข้อบังคับและยังไม่มีเอกสารยินยอม
3: ปฏิบัติตามกฎหมายได้บางส่วน แต่ต้องรอการอนุมัติข้อยกเว้นเป็นลายลักษณ์อักษรจากหน่วยงานกำกับดูแล
4: ปฏิบัติตามกฎหมายถูกต้อง มีการเข้ารหัสข้อมูล ไม่มีการจัดเก็บข้อมูลส่วนบุคคล (No PII) และมีมาตรการความปลอดภัยบนผิวทาง
5: ปลอดจากการละเมิดกฎหมาย 100% ไม่ใช้กล้องถ่ายภาพบุคคล (Zero PII) และติดตั้งในจุดปลอดภัยตามมาตรฐานวิศวกรรมสาธารณะ</t>
        </is>
      </c>
      <c r="J8" s="24" t="inlineStr">
        <is>
          <t>1: ใช้อุปกรณ์ส่งสัญญาณคลื่นความถี่เถื่อนที่ไม่ได้รับอนุญาต และไม่มีช่องทางติดต่อประสานงานกับหน่วยงานรัฐอย่างสิ้นเชิง (Fatal Flaw)
2: โมดูลสื่อสารผ่านเกณฑ์ แต่ทีมงานขาดช่องทางติดต่อ ทำให้ขั้นตอนการขออนุญาตหน้างานมีความล่าช้าเกิน 2 เดือน
3: ใช้โมดูลที่ถูกต้องตามกฎหมาย และอยู่ระหว่างรอการออกหนังสือประสานงานอย่างเป็นทางการจากมหาวิทยาลัย
4: อุปกรณ์สื่อสารผ่านการรับรองมาตรฐาน และสามารถสื่อสาร ประสานงาน และยื่นเอกสารทางราชการเพื่อขอพื้นที่ทดสอบได้อย่างราบรื่น
5: อุปกรณ์ผ่านการรับรองมาตรฐาน 100% และมีเครือข่ายความร่วมมือหรือหนังสืออนุญาตให้ทดสอบในพื้นที่จริงจากหน่วยงานกำกับดูแล</t>
        </is>
      </c>
      <c r="K8" s="24" t="inlineStr">
        <is>
          <t>1: ระบบไม่สามารถสร้างหลักฐานใด ๆ ได้ บังคับให้เจ้าหน้าที่ต้องลงพื้นที่ไปตรวจสอบซ้ำซ้อน 100% เพื่อถ่ายรูปปิดงานตามระเบียบ (Fatal Flaw)
2: แสดงผลได้เฉพาะตัวเลขดิบที่ยากต่อการแปลผล เจ้าหน้าที่ไม่สามารถนำไปใช้เป็นหลักฐานปิดงานได้
3: สร้างรายงานสรุปได้ แต่เจ้าหน้าที่ยังต้องกรอกข้อมูลและแนบรูปถ่ายยืนยันด้วยตนเองเพิ่มเติม
4: สร้างบัตรหลักฐานดิจิทัล (Digital Evidence Card) ที่แสดงผลชัดเจน อ่านเข้าใจง่ายใน 5 วินาที พร้อมแนบในระบบรายงานผลได้ทันที
5: มีระบบบันทึก Audit Trail อัตโนมัติ พร้อมส่งออกรายงานหรือเชื่อมโยง API เข้าสู่ระบบรายงานผลของหน่วยงาน (เช่น Traffy Fondue) ได้อย่างสมบูรณ์</t>
        </is>
      </c>
      <c r="L8" s="24" t="inlineStr">
        <is>
          <t>1: ใช้งานยากมาก ต้องใช้วิศวกรหรือผู้เชี่ยวชาญควบคุมตลอดเวลา เจ้าหน้าที่หน้างานปฏิเสธการใช้งานและต่อต้านระบบ (Fatal Flaw)
2: มีขั้นตอนการปรับเทียบ (Calibration) และบำรุงรักษาที่ยุ่งยากเกินกว่า 30 นาทีต่อครั้ง
3: เจ้าหน้าที่ต้องผ่านการฝึกอบรม 1-2 วัน จึงจะสามารถใช้งานและดูแลรักษาได้อย่างถูกต้อง
4: ใช้งานง่าย มีคู่มือปฏิบัติงานภาคสนามชัดเจน สามารถบำรุงรักษาได้ด้วยเครื่องมือช่างทั่วไป
5: ออกแบบตามหลักสรีรศาสตร์และ UX หน้างาน กดปุ่มเดียวทำงานอัตโนมัติ (Plug-and-Play) เจ้าหน้าที่ใช้งานได้ทันทีโดยไม่ต้องผ่านการอบรมที่ซับซ้อน</t>
        </is>
      </c>
      <c r="M8" s="24" t="inlineStr">
        <is>
          <t>1: บังคับให้คนต้องมุดลงในพื้นที่อับอากาศที่มีก๊าซพิษสะสม (Confined Space) หรือลงไปปฏิบัติงานในจุดเสี่ยงอันตรายถึงชีวิต (กระแสน้ำเชี่ยวลึก หรือผิวจราจรความเร็วสูง) โดยไม่มีอุปกรณ์นิรภัยมาตรฐาน (Fatal Flaw)
2: หน้างานมีความเสี่ยงสูง ต้องใช้อุปกรณ์ป้องกันภัยส่วนบุคคล (PPE) ขั้นสูงสุดและต้องมีเจ้าหน้าที่กำกับดูแลความปลอดภัยตลอดเวลา
3: มีความปลอดภัยปานกลาง ปฏิบัติงานได้เฉพาะจุดที่มีแนวกั้นชัดเจนหรือบนทางเท้า/ผิวทางที่มีการปิดกั้นพื้นที่สัญจร
4: มีความปลอดภัยสูง ออกแบบให้ติดตั้งและบำรุงรักษาจากบนผิวทางเท้าหรือจุดปลอดภัย โดยไม่มีการให้บุคลากรลงไปในจุดอันตราย
5: ปลอดภัย 100% ออกแบบให้ติดตั้ง บำรุงรักษา และทดสอบจากระยะไกล มีระบบตัดการทำงานฉุกเฉิน และปลอดจากจุดเสี่ยงอันตรายต่อชีวิตทุกประการ</t>
        </is>
      </c>
      <c r="N8" s="24" t="inlineStr">
        <is>
          <t>1: แผนงานเป็นเส้นตรงที่ขึ้นต่อกันทั้งหมด (Linear Dependency) หากติดช่วงสอบ 1-2 สัปดาห์ โครงการจะล้มเหลวด้านเวลาทันที (Fatal Flaw)
2: มีเวลาสำรองเพียง 3-5 วัน มีความเสี่ยงสูงมากที่จะส่งมอบงานล่าช้าเมื่อสมาชิกติดภารกิจการเรียน
3: มีเวลาสำรอง 1-2 สัปดาห์ เลื่อนงานได้บางส่วนแต่ต้องเร่งงานหนักมากหลังสอบ
4: มี Buffer Time 3-4 สัปดาห์ชัดเจน และสถาปัตยกรรมฮาร์ดแวร์-ซอฟต์แวร์แยกจากกัน ทำให้ทำงานคู่ขนานได้
5: สถาปัตยกรรมระบบเป็นอิสระต่อกันสูง ระบบหลักเสร็จสมบูรณ์ตั้งแต่ก่อนสัปดาห์สอบ มีเวลาทดสอบรวมมากกว่า 4 สัปดาห์</t>
        </is>
      </c>
      <c r="O8" s="24" t="inlineStr">
        <is>
          <t>1: มีความเสี่ยงสูงมากที่จะไม่มีระบบหรืออุปกรณ์ใด ๆ ทำงานได้จริงในสัปดาห์ที่ 9 (Fatal Flaw)
2: ภายในสัปดาห์ที่ 9 ได้เพียงการทดลองชิ้นส่วนแยกกันบนโต๊ะทดลอง ยังไม่สามารถรวมการทำงานระหว่างฮาร์ดแวร์และซอฟต์แวร์ได้
3: ระบบทำงานร่วมกันได้บนโต๊ะทดลอง แต่ยังไม่พร้อมสำหรับการทดสอบในสภาวะจำลองหน้างาน
4: มีต้นแบบฮาร์ดแวร์และซอฟต์แวร์ที่ผสานการทำงานอย่างสมบูรณ์ พร้อมทดสอบในสภาวะจำลองหน้างานได้ภายในสัปดาห์ที่ 9
5: ต้นแบบเสร็จสมบูรณ์ 100% และผ่านการทดสอบทำงานจริงได้เรียบร้อยแล้วตั้งแต่ก่อนสัปดาห์ที่ 9</t>
        </is>
      </c>
      <c r="P8" s="24" t="inlineStr">
        <is>
          <t>1: ต้องสั่งซื้อชิ้นส่วนสั่งทำพิเศษจากต่างประเทศที่ใช้เวลาส่งเกินกว่า 4-6 สัปดาห์ เสี่ยงต่อการไม่มีอุปกรณ์ทำโครงงาน (Fatal Flaw)
2: มีชิ้นส่วนหลักบางรายการที่ต้องรอของ 3-4 สัปดาห์ ทำให้การเริ่มประกอบฮาร์ดแวร์ล่าช้า
3: ชิ้นส่วนทั้งหมดใช้เวลาจัดส่ง 2-3 สัปดาห์ ต้องสั่งซื้อตั้งแต่วันแรกของโครงการจึงจะทันกำหนด
4: ชิ้นส่วนเกือบทั้งหมดจัดซื้อได้จากตัวแทนจำหน่ายในประเทศ ได้รับของภายใน 7-10 วัน
5: ชิ้นส่วนทั้งหมด 100% มีจำหน่ายในประเทศและสามารถจัดส่งถึงมือได้ภายใน 2-4 วันทำการ</t>
        </is>
      </c>
      <c r="Q8" s="24" t="inlineStr">
        <is>
          <t>1: โครงการไม่มีส่วนเกี่ยวข้อง หรืออาจส่งผลกระทบเชิงลบต่อโครงสร้างพื้นฐานและความปลอดภัยของเมือง (Fatal Flaw)
2: สนับสนุนความยั่งยืนทางอ้อมอย่างผิวเผิน แต่ไม่มีตัวชี้วัดผลกระทบเชิงปริมาณที่ชัดเจน
3: ส่งเสริมการลดผลกระทบได้บางส่วน แต่จำกัดขอบเขตอยู่เฉพาะจุดทดลองขนาดเล็ก
4: สอดคล้องกับ SDG 11.5 และ SDG 13.1 ชัดเจน ช่วยลดระยะเวลาและผลกระทบของปัญหาบนถนนสายหลักและพื้นที่ชุมชน
5: สอดคล้องกับเป้าหมายอย่างเป็นรูปธรรม มีแบบจำลองแสดงการลดความสูญเสียทางเศรษฐกิจและความปลอดภัยของประชาชนในเมืองได้อย่างยั่งยืน</t>
        </is>
      </c>
      <c r="R8" s="24" t="inlineStr">
        <is>
          <t>1: อุปกรณ์มีความเสี่ยงสูงที่จะหลุดลอยกลายเป็นขยะอุดตัน หรือปล่อยสารเคมี/โลหะหนักลงสู่สิ่งแวดล้อมสาธารณะ หรือใช้น้ำสิ้นเปลืองรุนแรง (Fatal Flaw)
2: ใช้วัสดุที่เสื่อมสภาพและแตกหักง่าย เสี่ยงต่อการตกค้างในสภาพแวดล้อมหากเจอสภาวะแวดล้อมรุนแรง
3: โครงสร้างแข็งแรงปานกลาง มีโอกาสหลุดลอยหากเจอพายุรุนแรง ต้องมีรอบการตรวจเช็กความแน่นหนาสม่ำเสมอ
4: ใช้วัสดุที่ไม่เป็นพิษต่อสิ่งแวดล้อม มีจุดยึดจับที่แน่นหนา ปลอดภัยต่อระบบสาธารณะ และควบคุมการใช้ทรัพยากรได้ดี
5: ปลอดภัยต่อระบบนิเวศ 100% ไม่มีส่วนประกอบที่หลุดลอยเป็นขยะ มีระบบสลิงนิรภัยสองชั้น (Dual Lanyard) และผ่านการรับรองความปลอดภัยของวัสดุ</t>
        </is>
      </c>
      <c r="S8" s="24" t="inlineStr">
        <is>
          <t>1: ตรรกะของระบบเป็นกล่องดำ (Black Box) ไม่สามารถอธิบายเหตุผลได้ หรือมีอคติเลือกปฏิบัติตัดความช่วยเหลือชุมชนเปราะบาง (Fatal Flaw)
2: เกณฑ์การตัดสินใจไม่ชัดเจน อาจนำไปสู่ความเหลื่อมล้ำในการให้บริการของภาครัฐโดยไม่ตั้งใจ
3: ตรรกะตรวจสอบได้บางส่วน แต่ยังไม่มีกระบวนการอุทธรณ์หรือทบทวนความถูกต้องโดยมนุษย์
4: ตรรกะโปร่งใส ตัดสินใจตามเกณฑ์ข้อมูลเชิงประจักษ์อย่างเสมอภาค ให้ความช่วยเหลือตามระดับความจำเป็นจริง
5: โปร่งใส 100% มี Audit Trail บันทึกทุกประวัติการตัดสินใจ ตรวจสอบย้อนหลังได้ทุกกรณี เสริมสร้างธรรมาภิบาลและความเชื่อมั่นของประชาชน</t>
        </is>
      </c>
      <c r="T8" s="25" t="inlineStr">
        <is>
          <t>เกณฑ์รวม: &gt;=80 ผ่านสูง, &gt;=60 มีเงื่อนไข, &lt;60 เสี่ยงสูง | หากมีข้อใดได้ 1 = VETOED ตกเกณฑ์ทันที</t>
        </is>
      </c>
    </row>
    <row r="9" ht="36" customHeight="1">
      <c r="A9" s="26" t="inlineStr">
        <is>
          <t>คะแนนที่ได้รับ (ASSIGNED SCORE: 1, 2, 3, 4, 5 STRICT INTEGER)</t>
        </is>
      </c>
      <c r="B9" s="27" t="n">
        <v>5</v>
      </c>
      <c r="C9" s="27" t="n">
        <v>4</v>
      </c>
      <c r="D9" s="27" t="n">
        <v>5</v>
      </c>
      <c r="E9" s="27" t="n">
        <v>3</v>
      </c>
      <c r="F9" s="27" t="n">
        <v>5</v>
      </c>
      <c r="G9" s="27" t="n">
        <v>5</v>
      </c>
      <c r="H9" s="27" t="n">
        <v>5</v>
      </c>
      <c r="I9" s="27" t="n">
        <v>5</v>
      </c>
      <c r="J9" s="27" t="n">
        <v>4</v>
      </c>
      <c r="K9" s="27" t="n">
        <v>4</v>
      </c>
      <c r="L9" s="27" t="n">
        <v>4</v>
      </c>
      <c r="M9" s="27" t="n">
        <v>5</v>
      </c>
      <c r="N9" s="27" t="n">
        <v>4</v>
      </c>
      <c r="O9" s="27" t="n">
        <v>4</v>
      </c>
      <c r="P9" s="27" t="n">
        <v>5</v>
      </c>
      <c r="Q9" s="27" t="n">
        <v>5</v>
      </c>
      <c r="R9" s="27" t="n">
        <v>5</v>
      </c>
      <c r="S9" s="27" t="n">
        <v>5</v>
      </c>
      <c r="T9" s="28">
        <f>IF(T10&gt;0, (T11/T10)*20, 0)</f>
        <v/>
      </c>
    </row>
    <row r="10" ht="22" customHeight="1">
      <c r="A10" s="21" t="inlineStr">
        <is>
          <t>ค่าน้ำหนัก (Weight %)</t>
        </is>
      </c>
      <c r="B10" s="29" t="n">
        <v>0.05</v>
      </c>
      <c r="C10" s="29" t="n">
        <v>0.05</v>
      </c>
      <c r="D10" s="29" t="n">
        <v>0.05</v>
      </c>
      <c r="E10" s="29" t="n">
        <v>0.05</v>
      </c>
      <c r="F10" s="29" t="n">
        <v>0.0667</v>
      </c>
      <c r="G10" s="29" t="n">
        <v>0.0667</v>
      </c>
      <c r="H10" s="29" t="n">
        <v>0.0667</v>
      </c>
      <c r="I10" s="29" t="n">
        <v>0.075</v>
      </c>
      <c r="J10" s="29" t="n">
        <v>0.075</v>
      </c>
      <c r="K10" s="29" t="n">
        <v>0.0667</v>
      </c>
      <c r="L10" s="29" t="n">
        <v>0.0667</v>
      </c>
      <c r="M10" s="29" t="n">
        <v>0.0667</v>
      </c>
      <c r="N10" s="29" t="n">
        <v>0.05</v>
      </c>
      <c r="O10" s="29" t="n">
        <v>0.05</v>
      </c>
      <c r="P10" s="29" t="n">
        <v>0.05</v>
      </c>
      <c r="Q10" s="29" t="n">
        <v>0.0333</v>
      </c>
      <c r="R10" s="29" t="n">
        <v>0.0333</v>
      </c>
      <c r="S10" s="29" t="n">
        <v>0.0333</v>
      </c>
      <c r="T10" s="29">
        <f>SUM(B10:S10)</f>
        <v/>
      </c>
    </row>
    <row r="11" ht="24" customHeight="1">
      <c r="A11" s="21" t="inlineStr">
        <is>
          <t>คะแนนถ่วงน้ำหนัก (=Score * Weight)</t>
        </is>
      </c>
      <c r="B11" s="30">
        <f>B9*B10</f>
        <v/>
      </c>
      <c r="C11" s="30">
        <f>C9*C10</f>
        <v/>
      </c>
      <c r="D11" s="30">
        <f>D9*D10</f>
        <v/>
      </c>
      <c r="E11" s="30">
        <f>E9*E10</f>
        <v/>
      </c>
      <c r="F11" s="30">
        <f>F9*F10</f>
        <v/>
      </c>
      <c r="G11" s="30">
        <f>G9*G10</f>
        <v/>
      </c>
      <c r="H11" s="30">
        <f>H9*H10</f>
        <v/>
      </c>
      <c r="I11" s="30">
        <f>I9*I10</f>
        <v/>
      </c>
      <c r="J11" s="30">
        <f>J9*J10</f>
        <v/>
      </c>
      <c r="K11" s="30">
        <f>K9*K10</f>
        <v/>
      </c>
      <c r="L11" s="30">
        <f>L9*L10</f>
        <v/>
      </c>
      <c r="M11" s="30">
        <f>M9*M10</f>
        <v/>
      </c>
      <c r="N11" s="30">
        <f>N9*N10</f>
        <v/>
      </c>
      <c r="O11" s="30">
        <f>O9*O10</f>
        <v/>
      </c>
      <c r="P11" s="30">
        <f>P9*P10</f>
        <v/>
      </c>
      <c r="Q11" s="30">
        <f>Q9*Q10</f>
        <v/>
      </c>
      <c r="R11" s="30">
        <f>R9*R10</f>
        <v/>
      </c>
      <c r="S11" s="30">
        <f>S9*S10</f>
        <v/>
      </c>
      <c r="T11" s="30">
        <f>SUM(B11:S11)</f>
        <v/>
      </c>
    </row>
    <row r="12" ht="115" customHeight="1">
      <c r="A12" s="21" t="inlineStr">
        <is>
          <t>คำอธิบาย &amp; หลักฐานอ้างอิงจากไฟล์ Intake (Evidence Citation)</t>
        </is>
      </c>
      <c r="B12" s="24" t="inlineStr">
        <is>
          <t>อ้างอิง solution-1.md หน้า 2 เลือกใช้กล่องพักสายไฟสำเร็จรูปมาตรฐาน COTS IP67 ยึดด้วยแคลมป์สแตนเลส สอดคล้องกับ team-skills/fifa.md ที่เชี่ยวชาญการออกแบบระบบยึดจับและ due.md ที่เชี่ยวชาญ 3D CAD</t>
        </is>
      </c>
      <c r="C12" s="24" t="inlineStr">
        <is>
          <t>อ้างอิง team-skills/due.md ที่มีประสบการณ์ Custom PCB และ ESP32 Low-power และ team-skills/jk.md ที่เข้าใจฟิสิกส์เซนเซอร์ วงจรเชื่อมต่อผ่าน Screw Terminal Shield มี Diode ป้องกันไฟย้อน</t>
        </is>
      </c>
      <c r="D12" s="24" t="inlineStr">
        <is>
          <t>อ้างอิง solution-1.md Requirements a: คำนวณอัตราน้ำลด dh/dt เทียบกับเวลาเดินทาง 20-30 นาที อ้างอิง team-skills/jk.md เชี่ยวชาญสมการอนุพันธ์ (Differential Equations) และ Python/ROS 2 คำนวณเสร็จในระดับมิลลิวินาที (≤ 100 ms)</t>
        </is>
      </c>
      <c r="E12" s="24" t="inlineStr">
        <is>
          <t>อ้างอิง solution-1.md Constraints a: เซนเซอร์ Ultrasonic กลางแจ้งจะเจอปัญหาฟองคลื่นน้ำและละอองฝนตีกลับรุนแรง ทำให้อนุพันธ์ dh/dt แกว่งตัว (Derivative Kick) ต้องอาศัยการกรองที่ซับซ้อน ได้คะแนนระดับ 3</t>
        </is>
      </c>
      <c r="F12" s="24" t="inlineStr">
        <is>
          <t>อ้างอิง solution-1.md BOM รายการอุปกรณ์: เซนเซอร์ Ultrasonic, ESP32, กล่อง IP67, แคลมป์ยึด รวมประมาณ 2,800 บาท ต่ำกว่าเพดาน 3,500 บาท</t>
        </is>
      </c>
      <c r="G12" s="24" t="inlineStr">
        <is>
          <t>งบประมาณ 2,800 บาท สามารถจัดซื้ออุปกรณ์หลักครบ 2 ชุด (100% Duplication) ภายใต้กรอบงบประมาณรวม 5,000 บาท</t>
        </is>
      </c>
      <c r="H12" s="24" t="inlineStr">
        <is>
          <t>อ้างอิง solution-1.md Benefits: ตัด Empty Cases ได้ 40-50% ประหยัดค่าน้ำมันรถ QRT และค่าแรงเจ้าหน้าที่ คืนทุนได้ภายในฤดูฝนเดียว</t>
        </is>
      </c>
      <c r="I12" s="24" t="inlineStr">
        <is>
          <t>ไม่ใช้กล้องบันทึกภาพบุคคล (Zero PII) ปลอดจากการละเมิด พ.ร.บ. คุ้มครองข้อมูลส่วนบุคคล (PDPA) 100% และติดตั้งบนราวสะพานปลอดภัยตามมาตรฐานทางวิศวกรรม</t>
        </is>
      </c>
      <c r="J12" s="24" t="inlineStr">
        <is>
          <t>ใช้โมดูล WiFi/433MHz ที่ผ่านการรับรองมาตรฐาน กสทช. อ้างอิง team-skills/jk.md ที่มีทักษะและเครือข่ายพร้อมประสานงานขออนุญาตพื้นที่ทดสอบผ่านหนังสือราชการของมหาวิทยาลัย</t>
        </is>
      </c>
      <c r="K12" s="24" t="inlineStr">
        <is>
          <t>อ้างอิง solution-1.md Features: สร้าง Digital Evidence Card กราฟแนวโน้ม dh/dt และ Timestamp แนบลง Traffy Fondue ได้ใน 5 วินาที</t>
        </is>
      </c>
      <c r="L12" s="24" t="inlineStr">
        <is>
          <t>ระบบออกแบบเป็น Plug-and-Play มีคู่มือการติดตั้งภาคสนามชัดเจน สามารถบำรุงรักษาได้ด้วยเครื่องมือช่างทั่วไป</t>
        </is>
      </c>
      <c r="M12" s="24" t="inlineStr">
        <is>
          <t>ติดตั้งบนราวสะพานหรือทางเท้า ปลอดภัย 100% ออกแบบให้ติดตั้งและบำรุงรักษาจากด้านบน ไม่มีการลงพื้นที่อับอากาศ (Zero Confined Space)</t>
        </is>
      </c>
      <c r="N12" s="24" t="inlineStr">
        <is>
          <t>อ้างอิง schedule-details/schedule.md: สถาปัตยกรรมแยกส่วน ฮาร์ดแวร์และซอฟต์แวร์พัฒนาคู่ขนาน มี Buffer Time 3-4 สัปดาห์ ดูดซับช่วงสอบได้สบาย</t>
        </is>
      </c>
      <c r="O12" s="24" t="inlineStr">
        <is>
          <t>ต้นแบบผสานการทำงานระหว่างเซนเซอร์และการคำนวณ dh/dt บน ROS 2 เสร็จสมบูรณ์พร้อมทดสอบในสภาวะจำลองก่อนสัปดาห์ที่ 9</t>
        </is>
      </c>
      <c r="P12" s="24" t="inlineStr">
        <is>
          <t>ชิ้นส่วน COTS ทั้งหมดมีจำหน่ายในประเทศ จัดส่งถึงมือได้ภายใน 2-4 วันทำการ</t>
        </is>
      </c>
      <c r="Q12" s="24" t="inlineStr">
        <is>
          <t>สอดคล้องกับ SDG 11.5 และ 13.1 ชัดเจน ช่วยลดระยะเวลาและผลกระทบของปัญหาน้ำท่วมบนถนนสายหลัก</t>
        </is>
      </c>
      <c r="R12" s="24" t="inlineStr">
        <is>
          <t>ใช้วัสดุปลอดสารพิษ มีสลิงนิรภัยสองชั้น (Dual Lanyard) ปลอดภัยต่อระบบนิเวศน้ำ ไม่หลุดลอยเป็นขยะ สอดคล้องกับ SDG 6.3 และ 12.4</t>
        </is>
      </c>
      <c r="S12" s="24" t="inlineStr">
        <is>
          <t>ตรรกะคำนวณตามหลักการทางชลศาสตร์ที่โปร่งใส มี Audit Trail บันทึกประวัติการตัดสินใจ ตรวจสอบย้อนหลังได้ทุกกรณี สอดคล้องกับ SDG 10.2 และ 16.6</t>
        </is>
      </c>
      <c r="T12" s="31">
        <f>IF(MIN(B9:S9)=1, "VETOED / ตกเกณฑ์ข้อบังคับวิกฤต (คะแนนระดับ 1)", IF(T9&gt;=80, "ผ่านเกณฑ์ระดับสูง (HIGHLY VIABLE)", IF(T9&gt;=60, "ผ่านแบบมีเงื่อนไข (CONDITIONALLY VIABLE)", "ความเสี่ยงสูง (HIGH RISK)")))</f>
        <v/>
      </c>
    </row>
    <row r="13" ht="70" customHeight="1">
      <c r="A13" s="21" t="inlineStr">
        <is>
          <t>แผนลดขอบเขตงาน &amp; มาตรการลดความเสี่ยง (De-scoping Action)</t>
        </is>
      </c>
      <c r="B13" s="24" t="inlineStr">
        <is>
          <t>ใช้กล่องพักสายไฟมาตรฐาน IP67 พร้อมแคลมป์รัดท่อสำเร็จรูป</t>
        </is>
      </c>
      <c r="C13" s="24" t="inlineStr">
        <is>
          <t>ใช้ Screw Terminal Expansion Shield ป้องกันไฟกระชาก</t>
        </is>
      </c>
      <c r="D13" s="24" t="inlineStr">
        <is>
          <t>ทดสอบสมการ dh/dt ด้วยข้อมูลจำลองน้ำฝนของ กทม.</t>
        </is>
      </c>
      <c r="E13" s="24" t="inlineStr">
        <is>
          <t>ใส่ฮูดกำบังเซนเซอร์และใช้ Median Filter กรองคลื่นผิวน้ำ</t>
        </is>
      </c>
      <c r="F13" s="24" t="inlineStr">
        <is>
          <t>เลือกใช้เซนเซอร์ COTS เกรดมาตรฐานที่หาซื้อได้ทั่วไป</t>
        </is>
      </c>
      <c r="G13" s="24" t="inlineStr">
        <is>
          <t>สำรองเซนเซอร์ Ultrasonic และบอร์ด ESP32 สำรอง 1 ชุด</t>
        </is>
      </c>
      <c r="H13" s="24" t="inlineStr">
        <is>
          <t>สรุปรายงานเปรียบเทียบสถิติรอบการวิ่งของรถ QRT</t>
        </is>
      </c>
      <c r="I13" s="24" t="inlineStr">
        <is>
          <t>ยืนยันการไม่ใช้กล้องตรวจจับภาพบุคคลในทุกจุด</t>
        </is>
      </c>
      <c r="J13" s="24" t="inlineStr">
        <is>
          <t>จัดเตรียมร่างหนังสือขอความอนุเคราะห์ติดตั้งผ่านมหาวิทยาลัย</t>
        </is>
      </c>
      <c r="K13" s="24" t="inlineStr">
        <is>
          <t>สร้างเทมเพลต Digital Evidence Card เป็นไฟล์ภาพอัตโนมัติ</t>
        </is>
      </c>
      <c r="L13" s="24" t="inlineStr">
        <is>
          <t>จัดทำคู่มือ Quick Start Guide หน้างาน 1 หน้า</t>
        </is>
      </c>
      <c r="M13" s="24" t="inlineStr">
        <is>
          <t>กำหนดขั้นตอนการปฏิบัติงานโดยห้ามลงไปในท่อระบายน้ำโดยเด็ดขาด</t>
        </is>
      </c>
      <c r="N13" s="24" t="inlineStr">
        <is>
          <t>ล็อกฟังก์ชันหลักก่อนสัปดาห์สอบ 2 สัปดาห์</t>
        </is>
      </c>
      <c r="O13" s="24" t="inlineStr">
        <is>
          <t>ทดสอบสมการ dh/dt บนข้อมูลย้อนหลังให้ผ่านก่อนเริ่มต่อวงจร</t>
        </is>
      </c>
      <c r="P13" s="24" t="inlineStr">
        <is>
          <t>สั่งซื้อชิ้นส่วนล่วงหน้าตั้งแต่วันแรกของโครงการ</t>
        </is>
      </c>
      <c r="Q13" s="24" t="inlineStr">
        <is>
          <t>บันทึกตัวชี้วัดระยะเวลาน้ำลดเทียบกับการไม่ใช้ระบบ</t>
        </is>
      </c>
      <c r="R13" s="24" t="inlineStr">
        <is>
          <t>ตรวจสอบจุดยึดสายสลิงนิรภัยทุก 30 วัน</t>
        </is>
      </c>
      <c r="S13" s="24" t="inlineStr">
        <is>
          <t>เปิดเผยตรรกะการคำนวณ dh/dt ในเอกสารโครงงาน</t>
        </is>
      </c>
      <c r="T13" s="23" t="inlineStr">
        <is>
          <t>ปฏิบัติตามแผนลดขอบเขตงาน (De-scoping Advisory)</t>
        </is>
      </c>
    </row>
    <row r="14" ht="15" customHeight="1"/>
    <row r="15" ht="26" customHeight="1">
      <c r="A15" s="17" t="inlineStr">
        <is>
          <t>ตารางสรุปคะแนนแยกตามมิติ TELOS+S (Pillar Score Breakdown)</t>
        </is>
      </c>
    </row>
    <row r="16" ht="24" customHeight="1">
      <c r="A16" s="32" t="inlineStr">
        <is>
          <t>มิติการประเมิน (TELOS+S Pillar)</t>
        </is>
      </c>
      <c r="B16" s="32" t="inlineStr">
        <is>
          <t>สัดส่วนน้ำหนัก (Weight %)</t>
        </is>
      </c>
      <c r="C16" s="32" t="inlineStr">
        <is>
          <t>คะแนนเต็มมิติ (Max Points)</t>
        </is>
      </c>
      <c r="D16" s="32" t="inlineStr">
        <is>
          <t>คะแนนที่ได้รับจริง (Earned Points)</t>
        </is>
      </c>
      <c r="E16" s="32" t="inlineStr">
        <is>
          <t>คะแนนเฉลี่ย (Score 1-5)</t>
        </is>
      </c>
      <c r="F16" s="32" t="inlineStr">
        <is>
          <t>ระดับความพร้อม (Readiness Level)</t>
        </is>
      </c>
    </row>
    <row r="17" ht="22" customHeight="1">
      <c r="A17" s="33" t="inlineStr">
        <is>
          <t>T : ด้านเทคโนโลยีและวิศวกรรม (Technical)</t>
        </is>
      </c>
      <c r="B17" s="34" t="n">
        <v>0.2</v>
      </c>
      <c r="C17" s="35" t="n">
        <v>20</v>
      </c>
      <c r="D17" s="36">
        <f>SUM(B11:E11)*20</f>
        <v/>
      </c>
      <c r="E17" s="37">
        <f>IF(C17&gt;0, (D17/C17)*5, 0)</f>
        <v/>
      </c>
      <c r="F17" s="23">
        <f>IF(D17&gt;=16.0, "พร้อมระดับสูง (High)", IF(D17&gt;=12.0, "ปานกลาง (Medium)", "เสี่ยงวิกฤต (Critical)"))</f>
        <v/>
      </c>
    </row>
    <row r="18" ht="22" customHeight="1">
      <c r="A18" s="33" t="inlineStr">
        <is>
          <t>E : ด้านเศรษฐศาสตร์และความคุ้มค่า (Economic)</t>
        </is>
      </c>
      <c r="B18" s="34" t="n">
        <v>0.2</v>
      </c>
      <c r="C18" s="35" t="n">
        <v>20</v>
      </c>
      <c r="D18" s="36">
        <f>SUM(F11:H11)*20</f>
        <v/>
      </c>
      <c r="E18" s="37">
        <f>IF(C18&gt;0, (D18/C18)*5, 0)</f>
        <v/>
      </c>
      <c r="F18" s="23">
        <f>IF(D18&gt;=16.0, "พร้อมระดับสูง (High)", IF(D18&gt;=12.0, "ปานกลาง (Medium)", "เสี่ยงวิกฤต (Critical)"))</f>
        <v/>
      </c>
    </row>
    <row r="19" ht="22" customHeight="1">
      <c r="A19" s="33" t="inlineStr">
        <is>
          <t>L : ด้านกฎหมาย ระเบียบ และภาคประชาชน (Legal &amp; Outreach)</t>
        </is>
      </c>
      <c r="B19" s="34" t="n">
        <v>0.15</v>
      </c>
      <c r="C19" s="35" t="n">
        <v>15</v>
      </c>
      <c r="D19" s="36">
        <f>SUM(I11:J11)*20</f>
        <v/>
      </c>
      <c r="E19" s="37">
        <f>IF(C19&gt;0, (D19/C19)*5, 0)</f>
        <v/>
      </c>
      <c r="F19" s="23">
        <f>IF(D19&gt;=12.0, "พร้อมระดับสูง (High)", IF(D19&gt;=9.0, "ปานกลาง (Medium)", "เสี่ยงวิกฤต (Critical)"))</f>
        <v/>
      </c>
    </row>
    <row r="20" ht="22" customHeight="1">
      <c r="A20" s="33" t="inlineStr">
        <is>
          <t>O : ด้านการปฏิบัติการและหน้างาน (Operational)</t>
        </is>
      </c>
      <c r="B20" s="34" t="n">
        <v>0.2</v>
      </c>
      <c r="C20" s="35" t="n">
        <v>20</v>
      </c>
      <c r="D20" s="36">
        <f>SUM(K11:M11)*20</f>
        <v/>
      </c>
      <c r="E20" s="37">
        <f>IF(C20&gt;0, (D20/C20)*5, 0)</f>
        <v/>
      </c>
      <c r="F20" s="23">
        <f>IF(D20&gt;=16.0, "พร้อมระดับสูง (High)", IF(D20&gt;=12.0, "ปานกลาง (Medium)", "เสี่ยงวิกฤต (Critical)"))</f>
        <v/>
      </c>
    </row>
    <row r="21" ht="22" customHeight="1">
      <c r="A21" s="33" t="inlineStr">
        <is>
          <t>S : ด้านแผนงานและเวลาส่งมอบ (Schedule)</t>
        </is>
      </c>
      <c r="B21" s="34" t="n">
        <v>0.15</v>
      </c>
      <c r="C21" s="35" t="n">
        <v>15</v>
      </c>
      <c r="D21" s="36">
        <f>SUM(N11:P11)*20</f>
        <v/>
      </c>
      <c r="E21" s="37">
        <f>IF(C21&gt;0, (D21/C21)*5, 0)</f>
        <v/>
      </c>
      <c r="F21" s="23">
        <f>IF(D21&gt;=12.0, "พร้อมระดับสูง (High)", IF(D21&gt;=9.0, "ปานกลาง (Medium)", "เสี่ยงวิกฤต (Critical)"))</f>
        <v/>
      </c>
    </row>
    <row r="22" ht="22" customHeight="1">
      <c r="A22" s="33" t="inlineStr">
        <is>
          <t>+S : ด้านความยั่งยืนและสิ่งแวดล้อม (Sustainability / SDG)</t>
        </is>
      </c>
      <c r="B22" s="34" t="n">
        <v>0.1</v>
      </c>
      <c r="C22" s="35" t="n">
        <v>10</v>
      </c>
      <c r="D22" s="36">
        <f>SUM(Q11:S11)*20</f>
        <v/>
      </c>
      <c r="E22" s="37">
        <f>IF(C22&gt;0, (D22/C22)*5, 0)</f>
        <v/>
      </c>
      <c r="F22" s="23">
        <f>IF(D22&gt;=8.0, "พร้อมระดับสูง (High)", IF(D22&gt;=6.0, "ปานกลาง (Medium)", "เสี่ยงวิกฤต (Critical)"))</f>
        <v/>
      </c>
    </row>
    <row r="23" ht="26" customHeight="1">
      <c r="A23" s="38" t="inlineStr">
        <is>
          <t>คะแนนรวมทุกมิติ (Total Feasibility Score)</t>
        </is>
      </c>
      <c r="B23" s="29">
        <f>SUM(B17:B22)</f>
        <v/>
      </c>
      <c r="C23" s="39">
        <f>SUM(C17:C22)</f>
        <v/>
      </c>
      <c r="D23" s="40">
        <f>SUM(D17:D22)</f>
        <v/>
      </c>
      <c r="E23" s="30">
        <f>IF(C23&gt;0, (D23/C23)*5, 0)</f>
        <v/>
      </c>
      <c r="F23" s="41">
        <f>IF(D23&gt;=80, "ผ่านเกณฑ์ระดับสูง (HIGHLY VIABLE)", IF(D23&gt;=60, "ผ่านแบบมีเงื่อนไข (CONDITIONALLY VIABLE)", "ความเสี่ยงสูง (HIGH RISK)"))</f>
        <v/>
      </c>
    </row>
    <row r="24" ht="12" customHeight="1"/>
    <row r="25" ht="26" customHeight="1">
      <c r="A25" s="17" t="inlineStr">
        <is>
          <t>เมทริกซ์ประเมินความเข้ากันได้กับองค์ความรู้ด้านวิศวกรรมหุ่นยนต์ (Robotics Knowledge Compatibility)</t>
        </is>
      </c>
    </row>
    <row r="26" ht="22" customHeight="1">
      <c r="A26" s="18" t="inlineStr">
        <is>
          <t>* หมายเหตุ: การประเมินส่วนนี้วัดศักยภาพในการประยุกต์ใช้องค์ความรู้ด้านวิศวกรรมหุ่นยนต์ (Perception, Control, Actuation, Mechatronics) เต็ม 10 คะแนน | เป็นเอกเทศ ไม่นับรวมในคะแนน TELOS+S 100 คะแนน</t>
        </is>
      </c>
    </row>
    <row r="27" ht="24" customHeight="1">
      <c r="A27" s="42" t="inlineStr">
        <is>
          <t>มิติการประเมิน (Robotics Dimension)</t>
        </is>
      </c>
      <c r="B27" s="42" t="inlineStr">
        <is>
          <t>คะแนนศักยภาพ (/10)</t>
        </is>
      </c>
      <c r="C27" s="42" t="inlineStr">
        <is>
          <t>แกน Perception &amp; Sensing (การรับรู้)</t>
        </is>
      </c>
      <c r="D27" s="42" t="inlineStr">
        <is>
          <t>แกน Control &amp; Algorithms (การควบคุม)</t>
        </is>
      </c>
      <c r="E27" s="42" t="inlineStr">
        <is>
          <t>แกน Actuation &amp; Mechanisms (กลไก)</t>
        </is>
      </c>
      <c r="F27" s="42" t="inlineStr">
        <is>
          <t>บทวิเคราะห์เชิงวิศวกรรมหุ่นยนต์ (FIBO Alignment Rationale)</t>
        </is>
      </c>
    </row>
    <row r="28" ht="95" customHeight="1">
      <c r="A28" s="43" t="inlineStr">
        <is>
          <t>ศักยภาพการประยุกต์ใช้องค์ความรู้หุ่นยนต์และระบบอัตโนมัติ</t>
        </is>
      </c>
      <c r="B28" s="44" t="n">
        <v>7.5</v>
      </c>
      <c r="C28" s="24" t="inlineStr">
        <is>
          <t>เซนเซอร์วัดระดับน้ำและอัตราการไหล (Ultrasonic/Pressure) พร้อมอัลกอริทึมกรองสัญญาณคลื่นผิวน้ำ (Low-pass &amp; Median Filter)</t>
        </is>
      </c>
      <c r="D28" s="24" t="inlineStr">
        <is>
          <t>โดดเด่นมากในวิชา Dynamic Systems &amp; Control Theory: การแก้สมการอนุพันธ์ชลศาสตร์ dh/dt, Discrete Time Derivative, State Estimation และ Predictive Time Horizon (เทียบเวลาเดินทาง 20-30 นาที)</t>
        </is>
      </c>
      <c r="E28" s="24" t="inlineStr">
        <is>
          <t>ระดับต่ำ: ไม่มีระบบกลไกเคลื่อนที่ (Manipulator หรือ Mobile Chassis) เป็นระบบตัดสินใจแบบ Cyber-Physical Monitoring &amp; Edge-DSS</t>
        </is>
      </c>
      <c r="F28" s="24" t="inlineStr">
        <is>
          <t>มีความเข้ากันได้สูงในแกนคณิตศาสตร์วิศวกรรม ทฤษฎีระบบควบคุม (Control Theory) และการประมวลผลสัญญาณ (Signal Processing &amp; State Estimation) ของ JK แต่คะแนนอยู่ที่ 7.5 เนื่องจากขาด Physical Actuation และกลไกการเคลื่อนที่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8"/>
  <sheetViews>
    <sheetView showGridLines="1" workbookViewId="0">
      <selection activeCell="A1" sqref="A1"/>
    </sheetView>
  </sheetViews>
  <sheetFormatPr baseColWidth="8" defaultRowHeight="15"/>
  <cols>
    <col width="38" customWidth="1" min="1" max="1"/>
    <col width="36" customWidth="1" min="2" max="2"/>
    <col width="36" customWidth="1" min="3" max="3"/>
    <col width="36" customWidth="1" min="4" max="4"/>
    <col width="36" customWidth="1" min="5" max="5"/>
    <col width="36" customWidth="1" min="6" max="6"/>
    <col width="36" customWidth="1" min="7" max="7"/>
    <col width="36" customWidth="1" min="8" max="8"/>
    <col width="36" customWidth="1" min="9" max="9"/>
    <col width="36" customWidth="1" min="10" max="10"/>
    <col width="36" customWidth="1" min="11" max="11"/>
    <col width="36" customWidth="1" min="12" max="12"/>
    <col width="36" customWidth="1" min="13" max="13"/>
    <col width="36" customWidth="1" min="14" max="14"/>
    <col width="36" customWidth="1" min="15" max="15"/>
    <col width="36" customWidth="1" min="16" max="16"/>
    <col width="36" customWidth="1" min="17" max="17"/>
    <col width="36" customWidth="1" min="18" max="18"/>
    <col width="36" customWidth="1" min="19" max="19"/>
    <col width="36" customWidth="1" min="20" max="20"/>
  </cols>
  <sheetData>
    <row r="1">
      <c r="A1" s="17" t="inlineStr">
        <is>
          <t>เมทริกซ์ประเมินความเป็นไปได้เชิงระบบ TELOS+S: PUB Singapore CWOS 2-Factor Authentication Dispatch Filter</t>
        </is>
      </c>
    </row>
    <row r="2">
      <c r="A2" s="18" t="inlineStr">
        <is>
          <t>ระบบคะแนนจำนวนเต็มเด็ดขาด: 1, 2, 3, 4, 5 เท่านั้น (ไม่มีจุดทศนิยม / ไม่มี 0.5) | โครงสร้างแบบ Transposed แนวนอน</t>
        </is>
      </c>
    </row>
    <row r="4" ht="24" customHeight="1">
      <c r="A4" s="19" t="inlineStr">
        <is>
          <t>รหัสคำถาม (Question Code)</t>
        </is>
      </c>
      <c r="B4" s="20" t="inlineStr">
        <is>
          <t>T-01</t>
        </is>
      </c>
      <c r="C4" s="20" t="inlineStr">
        <is>
          <t>T-02</t>
        </is>
      </c>
      <c r="D4" s="20" t="inlineStr">
        <is>
          <t>T-03</t>
        </is>
      </c>
      <c r="E4" s="20" t="inlineStr">
        <is>
          <t>T-04</t>
        </is>
      </c>
      <c r="F4" s="20" t="inlineStr">
        <is>
          <t>E-01</t>
        </is>
      </c>
      <c r="G4" s="20" t="inlineStr">
        <is>
          <t>E-02</t>
        </is>
      </c>
      <c r="H4" s="20" t="inlineStr">
        <is>
          <t>E-03</t>
        </is>
      </c>
      <c r="I4" s="20" t="inlineStr">
        <is>
          <t>L-01</t>
        </is>
      </c>
      <c r="J4" s="20" t="inlineStr">
        <is>
          <t>L-02</t>
        </is>
      </c>
      <c r="K4" s="20" t="inlineStr">
        <is>
          <t>O-01</t>
        </is>
      </c>
      <c r="L4" s="20" t="inlineStr">
        <is>
          <t>O-02</t>
        </is>
      </c>
      <c r="M4" s="20" t="inlineStr">
        <is>
          <t>O-03</t>
        </is>
      </c>
      <c r="N4" s="20" t="inlineStr">
        <is>
          <t>S-01</t>
        </is>
      </c>
      <c r="O4" s="20" t="inlineStr">
        <is>
          <t>S-02</t>
        </is>
      </c>
      <c r="P4" s="20" t="inlineStr">
        <is>
          <t>S-03</t>
        </is>
      </c>
      <c r="Q4" s="20" t="inlineStr">
        <is>
          <t>SDG-01</t>
        </is>
      </c>
      <c r="R4" s="20" t="inlineStr">
        <is>
          <t>SDG-02</t>
        </is>
      </c>
      <c r="S4" s="20" t="inlineStr">
        <is>
          <t>SDG-03</t>
        </is>
      </c>
      <c r="T4" s="20" t="inlineStr">
        <is>
          <t>สรุปภาพรวม (SUMMARY)</t>
        </is>
      </c>
    </row>
    <row r="5" ht="24" customHeight="1">
      <c r="A5" s="21" t="inlineStr">
        <is>
          <t>มิติการประเมิน (TELOS+S Pillar)</t>
        </is>
      </c>
      <c r="B5" s="22" t="inlineStr">
        <is>
          <t>ด้านเทคนิค (Technical 2.2)</t>
        </is>
      </c>
      <c r="C5" s="22" t="inlineStr">
        <is>
          <t>ด้านเทคนิค (Technical 2.2)</t>
        </is>
      </c>
      <c r="D5" s="22" t="inlineStr">
        <is>
          <t>ด้านเทคนิค (Technical 2.2)</t>
        </is>
      </c>
      <c r="E5" s="22" t="inlineStr">
        <is>
          <t>ด้านเทคนิค (Technical 2.2)</t>
        </is>
      </c>
      <c r="F5" s="22" t="inlineStr">
        <is>
          <t>ด้านเศรษฐศาสตร์ (Economic 2.3)</t>
        </is>
      </c>
      <c r="G5" s="22" t="inlineStr">
        <is>
          <t>ด้านเศรษฐศาสตร์ (Economic 2.3)</t>
        </is>
      </c>
      <c r="H5" s="22" t="inlineStr">
        <is>
          <t>ด้านเศรษฐศาสตร์ (Economic 2.3)</t>
        </is>
      </c>
      <c r="I5" s="22" t="inlineStr">
        <is>
          <t>ด้านกฎหมาย (Legal 2.4)</t>
        </is>
      </c>
      <c r="J5" s="22" t="inlineStr">
        <is>
          <t>ด้านกฎหมาย (Legal 2.4)</t>
        </is>
      </c>
      <c r="K5" s="22" t="inlineStr">
        <is>
          <t>ด้านการปฏิบัติการ (Operational 2.5)</t>
        </is>
      </c>
      <c r="L5" s="22" t="inlineStr">
        <is>
          <t>ด้านการปฏิบัติการ (Operational 2.5)</t>
        </is>
      </c>
      <c r="M5" s="22" t="inlineStr">
        <is>
          <t>ด้านการปฏิบัติการ (Operational 2.5)</t>
        </is>
      </c>
      <c r="N5" s="22" t="inlineStr">
        <is>
          <t>ด้านเวลา (Schedule 2.6)</t>
        </is>
      </c>
      <c r="O5" s="22" t="inlineStr">
        <is>
          <t>ด้านเวลา (Schedule 2.6)</t>
        </is>
      </c>
      <c r="P5" s="22" t="inlineStr">
        <is>
          <t>ด้านเวลา (Schedule 2.6)</t>
        </is>
      </c>
      <c r="Q5" s="22" t="inlineStr">
        <is>
          <t>ด้านความยั่งยืน (SDGs 2.7)</t>
        </is>
      </c>
      <c r="R5" s="22" t="inlineStr">
        <is>
          <t>ด้านความยั่งยืน (SDGs 2.7)</t>
        </is>
      </c>
      <c r="S5" s="22" t="inlineStr">
        <is>
          <t>ด้านความยั่งยืน (SDGs 2.7)</t>
        </is>
      </c>
      <c r="T5" s="23" t="inlineStr">
        <is>
          <t>ผลรวมทุกมิติ (All Pillars)</t>
        </is>
      </c>
    </row>
    <row r="6" ht="80" customHeight="1">
      <c r="A6" s="21" t="inlineStr">
        <is>
          <t>คำถามทดสอบความเสี่ยงจริง (Stress-Test Question)</t>
        </is>
      </c>
      <c r="B6" s="24" t="inlineStr">
        <is>
          <t>โครงสร้างทางกายภาพและกลไกยึดจับภายนอกของระบบ สามารถออกแบบ ผลิต และประกอบขึ้นได้จริงด้วยเครื่องมือกลที่เข้าถึงได้ และทนทานต่อสภาวะแวดล้อมจริงของ กทม. (ลมมรสุม ละอองน้ำ ไอสารเคมี การกัดกร่อน) อย่างต่อเนื่องหรือไม่?</t>
        </is>
      </c>
      <c r="C6" s="24" t="inlineStr">
        <is>
          <t>สถาปัตยกรรมวงจรอิเล็กทรอนิกส์ การจ่ายพลังงาน และการเชื่อมต่อเซนเซอร์ สามารถทำงานได้อย่างต่อเนื่อง มีเสถียรภาพ ปราศจากความร้อนสะสมและการรบกวนทางแม่เหล็กไฟฟ้า (EMI) ในสภาวะแวดล้อมปิดหรือกลางแจ้งหรือไม่?</t>
        </is>
      </c>
      <c r="D6" s="24" t="inlineStr">
        <is>
          <t>โมเดลคณิตศาสตร์หรือตรรกะการประมวลผล สามารถส่งมอบผลลัพธ์การตัดสินใจที่ถูกต้อง แม่นยำ และทันต่อกรอบเวลาปฏิบัติการหน้างาน (Operating Time Horizon) ของระบบหรือไม่?</t>
        </is>
      </c>
      <c r="E6" s="24" t="inlineStr">
        <is>
          <t>ระบบสามารถรักษาความถูกต้องของสัญญาณตรวจวัด และทนทานต่อสิ่งรบกวนทางกายภาพในพื้นที่จริง (คราบไขมัน ตะกอน ก๊าซกัดกร่อน ฝุ่นละออง คลื่นผิวน้ำ) โดยไม่เกิดความล้มเหลวหรือส่งข้อมูลหลอก (False Alarms) หรือไม่?</t>
        </is>
      </c>
      <c r="F6" s="24" t="inlineStr">
        <is>
          <t>งบประมาณจัดซื้อวัสดุ เซนเซอร์ บอร์ดประมวลผล และตัวกระตุ้น (BOM) สำหรับสร้างต้นแบบที่ใช้งานได้จริง สามารถควบคุมให้อยู่ภายใต้เพดานงบประมาณโครงงาน (&lt; 5,000 บาท) ได้จริงหรือไม่?</t>
        </is>
      </c>
      <c r="G6" s="24" t="inlineStr">
        <is>
          <t>โครงการมีการจัดสรรงบประมาณสำรองสำหรับชิ้นส่วนทดแทนกรณีเสียหาย (Scrap Margin) อย่างน้อย 80-100% สำหรับอุปกรณ์หลักที่มีความเสี่ยงสูงจากการทดสอบหน้างานหรือไม่?</t>
        </is>
      </c>
      <c r="H6" s="24" t="inlineStr">
        <is>
          <t>เมื่อระบบถูกนำไปใช้งานจริง สามารถลดการสิ้นเปลืองทรัพยากร (ค่าน้ำมันรถปฏิบัติการ ค่าแรงเจ้าหน้าที่ ค่าบำรุงรักษายานพาหนะ) ได้คุ้มค่ากว่าภาระค่าใช้จ่ายในการติดตั้งและดูแลรักษาระบบ (OpEx) หรือไม่?</t>
        </is>
      </c>
      <c r="I6" s="24" t="inlineStr">
        <is>
          <t>การติดตั้งและปฏิบัติการของระบบ สอดคล้องกับ พ.ร.บ. คุ้มครองข้อมูลส่วนบุคคล (PDPA), พ.ร.บ. จราจรทางบก และระเบียบความปลอดภัยในที่สาธารณะ โดยไม่ก่อให้เกิดความเสี่ยงต่อการถูกฟ้องร้องหรืออุบัติเหตุบนท้องถนนหรือไม่?</t>
        </is>
      </c>
      <c r="J6" s="24" t="inlineStr">
        <is>
          <t>อุปกรณ์สื่อสารไร้สายผ่านเกณฑ์รับรองมาตรฐานคลื่นความถี่ของ กสทช. และมีช่องทางหรือศักยภาพในการประสานงานเพื่อขออนุญาตเข้าใช้พื้นที่โครงสร้างพื้นฐานเมืองกับหน่วยงานรัฐอย่างเป็นทางการหรือไม่?</t>
        </is>
      </c>
      <c r="K6" s="24" t="inlineStr">
        <is>
          <t>ระบบสามารถสร้างหลักฐานดิจิทัลเชิงประจักษ์ (Digital Evidence Card / Audit Trail) เช่น ข้อมูลแนวโน้ม พิกัดเวลา และสถานะการทำงาน เพื่อสนับสนุนการปิดงานหรือตัดสินใจของเจ้าหน้าที่ตามระเบียบขั้นตอน (SOP) โดยไม่สร้างภาระงานซ้ำซ้อนหรือไม่?</t>
        </is>
      </c>
      <c r="L6" s="24" t="inlineStr">
        <is>
          <t>ขั้นตอนการติดตั้ง การบำรุงรักษา และการใช้งานโดยเจ้าหน้าที่หน้างาน มีความสะดวก ไม่สร้างภาระงานส่วนเกิน และสอดคล้องกับสภาพการทำงานจริงของบุคลากรภาคสนามหรือไม่?</t>
        </is>
      </c>
      <c r="M6" s="24" t="inlineStr">
        <is>
          <t>ขั้นตอนการติดตั้ง ตรวจสอบ และซ่อมบำรุงอุปกรณ์หน้างาน สามารถกระทำได้อย่างปลอดภัย โดยไม่ก่อให้เกิดความเสี่ยงต่อชีวิตของผู้พัฒนา เจ้าหน้าที่ หรือประชาชนผู้สัญจร (พื้นที่อับอากาศ กระแสน้ำเชี่ยว หรือผิวจราจรที่มีรถยนต์สัญจร) หรือไม่?</t>
        </is>
      </c>
      <c r="N6" s="24" t="inlineStr">
        <is>
          <t>แผนงานและการกระจายสถาปัตยกรรมระบบ มีเวลาสำรอง (Buffer Time 3-4 สัปดาห์) เพียงพอที่จะดูดซับช่วงสอบของมหาวิทยาลัยและภาระงานอื่น โดยโครงการไม่ล่าช้ากว่ากำหนดหรือไม่?</t>
        </is>
      </c>
      <c r="O6" s="24" t="inlineStr">
        <is>
          <t>ความก้าวหน้าของโครงการสามารถบรรลุการบูรณาการฮาร์ดแวร์และซอฟต์แวร์ให้ทำงานร่วมกันได้จริง (Working Prototype / PoC) ภายในสัปดาห์ที่ 9 ก่อนการประเมินหลักของภาคการศึกษาหรือไม่?</t>
        </is>
      </c>
      <c r="P6" s="24" t="inlineStr">
        <is>
          <t>ระยะเวลาในการสั่งซื้อและขนส่งชิ้นส่วน อุปกรณ์เซนเซอร์ และบอร์ดอิเล็กทรอนิกส์ทั้งหมด สอดคล้องกับกรอบเวลา โดยสามารถได้รับของครบถ้วนภายในไม่เกิน 14 วันทำการหรือไม่?</t>
        </is>
      </c>
      <c r="Q6" s="24" t="inlineStr">
        <is>
          <t>ระบบส่งเสริมการลดความสูญเสียต่อชีวิต ทรัพย์สิน และโครงสร้างพื้นฐานของเมืองจากภัยพิบัติหรือสภาพอากาศแปรปรวน (น้ำท่วมขังหรือความร้อนรุนแรง) สอดคล้องกับเป้าหมาย SDG 11.5 และ SDG 13.1 อย่างเป็นรูปธรรมหรือไม่?</t>
        </is>
      </c>
      <c r="R6" s="24" t="inlineStr">
        <is>
          <t>ชิ้นส่วน วัสดุ และอุปกรณ์ที่ติดตั้ง ไม่ก่อให้เกิดมลพิษทางสิ่งแวดล้อม ไม่เสี่ยงต่อการหลุดลอยกลายเป็นขยะอุดตันโครงสร้างพื้นฐานสาธารณะ ใช้วัสดุที่ทนทาน ปลอดสารพิษ และใช้น้ำ/พลังงานอย่างคุ้มค่า สอดคล้องกับ SDG 6.3 / 6.4 และ SDG 12.4 หรือไม่?</t>
        </is>
      </c>
      <c r="S6" s="24" t="inlineStr">
        <is>
          <t>ตรรกะการตัดสินใจ การคัดกรอง หรือการจัดสรรทรัพยากรของระบบ มีความโปร่งใส ตรวจสอบย้อนกลับได้ (Audit Trail) และให้บริการต่อประชาชนทุกกลุ่มอย่างเป็นธรรมโดยไม่เลือกปฏิบัติ สอดคล้องกับ SDG 10.2 และ SDG 16.6 หรือไม่?</t>
        </is>
      </c>
      <c r="T6" s="25" t="inlineStr">
        <is>
          <t>ประเมินคำถามทั้งสิ้น 18 ข้อ</t>
        </is>
      </c>
    </row>
    <row r="7" ht="95" customHeight="1">
      <c r="A7" s="21" t="inlineStr">
        <is>
          <t>เหตุผลในการถาม &amp; โหมดความล้มเหลวที่เฝ้าระวัง (Rationale)</t>
        </is>
      </c>
      <c r="B7" s="24" t="inlineStr">
        <is>
          <t>หากโครงสร้างบังคับใช้วิธีผลิตระดับอุตสาหกรรมหนักที่ทีมเข้าไม่ถึง โครงงานจะล้มเหลว และหากไม่ทนต่อสภาพอากาศกลางแจ้ง อุปกรณ์จะเสียหายก่อนส่งมอบงาน</t>
        </is>
      </c>
      <c r="C7" s="24" t="inlineStr">
        <is>
          <t>วงจรไฟฟ้าที่ขาดการป้องกันจะเสี่ยงต่อการลัดวงจรเมื่อเจอน้ำและความชื้น นอกจากนี้ อุปกรณ์ที่ต้องประมวลผลต่อเนื่องหรือจ่ายกระแสสูงกลางแจ้ง เสี่ยงต่อความร้อนสะสมจนชิปค้างหรือรีบูตตัวเองขณะปฏิบัติการ</t>
        </is>
      </c>
      <c r="D7" s="24" t="inlineStr">
        <is>
          <t>หัวใจของระบบอัตโนมัติคือการให้ผลการตัดสินใจที่ทันเวลาและถูกต้อง หากโมเดลซับซ้อนเกินไปจนรันไม่ทัน หรือขาดข้อมูลฝึกฝนจนผลลัพธ์เพี้ยน ระบบจะไม่สามารถสนับสนุนการทำงานจริงของเจ้าหน้าที่ได้</t>
        </is>
      </c>
      <c r="E7" s="24" t="inlineStr">
        <is>
          <t>สภาพแวดล้อมจริงในเขตเมืองเต็มไปด้วยสิ่งรบกวน หากไม่มีเกราะกำบังทางกายภาพและตัวกรองสัญญาณเชิงสถิติ ข้อมูลจะกระโดดไปมา นำไปสู่การตัดสินใจที่ผิดพลาดและสร้างความเสียหายต่อกระบวนการทำงาน</t>
        </is>
      </c>
      <c r="F7" s="24" t="inlineStr">
        <is>
          <t>โครงงานนักศึกษาไม่มีงบประมาณสนับสนุนขนาดใหญ่จากภายนอก หากสถาปัตยกรรมบังคับใช้อุปกรณ์เกรดอุตสาหกรรมนำเข้าราคาหลายหมื่นบาท จะทำให้โครงงานหยุดชะงักจากปัญหางบประมาณบานปลาย</t>
        </is>
      </c>
      <c r="G7" s="24" t="inlineStr">
        <is>
          <t>การทดสอบหน้างานมีความเสี่ยงสูงที่จะเกิดการลัดวงจร ตกกระแทก หรือน้ำเข้า หากไม่มีอะไหล่สำรอง เมื่อชิ้นส่วนเสียหายโครงการจะต้องหยุดรอการสั่งซื้อใหม่เป็นเวลาหลายสัปดาห์</t>
        </is>
      </c>
      <c r="H7" s="24" t="inlineStr">
        <is>
          <t>ระบบที่พัฒนาขึ้นต้องสร้างผลตอบแทนทางเศรษฐศาสตร์สาธารณะที่คุ้มค่า หากค่าใช้จ่ายในการบำรุงรักษาสูงกว่ามูลค่าทรัพยากรที่ประหยัดได้ ภาครัฐจะยกเลิกการใช้งานหลังสิ้นสุดการทดสอบ</t>
        </is>
      </c>
      <c r="I7" s="24" t="inlineStr">
        <is>
          <t>การทดสอบและติดตั้งอุปกรณ์ในพื้นที่สาธารณะของเมืองต้องเคารพกฎหมายสิทธิส่วนบุคคลและความปลอดภัยในการสัญจร หากละเมิดกฎหมาย โครงการจะถูกระงับการทำงานและถูกดำเนินคดีทันที</t>
        </is>
      </c>
      <c r="J7" s="24" t="inlineStr">
        <is>
          <t>การใช้คลื่นวิทยุที่ไม่ผ่านการรับรองถือเป็นความผิดทางอาญา และการเข้าถึงพื้นที่โครงสร้างพื้นฐานสาธารณะจำเป็นต้องมีหนังสือขออนุญาตและช่องทางประสานงานกับหน่วยงานท้องถิ่น</t>
        </is>
      </c>
      <c r="K7" s="24" t="inlineStr">
        <is>
          <t>เจ้าหน้าที่หน้างานมีระเบียบปฏิบัติราชการที่ต้องมีหลักฐานชัดเจนในการปิดงาน หากระบบส่งเฉพาะข้อความเตือนโดยไม่มีกราฟแนวโน้มและบันทึกเวลา เจ้าหน้าที่จะไม่สามารถนำไปใช้ปิดงานตามระเบียบได้</t>
        </is>
      </c>
      <c r="L7" s="24" t="inlineStr">
        <is>
          <t>หากระบบใช้งานยาก ต้องใช้เครื่องมือพิเศษหรือช่างเทคนิคขั้นสูงในการบำรุงรักษา ระบบจะถูกละเลยและกลายเป็นขยะอิเล็กทรอนิกส์ในเวลาไม่นาน</t>
        </is>
      </c>
      <c r="M7" s="24" t="inlineStr">
        <is>
          <t>ความปลอดภัยต่อชีวิตเป็นเรื่องสำคัญที่สุด การทำงานในพื้นที่อับอากาศที่มีก๊าซพิษสะสม ทางน้ำลึก หรือบนผิวทางสัญจรที่ไม่มีการกั้นพื้นที่ อาจนำไปสู่อุบัติเหตุร้ายแรงถึงแก่ชีวิต</t>
        </is>
      </c>
      <c r="N7" s="24" t="inlineStr">
        <is>
          <t>ตารางสอบกลางภาคและปลายภาคของมหาวิทยาลัยจะดึงเวลาของสมาชิกไปเต็มที่ 1-2 สัปดาห์ หากไม่มี Buffer Time โครงงานจะล้มเหลวด้านเวลาทันที</t>
        </is>
      </c>
      <c r="O7" s="24" t="inlineStr">
        <is>
          <t>สัปดาห์ที่ 9 เป็น Milestone สำคัญในการประเมินความก้าวหน้า หากฮาร์ดแวร์และซอฟต์แวร์ยังไม่สามารถเชื่อมต่อกันได้จริง โครงงานจะถูกจัดอยู่ในกลุ่มเสี่ยงสูง</t>
        </is>
      </c>
      <c r="P7" s="24" t="inlineStr">
        <is>
          <t>การรอคอยชิ้นส่วนเป็นคอขวดที่พบบ่อยที่สุดในโครงงานวิศวกรรม หากอุปกรณ์ต้องรอสั่งจากต่างประเทศนานเกินไป จะทำให้เวลาในการพัฒนาและการทดสอบจริงไม่เพียงพอ</t>
        </is>
      </c>
      <c r="Q7" s="24" t="inlineStr">
        <is>
          <t>โครงงานวิศวกรรมต้องตอบสนองต่อเป้าหมายการพัฒนาที่ยั่งยืนของสหประชาชาติ โดยเฉพาะการลดผลกระทบจากภัยพิบัติเมืองและการเปลี่ยนแปลงสภาพภูมิอากาศ</t>
        </is>
      </c>
      <c r="R7" s="24" t="inlineStr">
        <is>
          <t>อุปกรณ์ที่ติดตั้งในโครงสร้างพื้นฐานเมืองต้องไม่กลายเป็นสาเหตุของมลพิษ หรือหลุดลอยไปสร้างปัญหาการอุดตัน และต้องใช้ทรัพยากรอย่างมีประสิทธิภาพ</t>
        </is>
      </c>
      <c r="S7" s="24" t="inlineStr">
        <is>
          <t>ระบบสนับสนุนการตัดสินใจของรัฐต้องมีความเป็นธรรม ไม่เลือกปฏิบัติในการจัดสรรทรัพยากรและสามารถตรวจสอบความถูกต้องย้อนหลังได้ทุกขั้นตอน</t>
        </is>
      </c>
      <c r="T7" s="25" t="inlineStr">
        <is>
          <t>สังเคราะห์จาก AI Agents Group 2</t>
        </is>
      </c>
    </row>
    <row r="8" ht="150" customHeight="1">
      <c r="A8" s="21" t="inlineStr">
        <is>
          <t>เกณฑ์การให้คะแนน (Scoring Rubric Definition: ระดับ 1, 2, 3, 4, 5 ครบทุกระดับ)</t>
        </is>
      </c>
      <c r="B8" s="24" t="inlineStr">
        <is>
          <t>1: บังคับใช้กระบวนการผลิตระดับอุตสาหกรรมหนัก (เช่น หล่อโลหะ/กลึงชิ้นงานขนาดใหญ่) ที่ไม่มีสิทธิ์เข้าถึง และโครงสร้างพังทลายเมื่อสัมผัสน้ำหรือความชื้น (Fatal Flaw)
2: ต้องจ้างโรงกลึงภายนอกผลิตเกือบทั้งหมด เสี่ยงต่อความล่าช้าเกินงบประมาณ โครงสร้างทนสภาพแวดล้อมได้ไม่เกิน 7 วัน
3: ใช้โครงสร้าง 3D Print ทั่วไป (เช่น PLA) หรือประกอบมือโดยไม่มีการซีลป้องกัน ความแข็งแรงปานกลาง ต้องมีโครงกำบังภายนอกเพิ่มเติม
4: ผสมผสานชิ้นส่วน COTS ร่วมกับชิ้นงานที่ผลิตขึ้นรูปเองภายใน (เช่น PETG/ABS/โลหะแผ่น) มีการทดสอบความแข็งแรงและซีลกันละอองน้ำระดับ IP65
5: ใช้โครงสร้างและกล่องสำเร็จรูปมาตรฐานอุตสาหกรรม (IP67/IP68) พร้อมแคลมป์ยึดมาตรฐาน ทนแรงสั่นสะเทือนและสภาพแวดล้อมภายนอกได้เกิน 90 วันโดยไม่ต้องดัดแปลง</t>
        </is>
      </c>
      <c r="C8" s="24" t="inlineStr">
        <is>
          <t>1: วงจรไม่มีระบบป้องกันไฟกระชาก เกิดความร้อนสะสมจนชิปหยุดทำงาน หรือเกิดการลัดวงจรทันทีเมื่อมีความชื้น (Fatal Flaw)
2: อุปกรณ์ประมวลผลเกิดความร้อนสูงสะสมจนลดทอนความเร็ว สัญญาณแอนะล็อกถูกสัญญาณรบกวนจนอ่านค่าผิดพลาดเกิน 30%
3: ใช้วงจรประกอบมือบน Perfboard หรือสายไฟแบบ Dupont เสี่ยงต่อการหลวมหลุดเมื่อมีแรงสั่นสะเทือน แต่ยังทำงานได้
4: ใช้วงจรไมโครคอนโทรลเลอร์เชื่อมต่อผ่าน Screw Terminal Shield หรือ Custom PCB ขนาดเล็กที่มี Diode ป้องกันไฟย้อนและตัวเก็บประจุกรองสัญญาณรบกวน
5: สถาปัตยกรรมวงจรมาตรฐาน มีการแยกกราวและสัญญาณ (Optocoupler/Galvanic Isolation) มีการจัดการพลังงานแบบ Low-power Sleep Mode และกระจายความร้อนโดยไม่ใช้พัดลม</t>
        </is>
      </c>
      <c r="D8" s="24" t="inlineStr">
        <is>
          <t>1: โมเดลขาดข้อมูลฝึกฝนโดยสิ้นเชิง หรืออัลกอริทึมใช้เวลาประมวลผลนานกว่ากรอบเวลาตัดสินใจหน้างานจนระบบไร้ประโยชน์ (Fatal Flaw)
2: อัลกอริทึมมีความซับซ้อนสูงแต่ขาดการปรับเทียบ (Calibration) ทำให้ผลการตัดสินใจคลาดเคลื่อนบ่อยครั้ง
3: ใช้เกณฑ์แบบคงที่ (Static Threshold) ซึ่งปรับตัวตามสภาวะพลวัตของสภาพแวดล้อมจริงได้จำกัด แต่ประมวลผลได้เร็ว
4: ใช้อัลกอริทึมประมวลผลสัญญาณหรือโมเดลน้ำหนักเบา ให้ผลลัพธ์ที่แม่นยำและประมวลผลเสร็จสิ้นภายในไม่เกิน 5 วินาที
5: ใช้สมการฟิสิกส์เชิงวิเคราะห์ (Analytical Physics) หรือสมการอนุพันธ์แบบ Closed-form ประมวลผลเสร็จในระดับมิลลิวินาที (≤ 100 ms) บน Edge Node โดยตรง</t>
        </is>
      </c>
      <c r="E8" s="24" t="inlineStr">
        <is>
          <t>1: หัววัดล้มเหลวโดยสิ้นเชิงทันทีที่สัมผัสสภาพแวดล้อมจริง (เช่น คราบไขมันเคลือบมิดจนวัดค่าไม่ได้ หรือก๊าซกัดกร่อนละลายหัววัด / Fatal Flaw)
2: เกิด False Alarm สูงเกิน 40% เมื่อเจอกระแสลม คลื่นผิวน้ำ หรือไอน้ำ ต้องอาศัยมนุษย์คอยตรวจสอบซ้ำตลอดเวลา
3: สัญญาณแกว่งตัวเมื่อเจอสิ่งรบกวน ต้องกำหนดรอบการเข้าทำความสะอาดหัววัดบ่อยครั้ง (ทุก 3-5 วัน) เพื่อรักษาความแม่นยำ
4: มีโครงกำบังทางกายภาพ (Housing/Baffle) ร่วมกับอัลกอริทึมกรองสัญญาณเชิงสถิติ (Median/Moving Average Filter) ลด False Alarm เหลือ &lt; 10%
5: ออกแบบการตรวจวัดแบบไม่สัมผัสสิ่งรบกวน (Non-contact Sensing) ร่วมกับ Adaptive Filtering กำจัดสัญญาณกวนได้สมบูรณ์โดยไม่ต้องบำรุงรักษาหัววัดเกิน 60 วัน</t>
        </is>
      </c>
      <c r="F8" s="24" t="inlineStr">
        <is>
          <t>1: งบประมาณ BOM เกิน 15,000 บาท (เกินเพดาน 5,000 บาท ถึง 3 เท่าตัว โดยไม่มีแหล่งทุนรองรับ / Fatal Flaw)
2: งบประมาณ BOM อยู่ระหว่าง 8,000 - 15,000 บาท จำเป็นต้องยื่นขอทุนสนับสนุนภายนอกซึ่งมีความไม่แน่นอนสูง
3: งบประมาณ BOM อยู่ระหว่าง 5,000 - 8,000 บาท เกินงบประมาณเล็กน้อย ต้องตัดทอนความสามารถของฮาร์ดแวร์บางส่วนออก
4: งบประมาณ BOM อยู่ระหว่าง 3,500 - 5,000 บาท พอดีกับเพดานงบประมาณโครงงาน
5: งบประมาณ BOM ต่ำกว่า 3,500 บาท ใช้อุปกรณ์ COTS ราคาประหยัด ควบคุมต้นทุนได้อย่างเด็ดขาด</t>
        </is>
      </c>
      <c r="G8" s="24" t="inlineStr">
        <is>
          <t>1: จัดซื้ออุปกรณ์เพียง 1x BOM พอดีเป๊ะ ไม่มีงบสำรองอะไหล่เลย (0%) หากอุปกรณ์ช็อตหรือแตกหัก โครงการจะหยุดชะงักทันที (Fatal Flaw)
2: มีงบสำรองอะไหล่เพียง 10-20% ครอบคลุมเฉพาะอุปกรณ์พื้นฐานชิ้นเล็ก (สายไฟ, ขั้วต่อ)
3: มีงบสำรองอะไหล่ประมาณ 50% สามารถสำรองเซนเซอร์ได้บางตัว แต่ไม่มีบอร์ดประมวลผลสำรอง
4: มีงบสำรองอะไหล่ 80-100% สำหรับเซนเซอร์หลักและโมดูลควบคุมสำคัญ
5: มีงบสำรองจัดซื้ออุปกรณ์หลักครบ 2 ชุด (100% Duplication) ภายใต้กรอบงบประมาณรวมของโครงงาน</t>
        </is>
      </c>
      <c r="H8" s="24" t="inlineStr">
        <is>
          <t>1: ค่าบำรุงรักษาระบบ (OpEx) แพงกว่ามูลค่าทรัพยากรที่ประหยัดได้ หรือไม่ก่อให้เกิดการประหยัดทรัพยากรใด ๆ เมื่อเทียบกับการไม่ทำอะไรเลย (Fatal Flaw)
2: ประหยัดทรัพยากรได้น้อยมาก มีจุดคุ้มทุนยาวนานเกินกว่า 3 ปี ไม่ดึงดูดใจเชิงนโยบาย
3: คืนทุนได้ในระยะ 1-2 ปี การประหยัดทรัพยากรแปรผันตามฤดูกาลอย่างมีนัยสำคัญ
4: ประหยัดทรัพยากร ค่าน้ำมัน และกำลังพลได้อย่างชัดเจน มีจุดคุ้มทุนภายในระยะเวลา 1 ปีแรกของการใช้งาน
5: ลดการสูญเปล่าของงบประมาณและกำลังพลได้มากกว่า 30-50% ระบบกินพลังงานต่ำมาก คืนทุนได้ภายในรอบฤดูกาลเดียว</t>
        </is>
      </c>
      <c r="I8" s="24" t="inlineStr">
        <is>
          <t>1: มีการบันทึกภาพใบหน้าหรือป้ายทะเบียนรถในที่สาธารณะโดยผิดกฎหมาย PDPA หรือติดตั้งขวางช่องทางจราจรเสี่ยงต่ออุบัติเหตุร้ายแรง (Fatal Flaw)
2: สุ่มเสี่ยงต่อการละเมิดกฎหมาย ต้องมีขั้นตอนทางเทคนิคที่ซับซ้อนเพื่อเลี่ยงข้อบังคับและยังไม่มีเอกสารยินยอม
3: ปฏิบัติตามกฎหมายได้บางส่วน แต่ต้องรอการอนุมัติข้อยกเว้นเป็นลายลักษณ์อักษรจากหน่วยงานกำกับดูแล
4: ปฏิบัติตามกฎหมายถูกต้อง มีการเข้ารหัสข้อมูล ไม่มีการจัดเก็บข้อมูลส่วนบุคคล (No PII) และมีมาตรการความปลอดภัยบนผิวทาง
5: ปลอดจากการละเมิดกฎหมาย 100% ไม่ใช้กล้องถ่ายภาพบุคคล (Zero PII) และติดตั้งในจุดปลอดภัยตามมาตรฐานวิศวกรรมสาธารณะ</t>
        </is>
      </c>
      <c r="J8" s="24" t="inlineStr">
        <is>
          <t>1: ใช้อุปกรณ์ส่งสัญญาณคลื่นความถี่เถื่อนที่ไม่ได้รับอนุญาต และไม่มีช่องทางติดต่อประสานงานกับหน่วยงานรัฐอย่างสิ้นเชิง (Fatal Flaw)
2: โมดูลสื่อสารผ่านเกณฑ์ แต่ทีมงานขาดช่องทางติดต่อ ทำให้ขั้นตอนการขออนุญาตหน้างานมีความล่าช้าเกิน 2 เดือน
3: ใช้โมดูลที่ถูกต้องตามกฎหมาย และอยู่ระหว่างรอการออกหนังสือประสานงานอย่างเป็นทางการจากมหาวิทยาลัย
4: อุปกรณ์สื่อสารผ่านการรับรองมาตรฐาน และสามารถสื่อสาร ประสานงาน และยื่นเอกสารทางราชการเพื่อขอพื้นที่ทดสอบได้อย่างราบรื่น
5: อุปกรณ์ผ่านการรับรองมาตรฐาน 100% และมีเครือข่ายความร่วมมือหรือหนังสืออนุญาตให้ทดสอบในพื้นที่จริงจากหน่วยงานกำกับดูแล</t>
        </is>
      </c>
      <c r="K8" s="24" t="inlineStr">
        <is>
          <t>1: ระบบไม่สามารถสร้างหลักฐานใด ๆ ได้ บังคับให้เจ้าหน้าที่ต้องลงพื้นที่ไปตรวจสอบซ้ำซ้อน 100% เพื่อถ่ายรูปปิดงานตามระเบียบ (Fatal Flaw)
2: แสดงผลได้เฉพาะตัวเลขดิบที่ยากต่อการแปลผล เจ้าหน้าที่ไม่สามารถนำไปใช้เป็นหลักฐานปิดงานได้
3: สร้างรายงานสรุปได้ แต่เจ้าหน้าที่ยังต้องกรอกข้อมูลและแนบรูปถ่ายยืนยันด้วยตนเองเพิ่มเติม
4: สร้างบัตรหลักฐานดิจิทัล (Digital Evidence Card) ที่แสดงผลชัดเจน อ่านเข้าใจง่ายใน 5 วินาที พร้อมแนบในระบบรายงานผลได้ทันที
5: มีระบบบันทึก Audit Trail อัตโนมัติ พร้อมส่งออกรายงานหรือเชื่อมโยง API เข้าสู่ระบบรายงานผลของหน่วยงาน (เช่น Traffy Fondue) ได้อย่างสมบูรณ์</t>
        </is>
      </c>
      <c r="L8" s="24" t="inlineStr">
        <is>
          <t>1: ใช้งานยากมาก ต้องใช้วิศวกรหรือผู้เชี่ยวชาญควบคุมตลอดเวลา เจ้าหน้าที่หน้างานปฏิเสธการใช้งานและต่อต้านระบบ (Fatal Flaw)
2: มีขั้นตอนการปรับเทียบ (Calibration) และบำรุงรักษาที่ยุ่งยากเกินกว่า 30 นาทีต่อครั้ง
3: เจ้าหน้าที่ต้องผ่านการฝึกอบรม 1-2 วัน จึงจะสามารถใช้งานและดูแลรักษาได้อย่างถูกต้อง
4: ใช้งานง่าย มีคู่มือปฏิบัติงานภาคสนามชัดเจน สามารถบำรุงรักษาได้ด้วยเครื่องมือช่างทั่วไป
5: ออกแบบตามหลักสรีรศาสตร์และ UX หน้างาน กดปุ่มเดียวทำงานอัตโนมัติ (Plug-and-Play) เจ้าหน้าที่ใช้งานได้ทันทีโดยไม่ต้องผ่านการอบรมที่ซับซ้อน</t>
        </is>
      </c>
      <c r="M8" s="24" t="inlineStr">
        <is>
          <t>1: บังคับให้คนต้องมุดลงในพื้นที่อับอากาศที่มีก๊าซพิษสะสม (Confined Space) หรือลงไปปฏิบัติงานในจุดเสี่ยงอันตรายถึงชีวิต (กระแสน้ำเชี่ยวลึก หรือผิวจราจรความเร็วสูง) โดยไม่มีอุปกรณ์นิรภัยมาตรฐาน (Fatal Flaw)
2: หน้างานมีความเสี่ยงสูง ต้องใช้อุปกรณ์ป้องกันภัยส่วนบุคคล (PPE) ขั้นสูงสุดและต้องมีเจ้าหน้าที่กำกับดูแลความปลอดภัยตลอดเวลา
3: มีความปลอดภัยปานกลาง ปฏิบัติงานได้เฉพาะจุดที่มีแนวกั้นชัดเจนหรือบนทางเท้า/ผิวทางที่มีการปิดกั้นพื้นที่สัญจร
4: มีความปลอดภัยสูง ออกแบบให้ติดตั้งและบำรุงรักษาจากบนผิวทางเท้าหรือจุดปลอดภัย โดยไม่มีการให้บุคลากรลงไปในจุดอันตราย
5: ปลอดภัย 100% ออกแบบให้ติดตั้ง บำรุงรักษา และทดสอบจากระยะไกล มีระบบตัดการทำงานฉุกเฉิน และปลอดจากจุดเสี่ยงอันตรายต่อชีวิตทุกประการ</t>
        </is>
      </c>
      <c r="N8" s="24" t="inlineStr">
        <is>
          <t>1: แผนงานเป็นเส้นตรงที่ขึ้นต่อกันทั้งหมด (Linear Dependency) หากติดช่วงสอบ 1-2 สัปดาห์ โครงการจะล้มเหลวด้านเวลาทันที (Fatal Flaw)
2: มีเวลาสำรองเพียง 3-5 วัน มีความเสี่ยงสูงมากที่จะส่งมอบงานล่าช้าเมื่อสมาชิกติดภารกิจการเรียน
3: มีเวลาสำรอง 1-2 สัปดาห์ เลื่อนงานได้บางส่วนแต่ต้องเร่งงานหนักมากหลังสอบ
4: มี Buffer Time 3-4 สัปดาห์ชัดเจน และสถาปัตยกรรมฮาร์ดแวร์-ซอฟต์แวร์แยกจากกัน ทำให้ทำงานคู่ขนานได้
5: สถาปัตยกรรมระบบเป็นอิสระต่อกันสูง ระบบหลักเสร็จสมบูรณ์ตั้งแต่ก่อนสัปดาห์สอบ มีเวลาทดสอบรวมมากกว่า 4 สัปดาห์</t>
        </is>
      </c>
      <c r="O8" s="24" t="inlineStr">
        <is>
          <t>1: มีความเสี่ยงสูงมากที่จะไม่มีระบบหรืออุปกรณ์ใด ๆ ทำงานได้จริงในสัปดาห์ที่ 9 (Fatal Flaw)
2: ภายในสัปดาห์ที่ 9 ได้เพียงการทดลองชิ้นส่วนแยกกันบนโต๊ะทดลอง ยังไม่สามารถรวมการทำงานระหว่างฮาร์ดแวร์และซอฟต์แวร์ได้
3: ระบบทำงานร่วมกันได้บนโต๊ะทดลอง แต่ยังไม่พร้อมสำหรับการทดสอบในสภาวะจำลองหน้างาน
4: มีต้นแบบฮาร์ดแวร์และซอฟต์แวร์ที่ผสานการทำงานอย่างสมบูรณ์ พร้อมทดสอบในสภาวะจำลองหน้างานได้ภายในสัปดาห์ที่ 9
5: ต้นแบบเสร็จสมบูรณ์ 100% และผ่านการทดสอบทำงานจริงได้เรียบร้อยแล้วตั้งแต่ก่อนสัปดาห์ที่ 9</t>
        </is>
      </c>
      <c r="P8" s="24" t="inlineStr">
        <is>
          <t>1: ต้องสั่งซื้อชิ้นส่วนสั่งทำพิเศษจากต่างประเทศที่ใช้เวลาส่งเกินกว่า 4-6 สัปดาห์ เสี่ยงต่อการไม่มีอุปกรณ์ทำโครงงาน (Fatal Flaw)
2: มีชิ้นส่วนหลักบางรายการที่ต้องรอของ 3-4 สัปดาห์ ทำให้การเริ่มประกอบฮาร์ดแวร์ล่าช้า
3: ชิ้นส่วนทั้งหมดใช้เวลาจัดส่ง 2-3 สัปดาห์ ต้องสั่งซื้อตั้งแต่วันแรกของโครงการจึงจะทันกำหนด
4: ชิ้นส่วนเกือบทั้งหมดจัดซื้อได้จากตัวแทนจำหน่ายในประเทศ ได้รับของภายใน 7-10 วัน
5: ชิ้นส่วนทั้งหมด 100% มีจำหน่ายในประเทศและสามารถจัดส่งถึงมือได้ภายใน 2-4 วันทำการ</t>
        </is>
      </c>
      <c r="Q8" s="24" t="inlineStr">
        <is>
          <t>1: โครงการไม่มีส่วนเกี่ยวข้อง หรืออาจส่งผลกระทบเชิงลบต่อโครงสร้างพื้นฐานและความปลอดภัยของเมือง (Fatal Flaw)
2: สนับสนุนความยั่งยืนทางอ้อมอย่างผิวเผิน แต่ไม่มีตัวชี้วัดผลกระทบเชิงปริมาณที่ชัดเจน
3: ส่งเสริมการลดผลกระทบได้บางส่วน แต่จำกัดขอบเขตอยู่เฉพาะจุดทดลองขนาดเล็ก
4: สอดคล้องกับ SDG 11.5 และ SDG 13.1 ชัดเจน ช่วยลดระยะเวลาและผลกระทบของปัญหาบนถนนสายหลักและพื้นที่ชุมชน
5: สอดคล้องกับเป้าหมายอย่างเป็นรูปธรรม มีแบบจำลองแสดงการลดความสูญเสียทางเศรษฐกิจและความปลอดภัยของประชาชนในเมืองได้อย่างยั่งยืน</t>
        </is>
      </c>
      <c r="R8" s="24" t="inlineStr">
        <is>
          <t>1: อุปกรณ์มีความเสี่ยงสูงที่จะหลุดลอยกลายเป็นขยะอุดตัน หรือปล่อยสารเคมี/โลหะหนักลงสู่สิ่งแวดล้อมสาธารณะ หรือใช้น้ำสิ้นเปลืองรุนแรง (Fatal Flaw)
2: ใช้วัสดุที่เสื่อมสภาพและแตกหักง่าย เสี่ยงต่อการตกค้างในสภาพแวดล้อมหากเจอสภาวะแวดล้อมรุนแรง
3: โครงสร้างแข็งแรงปานกลาง มีโอกาสหลุดลอยหากเจอพายุรุนแรง ต้องมีรอบการตรวจเช็กความแน่นหนาสม่ำเสมอ
4: ใช้วัสดุที่ไม่เป็นพิษต่อสิ่งแวดล้อม มีจุดยึดจับที่แน่นหนา ปลอดภัยต่อระบบสาธารณะ และควบคุมการใช้ทรัพยากรได้ดี
5: ปลอดภัยต่อระบบนิเวศ 100% ไม่มีส่วนประกอบที่หลุดลอยเป็นขยะ มีระบบสลิงนิรภัยสองชั้น (Dual Lanyard) และผ่านการรับรองความปลอดภัยของวัสดุ</t>
        </is>
      </c>
      <c r="S8" s="24" t="inlineStr">
        <is>
          <t>1: ตรรกะของระบบเป็นกล่องดำ (Black Box) ไม่สามารถอธิบายเหตุผลได้ หรือมีอคติเลือกปฏิบัติตัดความช่วยเหลือชุมชนเปราะบาง (Fatal Flaw)
2: เกณฑ์การตัดสินใจไม่ชัดเจน อาจนำไปสู่ความเหลื่อมล้ำในการให้บริการของภาครัฐโดยไม่ตั้งใจ
3: ตรรกะตรวจสอบได้บางส่วน แต่ยังไม่มีกระบวนการอุทธรณ์หรือทบทวนความถูกต้องโดยมนุษย์
4: ตรรกะโปร่งใส ตัดสินใจตามเกณฑ์ข้อมูลเชิงประจักษ์อย่างเสมอภาค ให้ความช่วยเหลือตามระดับความจำเป็นจริง
5: โปร่งใส 100% มี Audit Trail บันทึกทุกประวัติการตัดสินใจ ตรวจสอบย้อนหลังได้ทุกกรณี เสริมสร้างธรรมาภิบาลและความเชื่อมั่นของประชาชน</t>
        </is>
      </c>
      <c r="T8" s="25" t="inlineStr">
        <is>
          <t>เกณฑ์รวม: &gt;=80 ผ่านสูง, &gt;=60 มีเงื่อนไข, &lt;60 เสี่ยงสูง | หากมีข้อใดได้ 1 = VETOED ตกเกณฑ์ทันที</t>
        </is>
      </c>
    </row>
    <row r="9" ht="36" customHeight="1">
      <c r="A9" s="26" t="inlineStr">
        <is>
          <t>คะแนนที่ได้รับ (ASSIGNED SCORE: 1, 2, 3, 4, 5 STRICT INTEGER)</t>
        </is>
      </c>
      <c r="B9" s="27" t="n">
        <v>5</v>
      </c>
      <c r="C9" s="27" t="n">
        <v>5</v>
      </c>
      <c r="D9" s="27" t="n">
        <v>3</v>
      </c>
      <c r="E9" s="27" t="n">
        <v>5</v>
      </c>
      <c r="F9" s="27" t="n">
        <v>5</v>
      </c>
      <c r="G9" s="27" t="n">
        <v>5</v>
      </c>
      <c r="H9" s="27" t="n">
        <v>5</v>
      </c>
      <c r="I9" s="27" t="n">
        <v>5</v>
      </c>
      <c r="J9" s="27" t="n">
        <v>4</v>
      </c>
      <c r="K9" s="27" t="n">
        <v>5</v>
      </c>
      <c r="L9" s="27" t="n">
        <v>5</v>
      </c>
      <c r="M9" s="27" t="n">
        <v>5</v>
      </c>
      <c r="N9" s="27" t="n">
        <v>4</v>
      </c>
      <c r="O9" s="27" t="n">
        <v>4</v>
      </c>
      <c r="P9" s="27" t="n">
        <v>5</v>
      </c>
      <c r="Q9" s="27" t="n">
        <v>5</v>
      </c>
      <c r="R9" s="27" t="n">
        <v>5</v>
      </c>
      <c r="S9" s="27" t="n">
        <v>5</v>
      </c>
      <c r="T9" s="28">
        <f>IF(T10&gt;0, (T11/T10)*20, 0)</f>
        <v/>
      </c>
    </row>
    <row r="10" ht="22" customHeight="1">
      <c r="A10" s="21" t="inlineStr">
        <is>
          <t>ค่าน้ำหนัก (Weight %)</t>
        </is>
      </c>
      <c r="B10" s="29" t="n">
        <v>0.05</v>
      </c>
      <c r="C10" s="29" t="n">
        <v>0.05</v>
      </c>
      <c r="D10" s="29" t="n">
        <v>0.05</v>
      </c>
      <c r="E10" s="29" t="n">
        <v>0.05</v>
      </c>
      <c r="F10" s="29" t="n">
        <v>0.0667</v>
      </c>
      <c r="G10" s="29" t="n">
        <v>0.0667</v>
      </c>
      <c r="H10" s="29" t="n">
        <v>0.0667</v>
      </c>
      <c r="I10" s="29" t="n">
        <v>0.075</v>
      </c>
      <c r="J10" s="29" t="n">
        <v>0.075</v>
      </c>
      <c r="K10" s="29" t="n">
        <v>0.0667</v>
      </c>
      <c r="L10" s="29" t="n">
        <v>0.0667</v>
      </c>
      <c r="M10" s="29" t="n">
        <v>0.0667</v>
      </c>
      <c r="N10" s="29" t="n">
        <v>0.05</v>
      </c>
      <c r="O10" s="29" t="n">
        <v>0.05</v>
      </c>
      <c r="P10" s="29" t="n">
        <v>0.05</v>
      </c>
      <c r="Q10" s="29" t="n">
        <v>0.0333</v>
      </c>
      <c r="R10" s="29" t="n">
        <v>0.0333</v>
      </c>
      <c r="S10" s="29" t="n">
        <v>0.0333</v>
      </c>
      <c r="T10" s="29">
        <f>SUM(B10:S10)</f>
        <v/>
      </c>
    </row>
    <row r="11" ht="24" customHeight="1">
      <c r="A11" s="21" t="inlineStr">
        <is>
          <t>คะแนนถ่วงน้ำหนัก (=Score * Weight)</t>
        </is>
      </c>
      <c r="B11" s="30">
        <f>B9*B10</f>
        <v/>
      </c>
      <c r="C11" s="30">
        <f>C9*C10</f>
        <v/>
      </c>
      <c r="D11" s="30">
        <f>D9*D10</f>
        <v/>
      </c>
      <c r="E11" s="30">
        <f>E9*E10</f>
        <v/>
      </c>
      <c r="F11" s="30">
        <f>F9*F10</f>
        <v/>
      </c>
      <c r="G11" s="30">
        <f>G9*G10</f>
        <v/>
      </c>
      <c r="H11" s="30">
        <f>H9*H10</f>
        <v/>
      </c>
      <c r="I11" s="30">
        <f>I9*I10</f>
        <v/>
      </c>
      <c r="J11" s="30">
        <f>J9*J10</f>
        <v/>
      </c>
      <c r="K11" s="30">
        <f>K9*K10</f>
        <v/>
      </c>
      <c r="L11" s="30">
        <f>L9*L10</f>
        <v/>
      </c>
      <c r="M11" s="30">
        <f>M9*M10</f>
        <v/>
      </c>
      <c r="N11" s="30">
        <f>N9*N10</f>
        <v/>
      </c>
      <c r="O11" s="30">
        <f>O9*O10</f>
        <v/>
      </c>
      <c r="P11" s="30">
        <f>P9*P10</f>
        <v/>
      </c>
      <c r="Q11" s="30">
        <f>Q9*Q10</f>
        <v/>
      </c>
      <c r="R11" s="30">
        <f>R9*R10</f>
        <v/>
      </c>
      <c r="S11" s="30">
        <f>S9*S10</f>
        <v/>
      </c>
      <c r="T11" s="30">
        <f>SUM(B11:S11)</f>
        <v/>
      </c>
    </row>
    <row r="12" ht="115" customHeight="1">
      <c r="A12" s="21" t="inlineStr">
        <is>
          <t>คำอธิบาย &amp; หลักฐานอ้างอิงจากไฟล์ Intake (Evidence Citation)</t>
        </is>
      </c>
      <c r="B12" s="24" t="inlineStr">
        <is>
          <t>เป็นระบบ Pure Software/Cloud ไม่จำเป็นต้องติดตั้งโครงสร้างทางกายภาพกลางแจ้ง ปลอดจากปัญหาความทนทานต่อสภาพอากาศ 100%</t>
        </is>
      </c>
      <c r="C12" s="24" t="inlineStr">
        <is>
          <t>รันบนโครงสร้างพื้นฐานเซิร์ฟเวอร์/คลาวด์ มีเสถียรภาพสูง ปราศจากปัญหาความร้อนสะสมหรือการรบกวนทางแม่เหล็กไฟฟ้าหน้างาน</t>
        </is>
      </c>
      <c r="D12" s="24" t="inlineStr">
        <is>
          <t>อ้างอิง solution-2.md Constraints b: การพึ่งพาข้อมูลเรดาร์ฝนภายนอกผ่าน API มีปัญหาเรื่อง Latency และความละเอียดเชิงพื้นที่ (Spatial Resolution) ต่ำกว่าระดับซอย จึงปรับตัวตามพลวัตพื้นที่แคบได้จำกัด ได้คะแนนระดับ 3</t>
        </is>
      </c>
      <c r="E12" s="24" t="inlineStr">
        <is>
          <t>ข้อมูลทั้งหมดได้จาก API มาตรฐานของหน่วยงานภาครัฐ ไม่มีการสัมผัสกับคราบไขมัน ตะกอน หรือสิ่งรบกวนทางกายภาพในท่อ</t>
        </is>
      </c>
      <c r="F12" s="24" t="inlineStr">
        <is>
          <t>ต้นทุนฮาร์ดแวร์เป็น 0 บาท มีเฉพาะค่าบริการคลาวด์และ API ขนาดเล็ก ต่ำกว่า 1,500 บาท</t>
        </is>
      </c>
      <c r="G12" s="24" t="inlineStr">
        <is>
          <t>สถาปัตยกรรมซอฟต์แวร์สามารถสำรองและจำลองข้อมูลได้ไม่จำกัด (Redundancy 100%)</t>
        </is>
      </c>
      <c r="H12" s="24" t="inlineStr">
        <is>
          <t>ตัดรอบการส่งรถ QRT บนการเตือนหลอกได้มากกว่า 40% ประหยัดค่าน้ำมันและค่าแรงได้มหาศาล คืนทุนได้ทันที</t>
        </is>
      </c>
      <c r="I12" s="24" t="inlineStr">
        <is>
          <t>ไม่ประมวลผลข้อมูลส่วนบุคคลของประชาชน (Zero PII) สอดคล้องกับ พ.ร.บ. คุ้มครองข้อมูลส่วนบุคคล (PDPA) 100%</t>
        </is>
      </c>
      <c r="J12" s="24" t="inlineStr">
        <is>
          <t>ต้องประสานงานขอสิทธิ์การเชื่อมต่อ API เรดาร์ตรวจฝนกับสำนักการระบายน้ำ กทม. หรือกรมอุตุนิยมวิทยา</t>
        </is>
      </c>
      <c r="K12" s="24" t="inlineStr">
        <is>
          <t>สร้าง Digital Audit Trail บันทึกค่าเรดาร์และระดับน้ำ พร้อมออกบัตรตรวจสอบยืนยันก่อนสั่งจ่ายงานเจ้าหน้าที่</t>
        </is>
      </c>
      <c r="L12" s="24" t="inlineStr">
        <is>
          <t>แสดงผลผ่าน Web Dashboard ที่ใช้งานง่าย กดปุ่มยืนยันคำสั่งได้ใน 1 คลิก</t>
        </is>
      </c>
      <c r="M12" s="24" t="inlineStr">
        <is>
          <t>ปฏิบัติการในห้องควบคุม (Control Room) ปลอดภัย 100% ปราศจากความเสี่ยงต่อชีวิตหน้างาน</t>
        </is>
      </c>
      <c r="N12" s="24" t="inlineStr">
        <is>
          <t>งานซอฟต์แวร์แบ่งเป็น Sprint ชัดเจน มี Buffer Time 3-4 สัปดาห์</t>
        </is>
      </c>
      <c r="O12" s="24" t="inlineStr">
        <is>
          <t>ระบบทดสอบการรับส่งข้อมูลผ่าน Mock API และผสานการทำงานได้จริงภายในสัปดาห์ที่ 9</t>
        </is>
      </c>
      <c r="P12" s="24" t="inlineStr">
        <is>
          <t>ไม่ต้องรอการจัดส่งชิ้นส่วนฮาร์ดแวร์ ระยะเวลาจัดหาอุปกรณ์เท่ากับ 0 วัน</t>
        </is>
      </c>
      <c r="Q12" s="24" t="inlineStr">
        <is>
          <t>ช่วยจัดสรรกำลังพลรับมือน้ำท่วมขังเมืองได้อย่างแม่นยำ สอดคล้องกับ SDG 11.5</t>
        </is>
      </c>
      <c r="R12" s="24" t="inlineStr">
        <is>
          <t>ไม่มีการติดตั้งอุปกรณ์ในแหล่งน้ำ ไม่สร้างมลพิษหรือขยะตกค้าง สอดคล้องกับ SDG 6.3</t>
        </is>
      </c>
      <c r="S12" s="24" t="inlineStr">
        <is>
          <t>ตรรกะการคัดกรอง 2 ปัจจัยมีความโปร่งใส ตรวจสอบย้อนหลังได้ทุกคำสั่ง สอดคล้องกับ SDG 16.6</t>
        </is>
      </c>
      <c r="T12" s="31">
        <f>IF(MIN(B9:S9)=1, "VETOED / ตกเกณฑ์ข้อบังคับวิกฤต (คะแนนระดับ 1)", IF(T9&gt;=80, "ผ่านเกณฑ์ระดับสูง (HIGHLY VIABLE)", IF(T9&gt;=60, "ผ่านแบบมีเงื่อนไข (CONDITIONALLY VIABLE)", "ความเสี่ยงสูง (HIGH RISK)")))</f>
        <v/>
      </c>
    </row>
    <row r="13" ht="70" customHeight="1">
      <c r="A13" s="21" t="inlineStr">
        <is>
          <t>แผนลดขอบเขตงาน &amp; มาตรการลดความเสี่ยง (De-scoping Action)</t>
        </is>
      </c>
      <c r="B13" s="24" t="inlineStr">
        <is>
          <t>ใช้บริการคลาวด์สำเร็จรูป</t>
        </is>
      </c>
      <c r="C13" s="24" t="inlineStr">
        <is>
          <t>รันบนเครื่องเซิร์ฟเวอร์เสมือนขนาดเล็ก</t>
        </is>
      </c>
      <c r="D13" s="24" t="inlineStr">
        <is>
          <t>ใช้ข้อมูลเรดาร์แบบสำรองกรณี API หลักล่าช้า</t>
        </is>
      </c>
      <c r="E13" s="24" t="inlineStr">
        <is>
          <t>ทำระบบตรวจสอบความสมบูรณ์ของแพ็กเกจข้อมูล API</t>
        </is>
      </c>
      <c r="F13" s="24" t="inlineStr">
        <is>
          <t>ใช้ Free Tier ของบริการคลาวด์</t>
        </is>
      </c>
      <c r="G13" s="24" t="inlineStr">
        <is>
          <t>ทำระบบสำรองข้อมูลบน GitHub Repository</t>
        </is>
      </c>
      <c r="H13" s="24" t="inlineStr">
        <is>
          <t>สรุปสถิติรอบการแจ้งเตือนที่ถูกกรองออก</t>
        </is>
      </c>
      <c r="I13" s="24" t="inlineStr">
        <is>
          <t>จัดทำเอกสารรับรองการไม่เก็บข้อมูลส่วนบุคคล</t>
        </is>
      </c>
      <c r="J13" s="24" t="inlineStr">
        <is>
          <t>ใช้ข้อมูลเรดาร์แบบสาธารณะที่เปิดให้ดาวน์โหลด</t>
        </is>
      </c>
      <c r="K13" s="24" t="inlineStr">
        <is>
          <t>สร้าง Webhook ส่งการแจ้งเตือนไปยัง LINE Notify หรือ Telegram</t>
        </is>
      </c>
      <c r="L13" s="24" t="inlineStr">
        <is>
          <t>ออกแบบ UI แบบ Minimal ให้เจ้าหน้าที่ใช้งานง่าย</t>
        </is>
      </c>
      <c r="M13" s="24" t="inlineStr">
        <is>
          <t>ปฏิบัติงานในอาคาร 100%</t>
        </is>
      </c>
      <c r="N13" s="24" t="inlineStr">
        <is>
          <t>จำลองข้อมูลฝนสังเคราะห์ในการทดสอบล่วงหน้า</t>
        </is>
      </c>
      <c r="O13" s="24" t="inlineStr">
        <is>
          <t>ทำระบบจำลอง API เสร็จก่อนสัปดาห์ที่ 7</t>
        </is>
      </c>
      <c r="P13" s="24" t="inlineStr">
        <is>
          <t>เริ่มพัฒนาซอฟต์แวร์ทันทีในสัปดาห์ที่ 1</t>
        </is>
      </c>
      <c r="Q13" s="24" t="inlineStr">
        <is>
          <t>ติดตามผลการลดเวลาเดินทางสูญเปล่าของเจ้าหน้าที่</t>
        </is>
      </c>
      <c r="R13" s="24" t="inlineStr">
        <is>
          <t>ไม่ใช้ฮาร์ดแวร์กายภาพ</t>
        </is>
      </c>
      <c r="S13" s="24" t="inlineStr">
        <is>
          <t>บันทึกประวัติการตัดสินใจลงฐานข้อมูลแบบ Audit Trail</t>
        </is>
      </c>
      <c r="T13" s="23" t="inlineStr">
        <is>
          <t>ปฏิบัติตามแผนลดขอบเขตงาน (De-scoping Advisory)</t>
        </is>
      </c>
    </row>
    <row r="14" ht="15" customHeight="1"/>
    <row r="15" ht="26" customHeight="1">
      <c r="A15" s="17" t="inlineStr">
        <is>
          <t>ตารางสรุปคะแนนแยกตามมิติ TELOS+S (Pillar Score Breakdown)</t>
        </is>
      </c>
    </row>
    <row r="16" ht="24" customHeight="1">
      <c r="A16" s="32" t="inlineStr">
        <is>
          <t>มิติการประเมิน (TELOS+S Pillar)</t>
        </is>
      </c>
      <c r="B16" s="32" t="inlineStr">
        <is>
          <t>สัดส่วนน้ำหนัก (Weight %)</t>
        </is>
      </c>
      <c r="C16" s="32" t="inlineStr">
        <is>
          <t>คะแนนเต็มมิติ (Max Points)</t>
        </is>
      </c>
      <c r="D16" s="32" t="inlineStr">
        <is>
          <t>คะแนนที่ได้รับจริง (Earned Points)</t>
        </is>
      </c>
      <c r="E16" s="32" t="inlineStr">
        <is>
          <t>คะแนนเฉลี่ย (Score 1-5)</t>
        </is>
      </c>
      <c r="F16" s="32" t="inlineStr">
        <is>
          <t>ระดับความพร้อม (Readiness Level)</t>
        </is>
      </c>
    </row>
    <row r="17" ht="22" customHeight="1">
      <c r="A17" s="33" t="inlineStr">
        <is>
          <t>T : ด้านเทคโนโลยีและวิศวกรรม (Technical)</t>
        </is>
      </c>
      <c r="B17" s="34" t="n">
        <v>0.2</v>
      </c>
      <c r="C17" s="35" t="n">
        <v>20</v>
      </c>
      <c r="D17" s="36">
        <f>SUM(B11:E11)*20</f>
        <v/>
      </c>
      <c r="E17" s="37">
        <f>IF(C17&gt;0, (D17/C17)*5, 0)</f>
        <v/>
      </c>
      <c r="F17" s="23">
        <f>IF(D17&gt;=16.0, "พร้อมระดับสูง (High)", IF(D17&gt;=12.0, "ปานกลาง (Medium)", "เสี่ยงวิกฤต (Critical)"))</f>
        <v/>
      </c>
    </row>
    <row r="18" ht="22" customHeight="1">
      <c r="A18" s="33" t="inlineStr">
        <is>
          <t>E : ด้านเศรษฐศาสตร์และความคุ้มค่า (Economic)</t>
        </is>
      </c>
      <c r="B18" s="34" t="n">
        <v>0.2</v>
      </c>
      <c r="C18" s="35" t="n">
        <v>20</v>
      </c>
      <c r="D18" s="36">
        <f>SUM(F11:H11)*20</f>
        <v/>
      </c>
      <c r="E18" s="37">
        <f>IF(C18&gt;0, (D18/C18)*5, 0)</f>
        <v/>
      </c>
      <c r="F18" s="23">
        <f>IF(D18&gt;=16.0, "พร้อมระดับสูง (High)", IF(D18&gt;=12.0, "ปานกลาง (Medium)", "เสี่ยงวิกฤต (Critical)"))</f>
        <v/>
      </c>
    </row>
    <row r="19" ht="22" customHeight="1">
      <c r="A19" s="33" t="inlineStr">
        <is>
          <t>L : ด้านกฎหมาย ระเบียบ และภาคประชาชน (Legal &amp; Outreach)</t>
        </is>
      </c>
      <c r="B19" s="34" t="n">
        <v>0.15</v>
      </c>
      <c r="C19" s="35" t="n">
        <v>15</v>
      </c>
      <c r="D19" s="36">
        <f>SUM(I11:J11)*20</f>
        <v/>
      </c>
      <c r="E19" s="37">
        <f>IF(C19&gt;0, (D19/C19)*5, 0)</f>
        <v/>
      </c>
      <c r="F19" s="23">
        <f>IF(D19&gt;=12.0, "พร้อมระดับสูง (High)", IF(D19&gt;=9.0, "ปานกลาง (Medium)", "เสี่ยงวิกฤต (Critical)"))</f>
        <v/>
      </c>
    </row>
    <row r="20" ht="22" customHeight="1">
      <c r="A20" s="33" t="inlineStr">
        <is>
          <t>O : ด้านการปฏิบัติการและหน้างาน (Operational)</t>
        </is>
      </c>
      <c r="B20" s="34" t="n">
        <v>0.2</v>
      </c>
      <c r="C20" s="35" t="n">
        <v>20</v>
      </c>
      <c r="D20" s="36">
        <f>SUM(K11:M11)*20</f>
        <v/>
      </c>
      <c r="E20" s="37">
        <f>IF(C20&gt;0, (D20/C20)*5, 0)</f>
        <v/>
      </c>
      <c r="F20" s="23">
        <f>IF(D20&gt;=16.0, "พร้อมระดับสูง (High)", IF(D20&gt;=12.0, "ปานกลาง (Medium)", "เสี่ยงวิกฤต (Critical)"))</f>
        <v/>
      </c>
    </row>
    <row r="21" ht="22" customHeight="1">
      <c r="A21" s="33" t="inlineStr">
        <is>
          <t>S : ด้านแผนงานและเวลาส่งมอบ (Schedule)</t>
        </is>
      </c>
      <c r="B21" s="34" t="n">
        <v>0.15</v>
      </c>
      <c r="C21" s="35" t="n">
        <v>15</v>
      </c>
      <c r="D21" s="36">
        <f>SUM(N11:P11)*20</f>
        <v/>
      </c>
      <c r="E21" s="37">
        <f>IF(C21&gt;0, (D21/C21)*5, 0)</f>
        <v/>
      </c>
      <c r="F21" s="23">
        <f>IF(D21&gt;=12.0, "พร้อมระดับสูง (High)", IF(D21&gt;=9.0, "ปานกลาง (Medium)", "เสี่ยงวิกฤต (Critical)"))</f>
        <v/>
      </c>
    </row>
    <row r="22" ht="22" customHeight="1">
      <c r="A22" s="33" t="inlineStr">
        <is>
          <t>+S : ด้านความยั่งยืนและสิ่งแวดล้อม (Sustainability / SDG)</t>
        </is>
      </c>
      <c r="B22" s="34" t="n">
        <v>0.1</v>
      </c>
      <c r="C22" s="35" t="n">
        <v>10</v>
      </c>
      <c r="D22" s="36">
        <f>SUM(Q11:S11)*20</f>
        <v/>
      </c>
      <c r="E22" s="37">
        <f>IF(C22&gt;0, (D22/C22)*5, 0)</f>
        <v/>
      </c>
      <c r="F22" s="23">
        <f>IF(D22&gt;=8.0, "พร้อมระดับสูง (High)", IF(D22&gt;=6.0, "ปานกลาง (Medium)", "เสี่ยงวิกฤต (Critical)"))</f>
        <v/>
      </c>
    </row>
    <row r="23" ht="26" customHeight="1">
      <c r="A23" s="38" t="inlineStr">
        <is>
          <t>คะแนนรวมทุกมิติ (Total Feasibility Score)</t>
        </is>
      </c>
      <c r="B23" s="29">
        <f>SUM(B17:B22)</f>
        <v/>
      </c>
      <c r="C23" s="39">
        <f>SUM(C17:C22)</f>
        <v/>
      </c>
      <c r="D23" s="40">
        <f>SUM(D17:D22)</f>
        <v/>
      </c>
      <c r="E23" s="30">
        <f>IF(C23&gt;0, (D23/C23)*5, 0)</f>
        <v/>
      </c>
      <c r="F23" s="41">
        <f>IF(D23&gt;=80, "ผ่านเกณฑ์ระดับสูง (HIGHLY VIABLE)", IF(D23&gt;=60, "ผ่านแบบมีเงื่อนไข (CONDITIONALLY VIABLE)", "ความเสี่ยงสูง (HIGH RISK)"))</f>
        <v/>
      </c>
    </row>
    <row r="24" ht="12" customHeight="1"/>
    <row r="25" ht="26" customHeight="1">
      <c r="A25" s="17" t="inlineStr">
        <is>
          <t>เมทริกซ์ประเมินความเข้ากันได้กับองค์ความรู้ด้านวิศวกรรมหุ่นยนต์ (Robotics Knowledge Compatibility)</t>
        </is>
      </c>
    </row>
    <row r="26" ht="22" customHeight="1">
      <c r="A26" s="18" t="inlineStr">
        <is>
          <t>* หมายเหตุ: การประเมินส่วนนี้วัดศักยภาพในการประยุกต์ใช้องค์ความรู้ด้านวิศวกรรมหุ่นยนต์ (Perception, Control, Actuation, Mechatronics) เต็ม 10 คะแนน | เป็นเอกเทศ ไม่นับรวมในคะแนน TELOS+S 100 คะแนน</t>
        </is>
      </c>
    </row>
    <row r="27" ht="24" customHeight="1">
      <c r="A27" s="42" t="inlineStr">
        <is>
          <t>มิติการประเมิน (Robotics Dimension)</t>
        </is>
      </c>
      <c r="B27" s="42" t="inlineStr">
        <is>
          <t>คะแนนศักยภาพ (/10)</t>
        </is>
      </c>
      <c r="C27" s="42" t="inlineStr">
        <is>
          <t>แกน Perception &amp; Sensing (การรับรู้)</t>
        </is>
      </c>
      <c r="D27" s="42" t="inlineStr">
        <is>
          <t>แกน Control &amp; Algorithms (การควบคุม)</t>
        </is>
      </c>
      <c r="E27" s="42" t="inlineStr">
        <is>
          <t>แกน Actuation &amp; Mechanisms (กลไก)</t>
        </is>
      </c>
      <c r="F27" s="42" t="inlineStr">
        <is>
          <t>บทวิเคราะห์เชิงวิศวกรรมหุ่นยนต์ (FIBO Alignment Rationale)</t>
        </is>
      </c>
    </row>
    <row r="28" ht="95" customHeight="1">
      <c r="A28" s="43" t="inlineStr">
        <is>
          <t>ศักยภาพการประยุกต์ใช้องค์ความรู้หุ่นยนต์และระบบอัตโนมัติ</t>
        </is>
      </c>
      <c r="B28" s="44" t="n">
        <v>5</v>
      </c>
      <c r="C28" s="24" t="inlineStr">
        <is>
          <t>การดึงข้อมูลจากระบบภายนอก (API เรดาร์ตรวจฝนและเกจระดับน้ำ) ขาดการเชื่อมต่อทางฟิสิกส์กับ Hardware Sensor โดยตรง</t>
        </is>
      </c>
      <c r="D28" s="24" t="inlineStr">
        <is>
          <t>ตรรกะแบบ Rule-based Decision Engine และ Cross-correlation สองปัจจัย (ไม่มีวงรอบปิด Closed-loop Feedback Control เชิงฟิสิกส์)</t>
        </is>
      </c>
      <c r="E28" s="24" t="inlineStr">
        <is>
          <t>ไม่มี: เป็นระบบ Pure Software / Cloud Dashboard / Webhook Dispatch</t>
        </is>
      </c>
      <c r="F28" s="24" t="inlineStr">
        <is>
          <t>สอดคล้องกับแกน Data Pipeline &amp; Ingestion API ของ Kin แต่แก่นแท้เป็นงาน Software Engineering / IT Management ขาดองค์ประกอบหลักด้าน Mechatronics, Embedded Control และ Actuation ของวิศวกรรมหุ่นยนต์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8"/>
  <sheetViews>
    <sheetView showGridLines="1" workbookViewId="0">
      <selection activeCell="A1" sqref="A1"/>
    </sheetView>
  </sheetViews>
  <sheetFormatPr baseColWidth="8" defaultRowHeight="15"/>
  <cols>
    <col width="38" customWidth="1" min="1" max="1"/>
    <col width="36" customWidth="1" min="2" max="2"/>
    <col width="36" customWidth="1" min="3" max="3"/>
    <col width="36" customWidth="1" min="4" max="4"/>
    <col width="36" customWidth="1" min="5" max="5"/>
    <col width="36" customWidth="1" min="6" max="6"/>
    <col width="36" customWidth="1" min="7" max="7"/>
    <col width="36" customWidth="1" min="8" max="8"/>
    <col width="36" customWidth="1" min="9" max="9"/>
    <col width="36" customWidth="1" min="10" max="10"/>
    <col width="36" customWidth="1" min="11" max="11"/>
    <col width="36" customWidth="1" min="12" max="12"/>
    <col width="36" customWidth="1" min="13" max="13"/>
    <col width="36" customWidth="1" min="14" max="14"/>
    <col width="36" customWidth="1" min="15" max="15"/>
    <col width="36" customWidth="1" min="16" max="16"/>
    <col width="36" customWidth="1" min="17" max="17"/>
    <col width="36" customWidth="1" min="18" max="18"/>
    <col width="36" customWidth="1" min="19" max="19"/>
    <col width="36" customWidth="1" min="20" max="20"/>
  </cols>
  <sheetData>
    <row r="1">
      <c r="A1" s="17" t="inlineStr">
        <is>
          <t>เมทริกซ์ประเมินความเป็นไปได้เชิงระบบ TELOS+S: Acoustic Sewer Measurement &amp; Pre-Screening Maintenance (UK/USA SL-RAT Case)</t>
        </is>
      </c>
    </row>
    <row r="2">
      <c r="A2" s="18" t="inlineStr">
        <is>
          <t>ระบบคะแนนจำนวนเต็มเด็ดขาด: 1, 2, 3, 4, 5 เท่านั้น (ไม่มีจุดทศนิยม / ไม่มี 0.5) | โครงสร้างแบบ Transposed แนวนอน</t>
        </is>
      </c>
    </row>
    <row r="4" ht="24" customHeight="1">
      <c r="A4" s="19" t="inlineStr">
        <is>
          <t>รหัสคำถาม (Question Code)</t>
        </is>
      </c>
      <c r="B4" s="20" t="inlineStr">
        <is>
          <t>T-01</t>
        </is>
      </c>
      <c r="C4" s="20" t="inlineStr">
        <is>
          <t>T-02</t>
        </is>
      </c>
      <c r="D4" s="20" t="inlineStr">
        <is>
          <t>T-03</t>
        </is>
      </c>
      <c r="E4" s="20" t="inlineStr">
        <is>
          <t>T-04</t>
        </is>
      </c>
      <c r="F4" s="20" t="inlineStr">
        <is>
          <t>E-01</t>
        </is>
      </c>
      <c r="G4" s="20" t="inlineStr">
        <is>
          <t>E-02</t>
        </is>
      </c>
      <c r="H4" s="20" t="inlineStr">
        <is>
          <t>E-03</t>
        </is>
      </c>
      <c r="I4" s="20" t="inlineStr">
        <is>
          <t>L-01</t>
        </is>
      </c>
      <c r="J4" s="20" t="inlineStr">
        <is>
          <t>L-02</t>
        </is>
      </c>
      <c r="K4" s="20" t="inlineStr">
        <is>
          <t>O-01</t>
        </is>
      </c>
      <c r="L4" s="20" t="inlineStr">
        <is>
          <t>O-02</t>
        </is>
      </c>
      <c r="M4" s="20" t="inlineStr">
        <is>
          <t>O-03</t>
        </is>
      </c>
      <c r="N4" s="20" t="inlineStr">
        <is>
          <t>S-01</t>
        </is>
      </c>
      <c r="O4" s="20" t="inlineStr">
        <is>
          <t>S-02</t>
        </is>
      </c>
      <c r="P4" s="20" t="inlineStr">
        <is>
          <t>S-03</t>
        </is>
      </c>
      <c r="Q4" s="20" t="inlineStr">
        <is>
          <t>SDG-01</t>
        </is>
      </c>
      <c r="R4" s="20" t="inlineStr">
        <is>
          <t>SDG-02</t>
        </is>
      </c>
      <c r="S4" s="20" t="inlineStr">
        <is>
          <t>SDG-03</t>
        </is>
      </c>
      <c r="T4" s="20" t="inlineStr">
        <is>
          <t>สรุปภาพรวม (SUMMARY)</t>
        </is>
      </c>
    </row>
    <row r="5" ht="24" customHeight="1">
      <c r="A5" s="21" t="inlineStr">
        <is>
          <t>มิติการประเมิน (TELOS+S Pillar)</t>
        </is>
      </c>
      <c r="B5" s="22" t="inlineStr">
        <is>
          <t>ด้านเทคนิค (Technical 2.2)</t>
        </is>
      </c>
      <c r="C5" s="22" t="inlineStr">
        <is>
          <t>ด้านเทคนิค (Technical 2.2)</t>
        </is>
      </c>
      <c r="D5" s="22" t="inlineStr">
        <is>
          <t>ด้านเทคนิค (Technical 2.2)</t>
        </is>
      </c>
      <c r="E5" s="22" t="inlineStr">
        <is>
          <t>ด้านเทคนิค (Technical 2.2)</t>
        </is>
      </c>
      <c r="F5" s="22" t="inlineStr">
        <is>
          <t>ด้านเศรษฐศาสตร์ (Economic 2.3)</t>
        </is>
      </c>
      <c r="G5" s="22" t="inlineStr">
        <is>
          <t>ด้านเศรษฐศาสตร์ (Economic 2.3)</t>
        </is>
      </c>
      <c r="H5" s="22" t="inlineStr">
        <is>
          <t>ด้านเศรษฐศาสตร์ (Economic 2.3)</t>
        </is>
      </c>
      <c r="I5" s="22" t="inlineStr">
        <is>
          <t>ด้านกฎหมาย (Legal 2.4)</t>
        </is>
      </c>
      <c r="J5" s="22" t="inlineStr">
        <is>
          <t>ด้านกฎหมาย (Legal 2.4)</t>
        </is>
      </c>
      <c r="K5" s="22" t="inlineStr">
        <is>
          <t>ด้านการปฏิบัติการ (Operational 2.5)</t>
        </is>
      </c>
      <c r="L5" s="22" t="inlineStr">
        <is>
          <t>ด้านการปฏิบัติการ (Operational 2.5)</t>
        </is>
      </c>
      <c r="M5" s="22" t="inlineStr">
        <is>
          <t>ด้านการปฏิบัติการ (Operational 2.5)</t>
        </is>
      </c>
      <c r="N5" s="22" t="inlineStr">
        <is>
          <t>ด้านเวลา (Schedule 2.6)</t>
        </is>
      </c>
      <c r="O5" s="22" t="inlineStr">
        <is>
          <t>ด้านเวลา (Schedule 2.6)</t>
        </is>
      </c>
      <c r="P5" s="22" t="inlineStr">
        <is>
          <t>ด้านเวลา (Schedule 2.6)</t>
        </is>
      </c>
      <c r="Q5" s="22" t="inlineStr">
        <is>
          <t>ด้านความยั่งยืน (SDGs 2.7)</t>
        </is>
      </c>
      <c r="R5" s="22" t="inlineStr">
        <is>
          <t>ด้านความยั่งยืน (SDGs 2.7)</t>
        </is>
      </c>
      <c r="S5" s="22" t="inlineStr">
        <is>
          <t>ด้านความยั่งยืน (SDGs 2.7)</t>
        </is>
      </c>
      <c r="T5" s="23" t="inlineStr">
        <is>
          <t>ผลรวมทุกมิติ (All Pillars)</t>
        </is>
      </c>
    </row>
    <row r="6" ht="80" customHeight="1">
      <c r="A6" s="21" t="inlineStr">
        <is>
          <t>คำถามทดสอบความเสี่ยงจริง (Stress-Test Question)</t>
        </is>
      </c>
      <c r="B6" s="24" t="inlineStr">
        <is>
          <t>โครงสร้างทางกายภาพและกลไกยึดจับภายนอกของระบบ สามารถออกแบบ ผลิต และประกอบขึ้นได้จริงด้วยเครื่องมือกลที่เข้าถึงได้ และทนทานต่อสภาวะแวดล้อมจริงของ กทม. (ลมมรสุม ละอองน้ำ ไอสารเคมี การกัดกร่อน) อย่างต่อเนื่องหรือไม่?</t>
        </is>
      </c>
      <c r="C6" s="24" t="inlineStr">
        <is>
          <t>สถาปัตยกรรมวงจรอิเล็กทรอนิกส์ การจ่ายพลังงาน และการเชื่อมต่อเซนเซอร์ สามารถทำงานได้อย่างต่อเนื่อง มีเสถียรภาพ ปราศจากความร้อนสะสมและการรบกวนทางแม่เหล็กไฟฟ้า (EMI) ในสภาวะแวดล้อมปิดหรือกลางแจ้งหรือไม่?</t>
        </is>
      </c>
      <c r="D6" s="24" t="inlineStr">
        <is>
          <t>โมเดลคณิตศาสตร์หรือตรรกะการประมวลผล สามารถส่งมอบผลลัพธ์การตัดสินใจที่ถูกต้อง แม่นยำ และทันต่อกรอบเวลาปฏิบัติการหน้างาน (Operating Time Horizon) ของระบบหรือไม่?</t>
        </is>
      </c>
      <c r="E6" s="24" t="inlineStr">
        <is>
          <t>ระบบสามารถรักษาความถูกต้องของสัญญาณตรวจวัด และทนทานต่อสิ่งรบกวนทางกายภาพในพื้นที่จริง (คราบไขมัน ตะกอน ก๊าซกัดกร่อน ฝุ่นละออง คลื่นผิวน้ำ) โดยไม่เกิดความล้มเหลวหรือส่งข้อมูลหลอก (False Alarms) หรือไม่?</t>
        </is>
      </c>
      <c r="F6" s="24" t="inlineStr">
        <is>
          <t>งบประมาณจัดซื้อวัสดุ เซนเซอร์ บอร์ดประมวลผล และตัวกระตุ้น (BOM) สำหรับสร้างต้นแบบที่ใช้งานได้จริง สามารถควบคุมให้อยู่ภายใต้เพดานงบประมาณโครงงาน (&lt; 5,000 บาท) ได้จริงหรือไม่?</t>
        </is>
      </c>
      <c r="G6" s="24" t="inlineStr">
        <is>
          <t>โครงการมีการจัดสรรงบประมาณสำรองสำหรับชิ้นส่วนทดแทนกรณีเสียหาย (Scrap Margin) อย่างน้อย 80-100% สำหรับอุปกรณ์หลักที่มีความเสี่ยงสูงจากการทดสอบหน้างานหรือไม่?</t>
        </is>
      </c>
      <c r="H6" s="24" t="inlineStr">
        <is>
          <t>เมื่อระบบถูกนำไปใช้งานจริง สามารถลดการสิ้นเปลืองทรัพยากร (ค่าน้ำมันรถปฏิบัติการ ค่าแรงเจ้าหน้าที่ ค่าบำรุงรักษายานพาหนะ) ได้คุ้มค่ากว่าภาระค่าใช้จ่ายในการติดตั้งและดูแลรักษาระบบ (OpEx) หรือไม่?</t>
        </is>
      </c>
      <c r="I6" s="24" t="inlineStr">
        <is>
          <t>การติดตั้งและปฏิบัติการของระบบ สอดคล้องกับ พ.ร.บ. คุ้มครองข้อมูลส่วนบุคคล (PDPA), พ.ร.บ. จราจรทางบก และระเบียบความปลอดภัยในที่สาธารณะ โดยไม่ก่อให้เกิดความเสี่ยงต่อการถูกฟ้องร้องหรืออุบัติเหตุบนท้องถนนหรือไม่?</t>
        </is>
      </c>
      <c r="J6" s="24" t="inlineStr">
        <is>
          <t>อุปกรณ์สื่อสารไร้สายผ่านเกณฑ์รับรองมาตรฐานคลื่นความถี่ของ กสทช. และมีช่องทางหรือศักยภาพในการประสานงานเพื่อขออนุญาตเข้าใช้พื้นที่โครงสร้างพื้นฐานเมืองกับหน่วยงานรัฐอย่างเป็นทางการหรือไม่?</t>
        </is>
      </c>
      <c r="K6" s="24" t="inlineStr">
        <is>
          <t>ระบบสามารถสร้างหลักฐานดิจิทัลเชิงประจักษ์ (Digital Evidence Card / Audit Trail) เช่น ข้อมูลแนวโน้ม พิกัดเวลา และสถานะการทำงาน เพื่อสนับสนุนการปิดงานหรือตัดสินใจของเจ้าหน้าที่ตามระเบียบขั้นตอน (SOP) โดยไม่สร้างภาระงานซ้ำซ้อนหรือไม่?</t>
        </is>
      </c>
      <c r="L6" s="24" t="inlineStr">
        <is>
          <t>ขั้นตอนการติดตั้ง การบำรุงรักษา และการใช้งานโดยเจ้าหน้าที่หน้างาน มีความสะดวก ไม่สร้างภาระงานส่วนเกิน และสอดคล้องกับสภาพการทำงานจริงของบุคลากรภาคสนามหรือไม่?</t>
        </is>
      </c>
      <c r="M6" s="24" t="inlineStr">
        <is>
          <t>ขั้นตอนการติดตั้ง ตรวจสอบ และซ่อมบำรุงอุปกรณ์หน้างาน สามารถกระทำได้อย่างปลอดภัย โดยไม่ก่อให้เกิดความเสี่ยงต่อชีวิตของผู้พัฒนา เจ้าหน้าที่ หรือประชาชนผู้สัญจร (พื้นที่อับอากาศ กระแสน้ำเชี่ยว หรือผิวจราจรที่มีรถยนต์สัญจร) หรือไม่?</t>
        </is>
      </c>
      <c r="N6" s="24" t="inlineStr">
        <is>
          <t>แผนงานและการกระจายสถาปัตยกรรมระบบ มีเวลาสำรอง (Buffer Time 3-4 สัปดาห์) เพียงพอที่จะดูดซับช่วงสอบของมหาวิทยาลัยและภาระงานอื่น โดยโครงการไม่ล่าช้ากว่ากำหนดหรือไม่?</t>
        </is>
      </c>
      <c r="O6" s="24" t="inlineStr">
        <is>
          <t>ความก้าวหน้าของโครงการสามารถบรรลุการบูรณาการฮาร์ดแวร์และซอฟต์แวร์ให้ทำงานร่วมกันได้จริง (Working Prototype / PoC) ภายในสัปดาห์ที่ 9 ก่อนการประเมินหลักของภาคการศึกษาหรือไม่?</t>
        </is>
      </c>
      <c r="P6" s="24" t="inlineStr">
        <is>
          <t>ระยะเวลาในการสั่งซื้อและขนส่งชิ้นส่วน อุปกรณ์เซนเซอร์ และบอร์ดอิเล็กทรอนิกส์ทั้งหมด สอดคล้องกับกรอบเวลา โดยสามารถได้รับของครบถ้วนภายในไม่เกิน 14 วันทำการหรือไม่?</t>
        </is>
      </c>
      <c r="Q6" s="24" t="inlineStr">
        <is>
          <t>ระบบส่งเสริมการลดความสูญเสียต่อชีวิต ทรัพย์สิน และโครงสร้างพื้นฐานของเมืองจากภัยพิบัติหรือสภาพอากาศแปรปรวน (น้ำท่วมขังหรือความร้อนรุนแรง) สอดคล้องกับเป้าหมาย SDG 11.5 และ SDG 13.1 อย่างเป็นรูปธรรมหรือไม่?</t>
        </is>
      </c>
      <c r="R6" s="24" t="inlineStr">
        <is>
          <t>ชิ้นส่วน วัสดุ และอุปกรณ์ที่ติดตั้ง ไม่ก่อให้เกิดมลพิษทางสิ่งแวดล้อม ไม่เสี่ยงต่อการหลุดลอยกลายเป็นขยะอุดตันโครงสร้างพื้นฐานสาธารณะ ใช้วัสดุที่ทนทาน ปลอดสารพิษ และใช้น้ำ/พลังงานอย่างคุ้มค่า สอดคล้องกับ SDG 6.3 / 6.4 และ SDG 12.4 หรือไม่?</t>
        </is>
      </c>
      <c r="S6" s="24" t="inlineStr">
        <is>
          <t>ตรรกะการตัดสินใจ การคัดกรอง หรือการจัดสรรทรัพยากรของระบบ มีความโปร่งใส ตรวจสอบย้อนกลับได้ (Audit Trail) และให้บริการต่อประชาชนทุกกลุ่มอย่างเป็นธรรมโดยไม่เลือกปฏิบัติ สอดคล้องกับ SDG 10.2 และ SDG 16.6 หรือไม่?</t>
        </is>
      </c>
      <c r="T6" s="25" t="inlineStr">
        <is>
          <t>ประเมินคำถามทั้งสิ้น 18 ข้อ</t>
        </is>
      </c>
    </row>
    <row r="7" ht="95" customHeight="1">
      <c r="A7" s="21" t="inlineStr">
        <is>
          <t>เหตุผลในการถาม &amp; โหมดความล้มเหลวที่เฝ้าระวัง (Rationale)</t>
        </is>
      </c>
      <c r="B7" s="24" t="inlineStr">
        <is>
          <t>หากโครงสร้างบังคับใช้วิธีผลิตระดับอุตสาหกรรมหนักที่ทีมเข้าไม่ถึง โครงงานจะล้มเหลว และหากไม่ทนต่อสภาพอากาศกลางแจ้ง อุปกรณ์จะเสียหายก่อนส่งมอบงาน</t>
        </is>
      </c>
      <c r="C7" s="24" t="inlineStr">
        <is>
          <t>วงจรไฟฟ้าที่ขาดการป้องกันจะเสี่ยงต่อการลัดวงจรเมื่อเจอน้ำและความชื้น นอกจากนี้ อุปกรณ์ที่ต้องประมวลผลต่อเนื่องหรือจ่ายกระแสสูงกลางแจ้ง เสี่ยงต่อความร้อนสะสมจนชิปค้างหรือรีบูตตัวเองขณะปฏิบัติการ</t>
        </is>
      </c>
      <c r="D7" s="24" t="inlineStr">
        <is>
          <t>หัวใจของระบบอัตโนมัติคือการให้ผลการตัดสินใจที่ทันเวลาและถูกต้อง หากโมเดลซับซ้อนเกินไปจนรันไม่ทัน หรือขาดข้อมูลฝึกฝนจนผลลัพธ์เพี้ยน ระบบจะไม่สามารถสนับสนุนการทำงานจริงของเจ้าหน้าที่ได้</t>
        </is>
      </c>
      <c r="E7" s="24" t="inlineStr">
        <is>
          <t>สภาพแวดล้อมจริงในเขตเมืองเต็มไปด้วยสิ่งรบกวน หากไม่มีเกราะกำบังทางกายภาพและตัวกรองสัญญาณเชิงสถิติ ข้อมูลจะกระโดดไปมา นำไปสู่การตัดสินใจที่ผิดพลาดและสร้างความเสียหายต่อกระบวนการทำงาน</t>
        </is>
      </c>
      <c r="F7" s="24" t="inlineStr">
        <is>
          <t>โครงงานนักศึกษาไม่มีงบประมาณสนับสนุนขนาดใหญ่จากภายนอก หากสถาปัตยกรรมบังคับใช้อุปกรณ์เกรดอุตสาหกรรมนำเข้าราคาหลายหมื่นบาท จะทำให้โครงงานหยุดชะงักจากปัญหางบประมาณบานปลาย</t>
        </is>
      </c>
      <c r="G7" s="24" t="inlineStr">
        <is>
          <t>การทดสอบหน้างานมีความเสี่ยงสูงที่จะเกิดการลัดวงจร ตกกระแทก หรือน้ำเข้า หากไม่มีอะไหล่สำรอง เมื่อชิ้นส่วนเสียหายโครงการจะต้องหยุดรอการสั่งซื้อใหม่เป็นเวลาหลายสัปดาห์</t>
        </is>
      </c>
      <c r="H7" s="24" t="inlineStr">
        <is>
          <t>ระบบที่พัฒนาขึ้นต้องสร้างผลตอบแทนทางเศรษฐศาสตร์สาธารณะที่คุ้มค่า หากค่าใช้จ่ายในการบำรุงรักษาสูงกว่ามูลค่าทรัพยากรที่ประหยัดได้ ภาครัฐจะยกเลิกการใช้งานหลังสิ้นสุดการทดสอบ</t>
        </is>
      </c>
      <c r="I7" s="24" t="inlineStr">
        <is>
          <t>การทดสอบและติดตั้งอุปกรณ์ในพื้นที่สาธารณะของเมืองต้องเคารพกฎหมายสิทธิส่วนบุคคลและความปลอดภัยในการสัญจร หากละเมิดกฎหมาย โครงการจะถูกระงับการทำงานและถูกดำเนินคดีทันที</t>
        </is>
      </c>
      <c r="J7" s="24" t="inlineStr">
        <is>
          <t>การใช้คลื่นวิทยุที่ไม่ผ่านการรับรองถือเป็นความผิดทางอาญา และการเข้าถึงพื้นที่โครงสร้างพื้นฐานสาธารณะจำเป็นต้องมีหนังสือขออนุญาตและช่องทางประสานงานกับหน่วยงานท้องถิ่น</t>
        </is>
      </c>
      <c r="K7" s="24" t="inlineStr">
        <is>
          <t>เจ้าหน้าที่หน้างานมีระเบียบปฏิบัติราชการที่ต้องมีหลักฐานชัดเจนในการปิดงาน หากระบบส่งเฉพาะข้อความเตือนโดยไม่มีกราฟแนวโน้มและบันทึกเวลา เจ้าหน้าที่จะไม่สามารถนำไปใช้ปิดงานตามระเบียบได้</t>
        </is>
      </c>
      <c r="L7" s="24" t="inlineStr">
        <is>
          <t>หากระบบใช้งานยาก ต้องใช้เครื่องมือพิเศษหรือช่างเทคนิคขั้นสูงในการบำรุงรักษา ระบบจะถูกละเลยและกลายเป็นขยะอิเล็กทรอนิกส์ในเวลาไม่นาน</t>
        </is>
      </c>
      <c r="M7" s="24" t="inlineStr">
        <is>
          <t>ความปลอดภัยต่อชีวิตเป็นเรื่องสำคัญที่สุด การทำงานในพื้นที่อับอากาศที่มีก๊าซพิษสะสม ทางน้ำลึก หรือบนผิวทางสัญจรที่ไม่มีการกั้นพื้นที่ อาจนำไปสู่อุบัติเหตุร้ายแรงถึงแก่ชีวิต</t>
        </is>
      </c>
      <c r="N7" s="24" t="inlineStr">
        <is>
          <t>ตารางสอบกลางภาคและปลายภาคของมหาวิทยาลัยจะดึงเวลาของสมาชิกไปเต็มที่ 1-2 สัปดาห์ หากไม่มี Buffer Time โครงงานจะล้มเหลวด้านเวลาทันที</t>
        </is>
      </c>
      <c r="O7" s="24" t="inlineStr">
        <is>
          <t>สัปดาห์ที่ 9 เป็น Milestone สำคัญในการประเมินความก้าวหน้า หากฮาร์ดแวร์และซอฟต์แวร์ยังไม่สามารถเชื่อมต่อกันได้จริง โครงงานจะถูกจัดอยู่ในกลุ่มเสี่ยงสูง</t>
        </is>
      </c>
      <c r="P7" s="24" t="inlineStr">
        <is>
          <t>การรอคอยชิ้นส่วนเป็นคอขวดที่พบบ่อยที่สุดในโครงงานวิศวกรรม หากอุปกรณ์ต้องรอสั่งจากต่างประเทศนานเกินไป จะทำให้เวลาในการพัฒนาและการทดสอบจริงไม่เพียงพอ</t>
        </is>
      </c>
      <c r="Q7" s="24" t="inlineStr">
        <is>
          <t>โครงงานวิศวกรรมต้องตอบสนองต่อเป้าหมายการพัฒนาที่ยั่งยืนของสหประชาชาติ โดยเฉพาะการลดผลกระทบจากภัยพิบัติเมืองและการเปลี่ยนแปลงสภาพภูมิอากาศ</t>
        </is>
      </c>
      <c r="R7" s="24" t="inlineStr">
        <is>
          <t>อุปกรณ์ที่ติดตั้งในโครงสร้างพื้นฐานเมืองต้องไม่กลายเป็นสาเหตุของมลพิษ หรือหลุดลอยไปสร้างปัญหาการอุดตัน และต้องใช้ทรัพยากรอย่างมีประสิทธิภาพ</t>
        </is>
      </c>
      <c r="S7" s="24" t="inlineStr">
        <is>
          <t>ระบบสนับสนุนการตัดสินใจของรัฐต้องมีความเป็นธรรม ไม่เลือกปฏิบัติในการจัดสรรทรัพยากรและสามารถตรวจสอบความถูกต้องย้อนหลังได้ทุกขั้นตอน</t>
        </is>
      </c>
      <c r="T7" s="25" t="inlineStr">
        <is>
          <t>สังเคราะห์จาก AI Agents Group 2</t>
        </is>
      </c>
    </row>
    <row r="8" ht="150" customHeight="1">
      <c r="A8" s="21" t="inlineStr">
        <is>
          <t>เกณฑ์การให้คะแนน (Scoring Rubric Definition: ระดับ 1, 2, 3, 4, 5 ครบทุกระดับ)</t>
        </is>
      </c>
      <c r="B8" s="24" t="inlineStr">
        <is>
          <t>1: บังคับใช้กระบวนการผลิตระดับอุตสาหกรรมหนัก (เช่น หล่อโลหะ/กลึงชิ้นงานขนาดใหญ่) ที่ไม่มีสิทธิ์เข้าถึง และโครงสร้างพังทลายเมื่อสัมผัสน้ำหรือความชื้น (Fatal Flaw)
2: ต้องจ้างโรงกลึงภายนอกผลิตเกือบทั้งหมด เสี่ยงต่อความล่าช้าเกินงบประมาณ โครงสร้างทนสภาพแวดล้อมได้ไม่เกิน 7 วัน
3: ใช้โครงสร้าง 3D Print ทั่วไป (เช่น PLA) หรือประกอบมือโดยไม่มีการซีลป้องกัน ความแข็งแรงปานกลาง ต้องมีโครงกำบังภายนอกเพิ่มเติม
4: ผสมผสานชิ้นส่วน COTS ร่วมกับชิ้นงานที่ผลิตขึ้นรูปเองภายใน (เช่น PETG/ABS/โลหะแผ่น) มีการทดสอบความแข็งแรงและซีลกันละอองน้ำระดับ IP65
5: ใช้โครงสร้างและกล่องสำเร็จรูปมาตรฐานอุตสาหกรรม (IP67/IP68) พร้อมแคลมป์ยึดมาตรฐาน ทนแรงสั่นสะเทือนและสภาพแวดล้อมภายนอกได้เกิน 90 วันโดยไม่ต้องดัดแปลง</t>
        </is>
      </c>
      <c r="C8" s="24" t="inlineStr">
        <is>
          <t>1: วงจรไม่มีระบบป้องกันไฟกระชาก เกิดความร้อนสะสมจนชิปหยุดทำงาน หรือเกิดการลัดวงจรทันทีเมื่อมีความชื้น (Fatal Flaw)
2: อุปกรณ์ประมวลผลเกิดความร้อนสูงสะสมจนลดทอนความเร็ว สัญญาณแอนะล็อกถูกสัญญาณรบกวนจนอ่านค่าผิดพลาดเกิน 30%
3: ใช้วงจรประกอบมือบน Perfboard หรือสายไฟแบบ Dupont เสี่ยงต่อการหลวมหลุดเมื่อมีแรงสั่นสะเทือน แต่ยังทำงานได้
4: ใช้วงจรไมโครคอนโทรลเลอร์เชื่อมต่อผ่าน Screw Terminal Shield หรือ Custom PCB ขนาดเล็กที่มี Diode ป้องกันไฟย้อนและตัวเก็บประจุกรองสัญญาณรบกวน
5: สถาปัตยกรรมวงจรมาตรฐาน มีการแยกกราวและสัญญาณ (Optocoupler/Galvanic Isolation) มีการจัดการพลังงานแบบ Low-power Sleep Mode และกระจายความร้อนโดยไม่ใช้พัดลม</t>
        </is>
      </c>
      <c r="D8" s="24" t="inlineStr">
        <is>
          <t>1: โมเดลขาดข้อมูลฝึกฝนโดยสิ้นเชิง หรืออัลกอริทึมใช้เวลาประมวลผลนานกว่ากรอบเวลาตัดสินใจหน้างานจนระบบไร้ประโยชน์ (Fatal Flaw)
2: อัลกอริทึมมีความซับซ้อนสูงแต่ขาดการปรับเทียบ (Calibration) ทำให้ผลการตัดสินใจคลาดเคลื่อนบ่อยครั้ง
3: ใช้เกณฑ์แบบคงที่ (Static Threshold) ซึ่งปรับตัวตามสภาวะพลวัตของสภาพแวดล้อมจริงได้จำกัด แต่ประมวลผลได้เร็ว
4: ใช้อัลกอริทึมประมวลผลสัญญาณหรือโมเดลน้ำหนักเบา ให้ผลลัพธ์ที่แม่นยำและประมวลผลเสร็จสิ้นภายในไม่เกิน 5 วินาที
5: ใช้สมการฟิสิกส์เชิงวิเคราะห์ (Analytical Physics) หรือสมการอนุพันธ์แบบ Closed-form ประมวลผลเสร็จในระดับมิลลิวินาที (≤ 100 ms) บน Edge Node โดยตรง</t>
        </is>
      </c>
      <c r="E8" s="24" t="inlineStr">
        <is>
          <t>1: หัววัดล้มเหลวโดยสิ้นเชิงทันทีที่สัมผัสสภาพแวดล้อมจริง (เช่น คราบไขมันเคลือบมิดจนวัดค่าไม่ได้ หรือก๊าซกัดกร่อนละลายหัววัด / Fatal Flaw)
2: เกิด False Alarm สูงเกิน 40% เมื่อเจอกระแสลม คลื่นผิวน้ำ หรือไอน้ำ ต้องอาศัยมนุษย์คอยตรวจสอบซ้ำตลอดเวลา
3: สัญญาณแกว่งตัวเมื่อเจอสิ่งรบกวน ต้องกำหนดรอบการเข้าทำความสะอาดหัววัดบ่อยครั้ง (ทุก 3-5 วัน) เพื่อรักษาความแม่นยำ
4: มีโครงกำบังทางกายภาพ (Housing/Baffle) ร่วมกับอัลกอริทึมกรองสัญญาณเชิงสถิติ (Median/Moving Average Filter) ลด False Alarm เหลือ &lt; 10%
5: ออกแบบการตรวจวัดแบบไม่สัมผัสสิ่งรบกวน (Non-contact Sensing) ร่วมกับ Adaptive Filtering กำจัดสัญญาณกวนได้สมบูรณ์โดยไม่ต้องบำรุงรักษาหัววัดเกิน 60 วัน</t>
        </is>
      </c>
      <c r="F8" s="24" t="inlineStr">
        <is>
          <t>1: งบประมาณ BOM เกิน 15,000 บาท (เกินเพดาน 5,000 บาท ถึง 3 เท่าตัว โดยไม่มีแหล่งทุนรองรับ / Fatal Flaw)
2: งบประมาณ BOM อยู่ระหว่าง 8,000 - 15,000 บาท จำเป็นต้องยื่นขอทุนสนับสนุนภายนอกซึ่งมีความไม่แน่นอนสูง
3: งบประมาณ BOM อยู่ระหว่าง 5,000 - 8,000 บาท เกินงบประมาณเล็กน้อย ต้องตัดทอนความสามารถของฮาร์ดแวร์บางส่วนออก
4: งบประมาณ BOM อยู่ระหว่าง 3,500 - 5,000 บาท พอดีกับเพดานงบประมาณโครงงาน
5: งบประมาณ BOM ต่ำกว่า 3,500 บาท ใช้อุปกรณ์ COTS ราคาประหยัด ควบคุมต้นทุนได้อย่างเด็ดขาด</t>
        </is>
      </c>
      <c r="G8" s="24" t="inlineStr">
        <is>
          <t>1: จัดซื้ออุปกรณ์เพียง 1x BOM พอดีเป๊ะ ไม่มีงบสำรองอะไหล่เลย (0%) หากอุปกรณ์ช็อตหรือแตกหัก โครงการจะหยุดชะงักทันที (Fatal Flaw)
2: มีงบสำรองอะไหล่เพียง 10-20% ครอบคลุมเฉพาะอุปกรณ์พื้นฐานชิ้นเล็ก (สายไฟ, ขั้วต่อ)
3: มีงบสำรองอะไหล่ประมาณ 50% สามารถสำรองเซนเซอร์ได้บางตัว แต่ไม่มีบอร์ดประมวลผลสำรอง
4: มีงบสำรองอะไหล่ 80-100% สำหรับเซนเซอร์หลักและโมดูลควบคุมสำคัญ
5: มีงบสำรองจัดซื้ออุปกรณ์หลักครบ 2 ชุด (100% Duplication) ภายใต้กรอบงบประมาณรวมของโครงงาน</t>
        </is>
      </c>
      <c r="H8" s="24" t="inlineStr">
        <is>
          <t>1: ค่าบำรุงรักษาระบบ (OpEx) แพงกว่ามูลค่าทรัพยากรที่ประหยัดได้ หรือไม่ก่อให้เกิดการประหยัดทรัพยากรใด ๆ เมื่อเทียบกับการไม่ทำอะไรเลย (Fatal Flaw)
2: ประหยัดทรัพยากรได้น้อยมาก มีจุดคุ้มทุนยาวนานเกินกว่า 3 ปี ไม่ดึงดูดใจเชิงนโยบาย
3: คืนทุนได้ในระยะ 1-2 ปี การประหยัดทรัพยากรแปรผันตามฤดูกาลอย่างมีนัยสำคัญ
4: ประหยัดทรัพยากร ค่าน้ำมัน และกำลังพลได้อย่างชัดเจน มีจุดคุ้มทุนภายในระยะเวลา 1 ปีแรกของการใช้งาน
5: ลดการสูญเปล่าของงบประมาณและกำลังพลได้มากกว่า 30-50% ระบบกินพลังงานต่ำมาก คืนทุนได้ภายในรอบฤดูกาลเดียว</t>
        </is>
      </c>
      <c r="I8" s="24" t="inlineStr">
        <is>
          <t>1: มีการบันทึกภาพใบหน้าหรือป้ายทะเบียนรถในที่สาธารณะโดยผิดกฎหมาย PDPA หรือติดตั้งขวางช่องทางจราจรเสี่ยงต่ออุบัติเหตุร้ายแรง (Fatal Flaw)
2: สุ่มเสี่ยงต่อการละเมิดกฎหมาย ต้องมีขั้นตอนทางเทคนิคที่ซับซ้อนเพื่อเลี่ยงข้อบังคับและยังไม่มีเอกสารยินยอม
3: ปฏิบัติตามกฎหมายได้บางส่วน แต่ต้องรอการอนุมัติข้อยกเว้นเป็นลายลักษณ์อักษรจากหน่วยงานกำกับดูแล
4: ปฏิบัติตามกฎหมายถูกต้อง มีการเข้ารหัสข้อมูล ไม่มีการจัดเก็บข้อมูลส่วนบุคคล (No PII) และมีมาตรการความปลอดภัยบนผิวทาง
5: ปลอดจากการละเมิดกฎหมาย 100% ไม่ใช้กล้องถ่ายภาพบุคคล (Zero PII) และติดตั้งในจุดปลอดภัยตามมาตรฐานวิศวกรรมสาธารณะ</t>
        </is>
      </c>
      <c r="J8" s="24" t="inlineStr">
        <is>
          <t>1: ใช้อุปกรณ์ส่งสัญญาณคลื่นความถี่เถื่อนที่ไม่ได้รับอนุญาต และไม่มีช่องทางติดต่อประสานงานกับหน่วยงานรัฐอย่างสิ้นเชิง (Fatal Flaw)
2: โมดูลสื่อสารผ่านเกณฑ์ แต่ทีมงานขาดช่องทางติดต่อ ทำให้ขั้นตอนการขออนุญาตหน้างานมีความล่าช้าเกิน 2 เดือน
3: ใช้โมดูลที่ถูกต้องตามกฎหมาย และอยู่ระหว่างรอการออกหนังสือประสานงานอย่างเป็นทางการจากมหาวิทยาลัย
4: อุปกรณ์สื่อสารผ่านการรับรองมาตรฐาน และสามารถสื่อสาร ประสานงาน และยื่นเอกสารทางราชการเพื่อขอพื้นที่ทดสอบได้อย่างราบรื่น
5: อุปกรณ์ผ่านการรับรองมาตรฐาน 100% และมีเครือข่ายความร่วมมือหรือหนังสืออนุญาตให้ทดสอบในพื้นที่จริงจากหน่วยงานกำกับดูแล</t>
        </is>
      </c>
      <c r="K8" s="24" t="inlineStr">
        <is>
          <t>1: ระบบไม่สามารถสร้างหลักฐานใด ๆ ได้ บังคับให้เจ้าหน้าที่ต้องลงพื้นที่ไปตรวจสอบซ้ำซ้อน 100% เพื่อถ่ายรูปปิดงานตามระเบียบ (Fatal Flaw)
2: แสดงผลได้เฉพาะตัวเลขดิบที่ยากต่อการแปลผล เจ้าหน้าที่ไม่สามารถนำไปใช้เป็นหลักฐานปิดงานได้
3: สร้างรายงานสรุปได้ แต่เจ้าหน้าที่ยังต้องกรอกข้อมูลและแนบรูปถ่ายยืนยันด้วยตนเองเพิ่มเติม
4: สร้างบัตรหลักฐานดิจิทัล (Digital Evidence Card) ที่แสดงผลชัดเจน อ่านเข้าใจง่ายใน 5 วินาที พร้อมแนบในระบบรายงานผลได้ทันที
5: มีระบบบันทึก Audit Trail อัตโนมัติ พร้อมส่งออกรายงานหรือเชื่อมโยง API เข้าสู่ระบบรายงานผลของหน่วยงาน (เช่น Traffy Fondue) ได้อย่างสมบูรณ์</t>
        </is>
      </c>
      <c r="L8" s="24" t="inlineStr">
        <is>
          <t>1: ใช้งานยากมาก ต้องใช้วิศวกรหรือผู้เชี่ยวชาญควบคุมตลอดเวลา เจ้าหน้าที่หน้างานปฏิเสธการใช้งานและต่อต้านระบบ (Fatal Flaw)
2: มีขั้นตอนการปรับเทียบ (Calibration) และบำรุงรักษาที่ยุ่งยากเกินกว่า 30 นาทีต่อครั้ง
3: เจ้าหน้าที่ต้องผ่านการฝึกอบรม 1-2 วัน จึงจะสามารถใช้งานและดูแลรักษาได้อย่างถูกต้อง
4: ใช้งานง่าย มีคู่มือปฏิบัติงานภาคสนามชัดเจน สามารถบำรุงรักษาได้ด้วยเครื่องมือช่างทั่วไป
5: ออกแบบตามหลักสรีรศาสตร์และ UX หน้างาน กดปุ่มเดียวทำงานอัตโนมัติ (Plug-and-Play) เจ้าหน้าที่ใช้งานได้ทันทีโดยไม่ต้องผ่านการอบรมที่ซับซ้อน</t>
        </is>
      </c>
      <c r="M8" s="24" t="inlineStr">
        <is>
          <t>1: บังคับให้คนต้องมุดลงในพื้นที่อับอากาศที่มีก๊าซพิษสะสม (Confined Space) หรือลงไปปฏิบัติงานในจุดเสี่ยงอันตรายถึงชีวิต (กระแสน้ำเชี่ยวลึก หรือผิวจราจรความเร็วสูง) โดยไม่มีอุปกรณ์นิรภัยมาตรฐาน (Fatal Flaw)
2: หน้างานมีความเสี่ยงสูง ต้องใช้อุปกรณ์ป้องกันภัยส่วนบุคคล (PPE) ขั้นสูงสุดและต้องมีเจ้าหน้าที่กำกับดูแลความปลอดภัยตลอดเวลา
3: มีความปลอดภัยปานกลาง ปฏิบัติงานได้เฉพาะจุดที่มีแนวกั้นชัดเจนหรือบนทางเท้า/ผิวทางที่มีการปิดกั้นพื้นที่สัญจร
4: มีความปลอดภัยสูง ออกแบบให้ติดตั้งและบำรุงรักษาจากบนผิวทางเท้าหรือจุดปลอดภัย โดยไม่มีการให้บุคลากรลงไปในจุดอันตราย
5: ปลอดภัย 100% ออกแบบให้ติดตั้ง บำรุงรักษา และทดสอบจากระยะไกล มีระบบตัดการทำงานฉุกเฉิน และปลอดจากจุดเสี่ยงอันตรายต่อชีวิตทุกประการ</t>
        </is>
      </c>
      <c r="N8" s="24" t="inlineStr">
        <is>
          <t>1: แผนงานเป็นเส้นตรงที่ขึ้นต่อกันทั้งหมด (Linear Dependency) หากติดช่วงสอบ 1-2 สัปดาห์ โครงการจะล้มเหลวด้านเวลาทันที (Fatal Flaw)
2: มีเวลาสำรองเพียง 3-5 วัน มีความเสี่ยงสูงมากที่จะส่งมอบงานล่าช้าเมื่อสมาชิกติดภารกิจการเรียน
3: มีเวลาสำรอง 1-2 สัปดาห์ เลื่อนงานได้บางส่วนแต่ต้องเร่งงานหนักมากหลังสอบ
4: มี Buffer Time 3-4 สัปดาห์ชัดเจน และสถาปัตยกรรมฮาร์ดแวร์-ซอฟต์แวร์แยกจากกัน ทำให้ทำงานคู่ขนานได้
5: สถาปัตยกรรมระบบเป็นอิสระต่อกันสูง ระบบหลักเสร็จสมบูรณ์ตั้งแต่ก่อนสัปดาห์สอบ มีเวลาทดสอบรวมมากกว่า 4 สัปดาห์</t>
        </is>
      </c>
      <c r="O8" s="24" t="inlineStr">
        <is>
          <t>1: มีความเสี่ยงสูงมากที่จะไม่มีระบบหรืออุปกรณ์ใด ๆ ทำงานได้จริงในสัปดาห์ที่ 9 (Fatal Flaw)
2: ภายในสัปดาห์ที่ 9 ได้เพียงการทดลองชิ้นส่วนแยกกันบนโต๊ะทดลอง ยังไม่สามารถรวมการทำงานระหว่างฮาร์ดแวร์และซอฟต์แวร์ได้
3: ระบบทำงานร่วมกันได้บนโต๊ะทดลอง แต่ยังไม่พร้อมสำหรับการทดสอบในสภาวะจำลองหน้างาน
4: มีต้นแบบฮาร์ดแวร์และซอฟต์แวร์ที่ผสานการทำงานอย่างสมบูรณ์ พร้อมทดสอบในสภาวะจำลองหน้างานได้ภายในสัปดาห์ที่ 9
5: ต้นแบบเสร็จสมบูรณ์ 100% และผ่านการทดสอบทำงานจริงได้เรียบร้อยแล้วตั้งแต่ก่อนสัปดาห์ที่ 9</t>
        </is>
      </c>
      <c r="P8" s="24" t="inlineStr">
        <is>
          <t>1: ต้องสั่งซื้อชิ้นส่วนสั่งทำพิเศษจากต่างประเทศที่ใช้เวลาส่งเกินกว่า 4-6 สัปดาห์ เสี่ยงต่อการไม่มีอุปกรณ์ทำโครงงาน (Fatal Flaw)
2: มีชิ้นส่วนหลักบางรายการที่ต้องรอของ 3-4 สัปดาห์ ทำให้การเริ่มประกอบฮาร์ดแวร์ล่าช้า
3: ชิ้นส่วนทั้งหมดใช้เวลาจัดส่ง 2-3 สัปดาห์ ต้องสั่งซื้อตั้งแต่วันแรกของโครงการจึงจะทันกำหนด
4: ชิ้นส่วนเกือบทั้งหมดจัดซื้อได้จากตัวแทนจำหน่ายในประเทศ ได้รับของภายใน 7-10 วัน
5: ชิ้นส่วนทั้งหมด 100% มีจำหน่ายในประเทศและสามารถจัดส่งถึงมือได้ภายใน 2-4 วันทำการ</t>
        </is>
      </c>
      <c r="Q8" s="24" t="inlineStr">
        <is>
          <t>1: โครงการไม่มีส่วนเกี่ยวข้อง หรืออาจส่งผลกระทบเชิงลบต่อโครงสร้างพื้นฐานและความปลอดภัยของเมือง (Fatal Flaw)
2: สนับสนุนความยั่งยืนทางอ้อมอย่างผิวเผิน แต่ไม่มีตัวชี้วัดผลกระทบเชิงปริมาณที่ชัดเจน
3: ส่งเสริมการลดผลกระทบได้บางส่วน แต่จำกัดขอบเขตอยู่เฉพาะจุดทดลองขนาดเล็ก
4: สอดคล้องกับ SDG 11.5 และ SDG 13.1 ชัดเจน ช่วยลดระยะเวลาและผลกระทบของปัญหาบนถนนสายหลักและพื้นที่ชุมชน
5: สอดคล้องกับเป้าหมายอย่างเป็นรูปธรรม มีแบบจำลองแสดงการลดความสูญเสียทางเศรษฐกิจและความปลอดภัยของประชาชนในเมืองได้อย่างยั่งยืน</t>
        </is>
      </c>
      <c r="R8" s="24" t="inlineStr">
        <is>
          <t>1: อุปกรณ์มีความเสี่ยงสูงที่จะหลุดลอยกลายเป็นขยะอุดตัน หรือปล่อยสารเคมี/โลหะหนักลงสู่สิ่งแวดล้อมสาธารณะ หรือใช้น้ำสิ้นเปลืองรุนแรง (Fatal Flaw)
2: ใช้วัสดุที่เสื่อมสภาพและแตกหักง่าย เสี่ยงต่อการตกค้างในสภาพแวดล้อมหากเจอสภาวะแวดล้อมรุนแรง
3: โครงสร้างแข็งแรงปานกลาง มีโอกาสหลุดลอยหากเจอพายุรุนแรง ต้องมีรอบการตรวจเช็กความแน่นหนาสม่ำเสมอ
4: ใช้วัสดุที่ไม่เป็นพิษต่อสิ่งแวดล้อม มีจุดยึดจับที่แน่นหนา ปลอดภัยต่อระบบสาธารณะ และควบคุมการใช้ทรัพยากรได้ดี
5: ปลอดภัยต่อระบบนิเวศ 100% ไม่มีส่วนประกอบที่หลุดลอยเป็นขยะ มีระบบสลิงนิรภัยสองชั้น (Dual Lanyard) และผ่านการรับรองความปลอดภัยของวัสดุ</t>
        </is>
      </c>
      <c r="S8" s="24" t="inlineStr">
        <is>
          <t>1: ตรรกะของระบบเป็นกล่องดำ (Black Box) ไม่สามารถอธิบายเหตุผลได้ หรือมีอคติเลือกปฏิบัติตัดความช่วยเหลือชุมชนเปราะบาง (Fatal Flaw)
2: เกณฑ์การตัดสินใจไม่ชัดเจน อาจนำไปสู่ความเหลื่อมล้ำในการให้บริการของภาครัฐโดยไม่ตั้งใจ
3: ตรรกะตรวจสอบได้บางส่วน แต่ยังไม่มีกระบวนการอุทธรณ์หรือทบทวนความถูกต้องโดยมนุษย์
4: ตรรกะโปร่งใส ตัดสินใจตามเกณฑ์ข้อมูลเชิงประจักษ์อย่างเสมอภาค ให้ความช่วยเหลือตามระดับความจำเป็นจริง
5: โปร่งใส 100% มี Audit Trail บันทึกทุกประวัติการตัดสินใจ ตรวจสอบย้อนหลังได้ทุกกรณี เสริมสร้างธรรมาภิบาลและความเชื่อมั่นของประชาชน</t>
        </is>
      </c>
      <c r="T8" s="25" t="inlineStr">
        <is>
          <t>เกณฑ์รวม: &gt;=80 ผ่านสูง, &gt;=60 มีเงื่อนไข, &lt;60 เสี่ยงสูง | หากมีข้อใดได้ 1 = VETOED ตกเกณฑ์ทันที</t>
        </is>
      </c>
    </row>
    <row r="9" ht="36" customHeight="1">
      <c r="A9" s="26" t="inlineStr">
        <is>
          <t>คะแนนที่ได้รับ (ASSIGNED SCORE: 1, 2, 3, 4, 5 STRICT INTEGER)</t>
        </is>
      </c>
      <c r="B9" s="27" t="n">
        <v>4</v>
      </c>
      <c r="C9" s="27" t="n">
        <v>4</v>
      </c>
      <c r="D9" s="27" t="n">
        <v>4</v>
      </c>
      <c r="E9" s="27" t="n">
        <v>4</v>
      </c>
      <c r="F9" s="27" t="n">
        <v>3</v>
      </c>
      <c r="G9" s="27" t="n">
        <v>4</v>
      </c>
      <c r="H9" s="27" t="n">
        <v>4</v>
      </c>
      <c r="I9" s="27" t="n">
        <v>4</v>
      </c>
      <c r="J9" s="27" t="n">
        <v>4</v>
      </c>
      <c r="K9" s="27" t="n">
        <v>4</v>
      </c>
      <c r="L9" s="27" t="n">
        <v>4</v>
      </c>
      <c r="M9" s="27" t="n">
        <v>3</v>
      </c>
      <c r="N9" s="27" t="n">
        <v>4</v>
      </c>
      <c r="O9" s="27" t="n">
        <v>4</v>
      </c>
      <c r="P9" s="27" t="n">
        <v>4</v>
      </c>
      <c r="Q9" s="27" t="n">
        <v>5</v>
      </c>
      <c r="R9" s="27" t="n">
        <v>5</v>
      </c>
      <c r="S9" s="27" t="n">
        <v>5</v>
      </c>
      <c r="T9" s="28">
        <f>IF(T10&gt;0, (T11/T10)*20, 0)</f>
        <v/>
      </c>
    </row>
    <row r="10" ht="22" customHeight="1">
      <c r="A10" s="21" t="inlineStr">
        <is>
          <t>ค่าน้ำหนัก (Weight %)</t>
        </is>
      </c>
      <c r="B10" s="29" t="n">
        <v>0.05</v>
      </c>
      <c r="C10" s="29" t="n">
        <v>0.05</v>
      </c>
      <c r="D10" s="29" t="n">
        <v>0.05</v>
      </c>
      <c r="E10" s="29" t="n">
        <v>0.05</v>
      </c>
      <c r="F10" s="29" t="n">
        <v>0.0667</v>
      </c>
      <c r="G10" s="29" t="n">
        <v>0.0667</v>
      </c>
      <c r="H10" s="29" t="n">
        <v>0.0667</v>
      </c>
      <c r="I10" s="29" t="n">
        <v>0.075</v>
      </c>
      <c r="J10" s="29" t="n">
        <v>0.075</v>
      </c>
      <c r="K10" s="29" t="n">
        <v>0.0667</v>
      </c>
      <c r="L10" s="29" t="n">
        <v>0.0667</v>
      </c>
      <c r="M10" s="29" t="n">
        <v>0.0667</v>
      </c>
      <c r="N10" s="29" t="n">
        <v>0.05</v>
      </c>
      <c r="O10" s="29" t="n">
        <v>0.05</v>
      </c>
      <c r="P10" s="29" t="n">
        <v>0.05</v>
      </c>
      <c r="Q10" s="29" t="n">
        <v>0.0333</v>
      </c>
      <c r="R10" s="29" t="n">
        <v>0.0333</v>
      </c>
      <c r="S10" s="29" t="n">
        <v>0.0333</v>
      </c>
      <c r="T10" s="29">
        <f>SUM(B10:S10)</f>
        <v/>
      </c>
    </row>
    <row r="11" ht="24" customHeight="1">
      <c r="A11" s="21" t="inlineStr">
        <is>
          <t>คะแนนถ่วงน้ำหนัก (=Score * Weight)</t>
        </is>
      </c>
      <c r="B11" s="30">
        <f>B9*B10</f>
        <v/>
      </c>
      <c r="C11" s="30">
        <f>C9*C10</f>
        <v/>
      </c>
      <c r="D11" s="30">
        <f>D9*D10</f>
        <v/>
      </c>
      <c r="E11" s="30">
        <f>E9*E10</f>
        <v/>
      </c>
      <c r="F11" s="30">
        <f>F9*F10</f>
        <v/>
      </c>
      <c r="G11" s="30">
        <f>G9*G10</f>
        <v/>
      </c>
      <c r="H11" s="30">
        <f>H9*H10</f>
        <v/>
      </c>
      <c r="I11" s="30">
        <f>I9*I10</f>
        <v/>
      </c>
      <c r="J11" s="30">
        <f>J9*J10</f>
        <v/>
      </c>
      <c r="K11" s="30">
        <f>K9*K10</f>
        <v/>
      </c>
      <c r="L11" s="30">
        <f>L9*L10</f>
        <v/>
      </c>
      <c r="M11" s="30">
        <f>M9*M10</f>
        <v/>
      </c>
      <c r="N11" s="30">
        <f>N9*N10</f>
        <v/>
      </c>
      <c r="O11" s="30">
        <f>O9*O10</f>
        <v/>
      </c>
      <c r="P11" s="30">
        <f>P9*P10</f>
        <v/>
      </c>
      <c r="Q11" s="30">
        <f>Q9*Q10</f>
        <v/>
      </c>
      <c r="R11" s="30">
        <f>R9*R10</f>
        <v/>
      </c>
      <c r="S11" s="30">
        <f>S9*S10</f>
        <v/>
      </c>
      <c r="T11" s="30">
        <f>SUM(B11:S11)</f>
        <v/>
      </c>
    </row>
    <row r="12" ht="115" customHeight="1">
      <c r="A12" s="21" t="inlineStr">
        <is>
          <t>คำอธิบาย &amp; หลักฐานอ้างอิงจากไฟล์ Intake (Evidence Citation)</t>
        </is>
      </c>
      <c r="B12" s="24" t="inlineStr">
        <is>
          <t>ท่อส่ง-รับคลื่นเสียงผลิตด้วย 3D Printing (PETG) ซีลโอริงและฝาครอบกันน้ำระดับ IP67 ยึดกับแกนหย่อน COTS แข็งแรงทนทาน</t>
        </is>
      </c>
      <c r="C12" s="24" t="inlineStr">
        <is>
          <t>วงจรกำเนิดสัญญาณเสียง Chirp และภาคขยายแอนะล็อกมี Diode และวงจรแยกสัญญาณ ป้องกันการรบกวนของคลื่นแม่เหล็กไฟฟ้า</t>
        </is>
      </c>
      <c r="D12" s="24" t="inlineStr">
        <is>
          <t>อัลกอริทึม FFT วิเคราะห์การลดทอนของคลื่นเสียง (Acoustic Attenuation) ประมวลผลเสร็จสิ้นภายใน 3 วินาที</t>
        </is>
      </c>
      <c r="E12" s="24" t="inlineStr">
        <is>
          <t>คลื่นเสียงไม่ได้รับผลกระทบจากคราบไขมันบนผนังท่อ ฮูดกำบังรูปกรวยช่วยป้องกันละอองน้ำกระเซ็นเข้าหัวไมค์ได้ดี</t>
        </is>
      </c>
      <c r="F12" s="24" t="inlineStr">
        <is>
          <t>อ้างอิง solution-3.md Constraints a: หากต้องการ Transducer และ Microphone ที่ทนก๊าซ H2S และความชื้นอิ่มตัวในท่อ งบ 3,500-5,000 บาทจะตึงมาก เสี่ยงงบบานปลายสูงกว่า Solution อื่น ได้คะแนนระดับ 3</t>
        </is>
      </c>
      <c r="G12" s="24" t="inlineStr">
        <is>
          <t>มีงบสำรองจัดซื้อหัววัดเสียงและขั้วต่อสำรอง 80% ป้องกันกรณีอุปกรณ์ตกหล่นหรือเสียหาย</t>
        </is>
      </c>
      <c r="H12" s="24" t="inlineStr">
        <is>
          <t>ช่วยคัดกรองท่อที่ไม่อุดตัน (กลุ่ม 7-10) ออกได้ 60% ประหยัดค่าใช้จ่ายการส่งรถดูดล้างท่อ คืนทุนได้ใน 1 ปี</t>
        </is>
      </c>
      <c r="I12" s="24" t="inlineStr">
        <is>
          <t>ปฏิบัติงานบนผิวจราจร ต้องปฏิบัติตาม พ.ร.บ. จราจรทางบก โดยการตั้งแนวกรวยยางและไฟกะพริบเตือน</t>
        </is>
      </c>
      <c r="J12" s="24" t="inlineStr">
        <is>
          <t>ต้องทำหนังสือขออนุญาตเปิดฝาท่อพักน้ำเพื่อทดสอบจากสำนักการระบายน้ำ กทม. ผ่านช่องทางมหาวิทยาลัย</t>
        </is>
      </c>
      <c r="K12" s="24" t="inlineStr">
        <is>
          <t>ออกรายงานประเมินความสะอาดท่อ 3 ระดับ (0-3 ล้างทันที, 4-6 จัดคิว, 7-10 ปกติ) พร้อมบันทึกพิกัด GPS</t>
        </is>
      </c>
      <c r="L12" s="24" t="inlineStr">
        <is>
          <t>ใช้ก้านหย่อนอุปกรณ์จากผิวดิน ใช้เวลาตรวจวัดเพียง 3 นาทีต่อช่วงท่อ เจ้าหน้าที่ใช้เครื่องมือทั่วไปดูแลรักษาได้</t>
        </is>
      </c>
      <c r="M12" s="24" t="inlineStr">
        <is>
          <t>อ้างอิง solution-3.md Constraints c: ต้องเปิดฝาท่อพักน้ำบนผิวถนน การทำงานบนผิวทางสัญจรมีความเสี่ยงต่ออุบัติเหตุจราจรสูงกว่าการยึดเซนเซอร์อยู่กับที่บนสะพาน ได้คะแนนระดับ 3</t>
        </is>
      </c>
      <c r="N12" s="24" t="inlineStr">
        <is>
          <t>สถาปัตยกรรมแยกส่วนฮาร์ดแวร์ส่งและรับ มี Buffer Time 3 สัปดาห์</t>
        </is>
      </c>
      <c r="O12" s="24" t="inlineStr">
        <is>
          <t>ระบบส่งและรับคลื่นเสียงพร้อมอัลกอริทึม 3 Tiers ประกอบและทดสอบในท่อจำลองได้ก่อนสัปดาห์ที่ 9</t>
        </is>
      </c>
      <c r="P12" s="24" t="inlineStr">
        <is>
          <t>ชิ้นส่วนลำโพงและไมโครโฟนกันน้ำจัดหาได้ในประเทศ ใช้เวลาจัดส่ง 7-10 วัน</t>
        </is>
      </c>
      <c r="Q12" s="24" t="inlineStr">
        <is>
          <t>ช่วยป้องกันน้ำท่วมขังจากการอุดตันของท่อระบายน้ำสายหลัก สอดคล้องกับ SDG 11.5</t>
        </is>
      </c>
      <c r="R12" s="24" t="inlineStr">
        <is>
          <t>ใช้คลื่นเสียง ปลอดภัยต่อสิ่งแวดล้อม ไม่มีการทิ้งสารเคมีหรือสร้างขยะตกค้างในท่อ สอดคล้องกับ SDG 6.3</t>
        </is>
      </c>
      <c r="S12" s="24" t="inlineStr">
        <is>
          <t>เกณฑ์การแบ่ง 3 Tiers ชัดเจนและโปร่งใส ให้บริการล้างท่อตามสภาพความเป็นจริง สอดคล้องกับ SDG 16.6</t>
        </is>
      </c>
      <c r="T12" s="31">
        <f>IF(MIN(B9:S9)=1, "VETOED / ตกเกณฑ์ข้อบังคับวิกฤต (คะแนนระดับ 1)", IF(T9&gt;=80, "ผ่านเกณฑ์ระดับสูง (HIGHLY VIABLE)", IF(T9&gt;=60, "ผ่านแบบมีเงื่อนไข (CONDITIONALLY VIABLE)", "ความเสี่ยงสูง (HIGH RISK)")))</f>
        <v/>
      </c>
    </row>
    <row r="13" ht="70" customHeight="1">
      <c r="A13" s="21" t="inlineStr">
        <is>
          <t>แผนลดขอบเขตงาน &amp; มาตรการลดความเสี่ยง (De-scoping Action)</t>
        </is>
      </c>
      <c r="B13" s="24" t="inlineStr">
        <is>
          <t>ใช้ท่อ PVC สำเร็จรูปประกอบเป็นกระบอกส่งเสียง</t>
        </is>
      </c>
      <c r="C13" s="24" t="inlineStr">
        <is>
          <t>ใช้โมดูลขยายเสียง Class-D สำเร็จรูป</t>
        </is>
      </c>
      <c r="D13" s="24" t="inlineStr">
        <is>
          <t>คำนวณการลดทอนเสียงด้วยค่าเฉลี่ย RMS บนไมโครคอนโทรลเลอร์</t>
        </is>
      </c>
      <c r="E13" s="24" t="inlineStr">
        <is>
          <t>ใช้ฟองน้ำกันน้ำชนิดพิเศษคลุมหัวไมโครโฟน</t>
        </is>
      </c>
      <c r="F13" s="24" t="inlineStr">
        <is>
          <t>ใช้ดอกลำโพงและไมโครโฟน COTS ราคาประหยัด</t>
        </is>
      </c>
      <c r="G13" s="24" t="inlineStr">
        <is>
          <t>สำรองเฉพาะหัวไมโครโฟนและสายสัญญาณ</t>
        </is>
      </c>
      <c r="H13" s="24" t="inlineStr">
        <is>
          <t>สรุปสถิติจำนวนช่วงท่อที่ไม่จำเป็นต้องล้าง</t>
        </is>
      </c>
      <c r="I13" s="24" t="inlineStr">
        <is>
          <t>ปฏิบัติงานเฉพาะในซอยปิดหรือช่วงเวลาการจราจรเบาบาง</t>
        </is>
      </c>
      <c r="J13" s="24" t="inlineStr">
        <is>
          <t>ประสานงานร่วมกับเขตเพื่อขอเจ้าหน้าที่รักษาความปลอดภัยร่วมอำนวยความสะดวก</t>
        </is>
      </c>
      <c r="K13" s="24" t="inlineStr">
        <is>
          <t>สร้างแอปพลิเคชันบนสมาร์ตโฟนเพื่อบันทึกผลการวัด 3 Tiers</t>
        </is>
      </c>
      <c r="L13" s="24" t="inlineStr">
        <is>
          <t>จัดทำขายึดสามขา (Tripod) สำหรับหย่อนอุปกรณ์ลงปากท่อ</t>
        </is>
      </c>
      <c r="M13" s="24" t="inlineStr">
        <is>
          <t>ตั้งกรวยยางนิรภัย 50 เมตรก่อนถึงจุดปฏิบัติงานเสมอ</t>
        </is>
      </c>
      <c r="N13" s="24" t="inlineStr">
        <is>
          <t>ทดสอบระบบเสียงในท่อจำลองในห้องปฏิบัติการก่อนลงพื้นที่จริง</t>
        </is>
      </c>
      <c r="O13" s="24" t="inlineStr">
        <is>
          <t>ล็อกช่วงความถี่เสียงทดสอบก่อนสัปดาห์ที่ 8</t>
        </is>
      </c>
      <c r="P13" s="24" t="inlineStr">
        <is>
          <t>จัดซื้ออุปกรณ์เสียง COTS จากร้านค้าในกรุงเทพฯ</t>
        </is>
      </c>
      <c r="Q13" s="24" t="inlineStr">
        <is>
          <t>เก็บสถิติความสะอาดของท่อเทียบกับจุดเสี่ยงน้ำท่วม</t>
        </is>
      </c>
      <c r="R13" s="24" t="inlineStr">
        <is>
          <t>ผูกสายคล้องนิรภัยกับตัวอุปกรณ์ตลอดเวลา</t>
        </is>
      </c>
      <c r="S13" s="24" t="inlineStr">
        <is>
          <t>เปิดเผยเกณฑ์การตัดสิน 3 กลุ่มในรายงานวิชาการ</t>
        </is>
      </c>
      <c r="T13" s="23" t="inlineStr">
        <is>
          <t>ปฏิบัติตามแผนลดขอบเขตงาน (De-scoping Advisory)</t>
        </is>
      </c>
    </row>
    <row r="14" ht="15" customHeight="1"/>
    <row r="15" ht="26" customHeight="1">
      <c r="A15" s="17" t="inlineStr">
        <is>
          <t>ตารางสรุปคะแนนแยกตามมิติ TELOS+S (Pillar Score Breakdown)</t>
        </is>
      </c>
    </row>
    <row r="16" ht="24" customHeight="1">
      <c r="A16" s="32" t="inlineStr">
        <is>
          <t>มิติการประเมิน (TELOS+S Pillar)</t>
        </is>
      </c>
      <c r="B16" s="32" t="inlineStr">
        <is>
          <t>สัดส่วนน้ำหนัก (Weight %)</t>
        </is>
      </c>
      <c r="C16" s="32" t="inlineStr">
        <is>
          <t>คะแนนเต็มมิติ (Max Points)</t>
        </is>
      </c>
      <c r="D16" s="32" t="inlineStr">
        <is>
          <t>คะแนนที่ได้รับจริง (Earned Points)</t>
        </is>
      </c>
      <c r="E16" s="32" t="inlineStr">
        <is>
          <t>คะแนนเฉลี่ย (Score 1-5)</t>
        </is>
      </c>
      <c r="F16" s="32" t="inlineStr">
        <is>
          <t>ระดับความพร้อม (Readiness Level)</t>
        </is>
      </c>
    </row>
    <row r="17" ht="22" customHeight="1">
      <c r="A17" s="33" t="inlineStr">
        <is>
          <t>T : ด้านเทคโนโลยีและวิศวกรรม (Technical)</t>
        </is>
      </c>
      <c r="B17" s="34" t="n">
        <v>0.2</v>
      </c>
      <c r="C17" s="35" t="n">
        <v>20</v>
      </c>
      <c r="D17" s="36">
        <f>SUM(B11:E11)*20</f>
        <v/>
      </c>
      <c r="E17" s="37">
        <f>IF(C17&gt;0, (D17/C17)*5, 0)</f>
        <v/>
      </c>
      <c r="F17" s="23">
        <f>IF(D17&gt;=16.0, "พร้อมระดับสูง (High)", IF(D17&gt;=12.0, "ปานกลาง (Medium)", "เสี่ยงวิกฤต (Critical)"))</f>
        <v/>
      </c>
    </row>
    <row r="18" ht="22" customHeight="1">
      <c r="A18" s="33" t="inlineStr">
        <is>
          <t>E : ด้านเศรษฐศาสตร์และความคุ้มค่า (Economic)</t>
        </is>
      </c>
      <c r="B18" s="34" t="n">
        <v>0.2</v>
      </c>
      <c r="C18" s="35" t="n">
        <v>20</v>
      </c>
      <c r="D18" s="36">
        <f>SUM(F11:H11)*20</f>
        <v/>
      </c>
      <c r="E18" s="37">
        <f>IF(C18&gt;0, (D18/C18)*5, 0)</f>
        <v/>
      </c>
      <c r="F18" s="23">
        <f>IF(D18&gt;=16.0, "พร้อมระดับสูง (High)", IF(D18&gt;=12.0, "ปานกลาง (Medium)", "เสี่ยงวิกฤต (Critical)"))</f>
        <v/>
      </c>
    </row>
    <row r="19" ht="22" customHeight="1">
      <c r="A19" s="33" t="inlineStr">
        <is>
          <t>L : ด้านกฎหมาย ระเบียบ และภาคประชาชน (Legal &amp; Outreach)</t>
        </is>
      </c>
      <c r="B19" s="34" t="n">
        <v>0.15</v>
      </c>
      <c r="C19" s="35" t="n">
        <v>15</v>
      </c>
      <c r="D19" s="36">
        <f>SUM(I11:J11)*20</f>
        <v/>
      </c>
      <c r="E19" s="37">
        <f>IF(C19&gt;0, (D19/C19)*5, 0)</f>
        <v/>
      </c>
      <c r="F19" s="23">
        <f>IF(D19&gt;=12.0, "พร้อมระดับสูง (High)", IF(D19&gt;=9.0, "ปานกลาง (Medium)", "เสี่ยงวิกฤต (Critical)"))</f>
        <v/>
      </c>
    </row>
    <row r="20" ht="22" customHeight="1">
      <c r="A20" s="33" t="inlineStr">
        <is>
          <t>O : ด้านการปฏิบัติการและหน้างาน (Operational)</t>
        </is>
      </c>
      <c r="B20" s="34" t="n">
        <v>0.2</v>
      </c>
      <c r="C20" s="35" t="n">
        <v>20</v>
      </c>
      <c r="D20" s="36">
        <f>SUM(K11:M11)*20</f>
        <v/>
      </c>
      <c r="E20" s="37">
        <f>IF(C20&gt;0, (D20/C20)*5, 0)</f>
        <v/>
      </c>
      <c r="F20" s="23">
        <f>IF(D20&gt;=16.0, "พร้อมระดับสูง (High)", IF(D20&gt;=12.0, "ปานกลาง (Medium)", "เสี่ยงวิกฤต (Critical)"))</f>
        <v/>
      </c>
    </row>
    <row r="21" ht="22" customHeight="1">
      <c r="A21" s="33" t="inlineStr">
        <is>
          <t>S : ด้านแผนงานและเวลาส่งมอบ (Schedule)</t>
        </is>
      </c>
      <c r="B21" s="34" t="n">
        <v>0.15</v>
      </c>
      <c r="C21" s="35" t="n">
        <v>15</v>
      </c>
      <c r="D21" s="36">
        <f>SUM(N11:P11)*20</f>
        <v/>
      </c>
      <c r="E21" s="37">
        <f>IF(C21&gt;0, (D21/C21)*5, 0)</f>
        <v/>
      </c>
      <c r="F21" s="23">
        <f>IF(D21&gt;=12.0, "พร้อมระดับสูง (High)", IF(D21&gt;=9.0, "ปานกลาง (Medium)", "เสี่ยงวิกฤต (Critical)"))</f>
        <v/>
      </c>
    </row>
    <row r="22" ht="22" customHeight="1">
      <c r="A22" s="33" t="inlineStr">
        <is>
          <t>+S : ด้านความยั่งยืนและสิ่งแวดล้อม (Sustainability / SDG)</t>
        </is>
      </c>
      <c r="B22" s="34" t="n">
        <v>0.1</v>
      </c>
      <c r="C22" s="35" t="n">
        <v>10</v>
      </c>
      <c r="D22" s="36">
        <f>SUM(Q11:S11)*20</f>
        <v/>
      </c>
      <c r="E22" s="37">
        <f>IF(C22&gt;0, (D22/C22)*5, 0)</f>
        <v/>
      </c>
      <c r="F22" s="23">
        <f>IF(D22&gt;=8.0, "พร้อมระดับสูง (High)", IF(D22&gt;=6.0, "ปานกลาง (Medium)", "เสี่ยงวิกฤต (Critical)"))</f>
        <v/>
      </c>
    </row>
    <row r="23" ht="26" customHeight="1">
      <c r="A23" s="38" t="inlineStr">
        <is>
          <t>คะแนนรวมทุกมิติ (Total Feasibility Score)</t>
        </is>
      </c>
      <c r="B23" s="29">
        <f>SUM(B17:B22)</f>
        <v/>
      </c>
      <c r="C23" s="39">
        <f>SUM(C17:C22)</f>
        <v/>
      </c>
      <c r="D23" s="40">
        <f>SUM(D17:D22)</f>
        <v/>
      </c>
      <c r="E23" s="30">
        <f>IF(C23&gt;0, (D23/C23)*5, 0)</f>
        <v/>
      </c>
      <c r="F23" s="41">
        <f>IF(D23&gt;=80, "ผ่านเกณฑ์ระดับสูง (HIGHLY VIABLE)", IF(D23&gt;=60, "ผ่านแบบมีเงื่อนไข (CONDITIONALLY VIABLE)", "ความเสี่ยงสูง (HIGH RISK)"))</f>
        <v/>
      </c>
    </row>
    <row r="24" ht="12" customHeight="1"/>
    <row r="25" ht="26" customHeight="1">
      <c r="A25" s="17" t="inlineStr">
        <is>
          <t>เมทริกซ์ประเมินความเข้ากันได้กับองค์ความรู้ด้านวิศวกรรมหุ่นยนต์ (Robotics Knowledge Compatibility)</t>
        </is>
      </c>
    </row>
    <row r="26" ht="22" customHeight="1">
      <c r="A26" s="18" t="inlineStr">
        <is>
          <t>* หมายเหตุ: การประเมินส่วนนี้วัดศักยภาพในการประยุกต์ใช้องค์ความรู้ด้านวิศวกรรมหุ่นยนต์ (Perception, Control, Actuation, Mechatronics) เต็ม 10 คะแนน | เป็นเอกเทศ ไม่นับรวมในคะแนน TELOS+S 100 คะแนน</t>
        </is>
      </c>
    </row>
    <row r="27" ht="24" customHeight="1">
      <c r="A27" s="42" t="inlineStr">
        <is>
          <t>มิติการประเมิน (Robotics Dimension)</t>
        </is>
      </c>
      <c r="B27" s="42" t="inlineStr">
        <is>
          <t>คะแนนศักยภาพ (/10)</t>
        </is>
      </c>
      <c r="C27" s="42" t="inlineStr">
        <is>
          <t>แกน Perception &amp; Sensing (การรับรู้)</t>
        </is>
      </c>
      <c r="D27" s="42" t="inlineStr">
        <is>
          <t>แกน Control &amp; Algorithms (การควบคุม)</t>
        </is>
      </c>
      <c r="E27" s="42" t="inlineStr">
        <is>
          <t>แกน Actuation &amp; Mechanisms (กลไก)</t>
        </is>
      </c>
      <c r="F27" s="42" t="inlineStr">
        <is>
          <t>บทวิเคราะห์เชิงวิศวกรรมหุ่นยนต์ (FIBO Alignment Rationale)</t>
        </is>
      </c>
    </row>
    <row r="28" ht="95" customHeight="1">
      <c r="A28" s="43" t="inlineStr">
        <is>
          <t>ศักยภาพการประยุกต์ใช้องค์ความรู้หุ่นยนต์และระบบอัตโนมัติ</t>
        </is>
      </c>
      <c r="B28" s="44" t="n">
        <v>8.5</v>
      </c>
      <c r="C28" s="24" t="inlineStr">
        <is>
          <t>โดดเด่นมากด้าน Acoustic Sensing: ลำโพงกำเนิดเสียงเฉพาะความถี่, ไมโครโฟนรับคลื่น, การวิเคราะห์การลดทอนของสัญญาณเสียงในท่อ (Sound Attenuation &amp; FFT Analysis)</t>
        </is>
      </c>
      <c r="D28" s="24" t="inlineStr">
        <is>
          <t>การควบคุมเวลาซิงโครไนซ์ส่ง-รับระดับมิลลิวินาที (Microsecond Acoustic Chirp Triggering) และการสกัดคุณลักษณะของสัญญาณ (Edge Feature Extraction)</t>
        </is>
      </c>
      <c r="E28" s="24" t="inlineStr">
        <is>
          <t>การออกแบบกลไกชุดหย่อนหัวตรวจวัดลงท่อ (Deployment Rig, Winch Mechanism, Acoustic Horn Baffle, โครงสร้าง IP67) และพร้อมพัฒนาต่อยอดเป็นหัวเจาะจง (End-Effector Sensor Payload) ให้กับหุ่นยนต์ตรวจท่อ (Pipe Crawler Rover)</t>
        </is>
      </c>
      <c r="F28" s="24" t="inlineStr">
        <is>
          <t>เข้ากันได้สูงมากกับองค์ความรู้ Mechatronics, Acoustic Signal Processing, Instrument Design และ Field Robotics Payload ที่สามารถนำไปประกอบกับหุ่นยนต์มุดท่อระบายน้ำได้โดยตรง ตอบโจทย์วิศวกรรมหุ่นยนต์ภาคสนามอย่างยิ่ง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8"/>
  <sheetViews>
    <sheetView showGridLines="1" workbookViewId="0">
      <selection activeCell="A1" sqref="A1"/>
    </sheetView>
  </sheetViews>
  <sheetFormatPr baseColWidth="8" defaultRowHeight="15"/>
  <cols>
    <col width="38" customWidth="1" min="1" max="1"/>
    <col width="36" customWidth="1" min="2" max="2"/>
    <col width="36" customWidth="1" min="3" max="3"/>
    <col width="36" customWidth="1" min="4" max="4"/>
    <col width="36" customWidth="1" min="5" max="5"/>
    <col width="36" customWidth="1" min="6" max="6"/>
    <col width="36" customWidth="1" min="7" max="7"/>
    <col width="36" customWidth="1" min="8" max="8"/>
    <col width="36" customWidth="1" min="9" max="9"/>
    <col width="36" customWidth="1" min="10" max="10"/>
    <col width="36" customWidth="1" min="11" max="11"/>
    <col width="36" customWidth="1" min="12" max="12"/>
    <col width="36" customWidth="1" min="13" max="13"/>
    <col width="36" customWidth="1" min="14" max="14"/>
    <col width="36" customWidth="1" min="15" max="15"/>
    <col width="36" customWidth="1" min="16" max="16"/>
    <col width="36" customWidth="1" min="17" max="17"/>
    <col width="36" customWidth="1" min="18" max="18"/>
    <col width="36" customWidth="1" min="19" max="19"/>
    <col width="36" customWidth="1" min="20" max="20"/>
  </cols>
  <sheetData>
    <row r="1">
      <c r="A1" s="17" t="inlineStr">
        <is>
          <t>เมทริกซ์ประเมินความเป็นไปได้เชิงระบบ TELOS+S: Jakarta Drainage Pipe Telemetry &amp; Prioritized Flushing DSS</t>
        </is>
      </c>
    </row>
    <row r="2">
      <c r="A2" s="18" t="inlineStr">
        <is>
          <t>ระบบคะแนนจำนวนเต็มเด็ดขาด: 1, 2, 3, 4, 5 เท่านั้น (ไม่มีจุดทศนิยม / ไม่มี 0.5) | โครงสร้างแบบ Transposed แนวนอน</t>
        </is>
      </c>
    </row>
    <row r="4" ht="24" customHeight="1">
      <c r="A4" s="19" t="inlineStr">
        <is>
          <t>รหัสคำถาม (Question Code)</t>
        </is>
      </c>
      <c r="B4" s="20" t="inlineStr">
        <is>
          <t>T-01</t>
        </is>
      </c>
      <c r="C4" s="20" t="inlineStr">
        <is>
          <t>T-02</t>
        </is>
      </c>
      <c r="D4" s="20" t="inlineStr">
        <is>
          <t>T-03</t>
        </is>
      </c>
      <c r="E4" s="20" t="inlineStr">
        <is>
          <t>T-04</t>
        </is>
      </c>
      <c r="F4" s="20" t="inlineStr">
        <is>
          <t>E-01</t>
        </is>
      </c>
      <c r="G4" s="20" t="inlineStr">
        <is>
          <t>E-02</t>
        </is>
      </c>
      <c r="H4" s="20" t="inlineStr">
        <is>
          <t>E-03</t>
        </is>
      </c>
      <c r="I4" s="20" t="inlineStr">
        <is>
          <t>L-01</t>
        </is>
      </c>
      <c r="J4" s="20" t="inlineStr">
        <is>
          <t>L-02</t>
        </is>
      </c>
      <c r="K4" s="20" t="inlineStr">
        <is>
          <t>O-01</t>
        </is>
      </c>
      <c r="L4" s="20" t="inlineStr">
        <is>
          <t>O-02</t>
        </is>
      </c>
      <c r="M4" s="20" t="inlineStr">
        <is>
          <t>O-03</t>
        </is>
      </c>
      <c r="N4" s="20" t="inlineStr">
        <is>
          <t>S-01</t>
        </is>
      </c>
      <c r="O4" s="20" t="inlineStr">
        <is>
          <t>S-02</t>
        </is>
      </c>
      <c r="P4" s="20" t="inlineStr">
        <is>
          <t>S-03</t>
        </is>
      </c>
      <c r="Q4" s="20" t="inlineStr">
        <is>
          <t>SDG-01</t>
        </is>
      </c>
      <c r="R4" s="20" t="inlineStr">
        <is>
          <t>SDG-02</t>
        </is>
      </c>
      <c r="S4" s="20" t="inlineStr">
        <is>
          <t>SDG-03</t>
        </is>
      </c>
      <c r="T4" s="20" t="inlineStr">
        <is>
          <t>สรุปภาพรวม (SUMMARY)</t>
        </is>
      </c>
    </row>
    <row r="5" ht="24" customHeight="1">
      <c r="A5" s="21" t="inlineStr">
        <is>
          <t>มิติการประเมิน (TELOS+S Pillar)</t>
        </is>
      </c>
      <c r="B5" s="22" t="inlineStr">
        <is>
          <t>ด้านเทคนิค (Technical 2.2)</t>
        </is>
      </c>
      <c r="C5" s="22" t="inlineStr">
        <is>
          <t>ด้านเทคนิค (Technical 2.2)</t>
        </is>
      </c>
      <c r="D5" s="22" t="inlineStr">
        <is>
          <t>ด้านเทคนิค (Technical 2.2)</t>
        </is>
      </c>
      <c r="E5" s="22" t="inlineStr">
        <is>
          <t>ด้านเทคนิค (Technical 2.2)</t>
        </is>
      </c>
      <c r="F5" s="22" t="inlineStr">
        <is>
          <t>ด้านเศรษฐศาสตร์ (Economic 2.3)</t>
        </is>
      </c>
      <c r="G5" s="22" t="inlineStr">
        <is>
          <t>ด้านเศรษฐศาสตร์ (Economic 2.3)</t>
        </is>
      </c>
      <c r="H5" s="22" t="inlineStr">
        <is>
          <t>ด้านเศรษฐศาสตร์ (Economic 2.3)</t>
        </is>
      </c>
      <c r="I5" s="22" t="inlineStr">
        <is>
          <t>ด้านกฎหมาย (Legal 2.4)</t>
        </is>
      </c>
      <c r="J5" s="22" t="inlineStr">
        <is>
          <t>ด้านกฎหมาย (Legal 2.4)</t>
        </is>
      </c>
      <c r="K5" s="22" t="inlineStr">
        <is>
          <t>ด้านการปฏิบัติการ (Operational 2.5)</t>
        </is>
      </c>
      <c r="L5" s="22" t="inlineStr">
        <is>
          <t>ด้านการปฏิบัติการ (Operational 2.5)</t>
        </is>
      </c>
      <c r="M5" s="22" t="inlineStr">
        <is>
          <t>ด้านการปฏิบัติการ (Operational 2.5)</t>
        </is>
      </c>
      <c r="N5" s="22" t="inlineStr">
        <is>
          <t>ด้านเวลา (Schedule 2.6)</t>
        </is>
      </c>
      <c r="O5" s="22" t="inlineStr">
        <is>
          <t>ด้านเวลา (Schedule 2.6)</t>
        </is>
      </c>
      <c r="P5" s="22" t="inlineStr">
        <is>
          <t>ด้านเวลา (Schedule 2.6)</t>
        </is>
      </c>
      <c r="Q5" s="22" t="inlineStr">
        <is>
          <t>ด้านความยั่งยืน (SDGs 2.7)</t>
        </is>
      </c>
      <c r="R5" s="22" t="inlineStr">
        <is>
          <t>ด้านความยั่งยืน (SDGs 2.7)</t>
        </is>
      </c>
      <c r="S5" s="22" t="inlineStr">
        <is>
          <t>ด้านความยั่งยืน (SDGs 2.7)</t>
        </is>
      </c>
      <c r="T5" s="23" t="inlineStr">
        <is>
          <t>ผลรวมทุกมิติ (All Pillars)</t>
        </is>
      </c>
    </row>
    <row r="6" ht="80" customHeight="1">
      <c r="A6" s="21" t="inlineStr">
        <is>
          <t>คำถามทดสอบความเสี่ยงจริง (Stress-Test Question)</t>
        </is>
      </c>
      <c r="B6" s="24" t="inlineStr">
        <is>
          <t>โครงสร้างทางกายภาพและกลไกยึดจับภายนอกของระบบ สามารถออกแบบ ผลิต และประกอบขึ้นได้จริงด้วยเครื่องมือกลที่เข้าถึงได้ และทนทานต่อสภาวะแวดล้อมจริงของ กทม. (ลมมรสุม ละอองน้ำ ไอสารเคมี การกัดกร่อน) อย่างต่อเนื่องหรือไม่?</t>
        </is>
      </c>
      <c r="C6" s="24" t="inlineStr">
        <is>
          <t>สถาปัตยกรรมวงจรอิเล็กทรอนิกส์ การจ่ายพลังงาน และการเชื่อมต่อเซนเซอร์ สามารถทำงานได้อย่างต่อเนื่อง มีเสถียรภาพ ปราศจากความร้อนสะสมและการรบกวนทางแม่เหล็กไฟฟ้า (EMI) ในสภาวะแวดล้อมปิดหรือกลางแจ้งหรือไม่?</t>
        </is>
      </c>
      <c r="D6" s="24" t="inlineStr">
        <is>
          <t>โมเดลคณิตศาสตร์หรือตรรกะการประมวลผล สามารถส่งมอบผลลัพธ์การตัดสินใจที่ถูกต้อง แม่นยำ และทันต่อกรอบเวลาปฏิบัติการหน้างาน (Operating Time Horizon) ของระบบหรือไม่?</t>
        </is>
      </c>
      <c r="E6" s="24" t="inlineStr">
        <is>
          <t>ระบบสามารถรักษาความถูกต้องของสัญญาณตรวจวัด และทนทานต่อสิ่งรบกวนทางกายภาพในพื้นที่จริง (คราบไขมัน ตะกอน ก๊าซกัดกร่อน ฝุ่นละออง คลื่นผิวน้ำ) โดยไม่เกิดความล้มเหลวหรือส่งข้อมูลหลอก (False Alarms) หรือไม่?</t>
        </is>
      </c>
      <c r="F6" s="24" t="inlineStr">
        <is>
          <t>งบประมาณจัดซื้อวัสดุ เซนเซอร์ บอร์ดประมวลผล และตัวกระตุ้น (BOM) สำหรับสร้างต้นแบบที่ใช้งานได้จริง สามารถควบคุมให้อยู่ภายใต้เพดานงบประมาณโครงงาน (&lt; 5,000 บาท) ได้จริงหรือไม่?</t>
        </is>
      </c>
      <c r="G6" s="24" t="inlineStr">
        <is>
          <t>โครงการมีการจัดสรรงบประมาณสำรองสำหรับชิ้นส่วนทดแทนกรณีเสียหาย (Scrap Margin) อย่างน้อย 80-100% สำหรับอุปกรณ์หลักที่มีความเสี่ยงสูงจากการทดสอบหน้างานหรือไม่?</t>
        </is>
      </c>
      <c r="H6" s="24" t="inlineStr">
        <is>
          <t>เมื่อระบบถูกนำไปใช้งานจริง สามารถลดการสิ้นเปลืองทรัพยากร (ค่าน้ำมันรถปฏิบัติการ ค่าแรงเจ้าหน้าที่ ค่าบำรุงรักษายานพาหนะ) ได้คุ้มค่ากว่าภาระค่าใช้จ่ายในการติดตั้งและดูแลรักษาระบบ (OpEx) หรือไม่?</t>
        </is>
      </c>
      <c r="I6" s="24" t="inlineStr">
        <is>
          <t>การติดตั้งและปฏิบัติการของระบบ สอดคล้องกับ พ.ร.บ. คุ้มครองข้อมูลส่วนบุคคล (PDPA), พ.ร.บ. จราจรทางบก และระเบียบความปลอดภัยในที่สาธารณะ โดยไม่ก่อให้เกิดความเสี่ยงต่อการถูกฟ้องร้องหรืออุบัติเหตุบนท้องถนนหรือไม่?</t>
        </is>
      </c>
      <c r="J6" s="24" t="inlineStr">
        <is>
          <t>อุปกรณ์สื่อสารไร้สายผ่านเกณฑ์รับรองมาตรฐานคลื่นความถี่ของ กสทช. และมีช่องทางหรือศักยภาพในการประสานงานเพื่อขออนุญาตเข้าใช้พื้นที่โครงสร้างพื้นฐานเมืองกับหน่วยงานรัฐอย่างเป็นทางการหรือไม่?</t>
        </is>
      </c>
      <c r="K6" s="24" t="inlineStr">
        <is>
          <t>ระบบสามารถสร้างหลักฐานดิจิทัลเชิงประจักษ์ (Digital Evidence Card / Audit Trail) เช่น ข้อมูลแนวโน้ม พิกัดเวลา และสถานะการทำงาน เพื่อสนับสนุนการปิดงานหรือตัดสินใจของเจ้าหน้าที่ตามระเบียบขั้นตอน (SOP) โดยไม่สร้างภาระงานซ้ำซ้อนหรือไม่?</t>
        </is>
      </c>
      <c r="L6" s="24" t="inlineStr">
        <is>
          <t>ขั้นตอนการติดตั้ง การบำรุงรักษา และการใช้งานโดยเจ้าหน้าที่หน้างาน มีความสะดวก ไม่สร้างภาระงานส่วนเกิน และสอดคล้องกับสภาพการทำงานจริงของบุคลากรภาคสนามหรือไม่?</t>
        </is>
      </c>
      <c r="M6" s="24" t="inlineStr">
        <is>
          <t>ขั้นตอนการติดตั้ง ตรวจสอบ และซ่อมบำรุงอุปกรณ์หน้างาน สามารถกระทำได้อย่างปลอดภัย โดยไม่ก่อให้เกิดความเสี่ยงต่อชีวิตของผู้พัฒนา เจ้าหน้าที่ หรือประชาชนผู้สัญจร (พื้นที่อับอากาศ กระแสน้ำเชี่ยว หรือผิวจราจรที่มีรถยนต์สัญจร) หรือไม่?</t>
        </is>
      </c>
      <c r="N6" s="24" t="inlineStr">
        <is>
          <t>แผนงานและการกระจายสถาปัตยกรรมระบบ มีเวลาสำรอง (Buffer Time 3-4 สัปดาห์) เพียงพอที่จะดูดซับช่วงสอบของมหาวิทยาลัยและภาระงานอื่น โดยโครงการไม่ล่าช้ากว่ากำหนดหรือไม่?</t>
        </is>
      </c>
      <c r="O6" s="24" t="inlineStr">
        <is>
          <t>ความก้าวหน้าของโครงการสามารถบรรลุการบูรณาการฮาร์ดแวร์และซอฟต์แวร์ให้ทำงานร่วมกันได้จริง (Working Prototype / PoC) ภายในสัปดาห์ที่ 9 ก่อนการประเมินหลักของภาคการศึกษาหรือไม่?</t>
        </is>
      </c>
      <c r="P6" s="24" t="inlineStr">
        <is>
          <t>ระยะเวลาในการสั่งซื้อและขนส่งชิ้นส่วน อุปกรณ์เซนเซอร์ และบอร์ดอิเล็กทรอนิกส์ทั้งหมด สอดคล้องกับกรอบเวลา โดยสามารถได้รับของครบถ้วนภายในไม่เกิน 14 วันทำการหรือไม่?</t>
        </is>
      </c>
      <c r="Q6" s="24" t="inlineStr">
        <is>
          <t>ระบบส่งเสริมการลดความสูญเสียต่อชีวิต ทรัพย์สิน และโครงสร้างพื้นฐานของเมืองจากภัยพิบัติหรือสภาพอากาศแปรปรวน (น้ำท่วมขังหรือความร้อนรุนแรง) สอดคล้องกับเป้าหมาย SDG 11.5 และ SDG 13.1 อย่างเป็นรูปธรรมหรือไม่?</t>
        </is>
      </c>
      <c r="R6" s="24" t="inlineStr">
        <is>
          <t>ชิ้นส่วน วัสดุ และอุปกรณ์ที่ติดตั้ง ไม่ก่อให้เกิดมลพิษทางสิ่งแวดล้อม ไม่เสี่ยงต่อการหลุดลอยกลายเป็นขยะอุดตันโครงสร้างพื้นฐานสาธารณะ ใช้วัสดุที่ทนทาน ปลอดสารพิษ และใช้น้ำ/พลังงานอย่างคุ้มค่า สอดคล้องกับ SDG 6.3 / 6.4 และ SDG 12.4 หรือไม่?</t>
        </is>
      </c>
      <c r="S6" s="24" t="inlineStr">
        <is>
          <t>ตรรกะการตัดสินใจ การคัดกรอง หรือการจัดสรรทรัพยากรของระบบ มีความโปร่งใส ตรวจสอบย้อนกลับได้ (Audit Trail) และให้บริการต่อประชาชนทุกกลุ่มอย่างเป็นธรรมโดยไม่เลือกปฏิบัติ สอดคล้องกับ SDG 10.2 และ SDG 16.6 หรือไม่?</t>
        </is>
      </c>
      <c r="T6" s="25" t="inlineStr">
        <is>
          <t>ประเมินคำถามทั้งสิ้น 18 ข้อ</t>
        </is>
      </c>
    </row>
    <row r="7" ht="95" customHeight="1">
      <c r="A7" s="21" t="inlineStr">
        <is>
          <t>เหตุผลในการถาม &amp; โหมดความล้มเหลวที่เฝ้าระวัง (Rationale)</t>
        </is>
      </c>
      <c r="B7" s="24" t="inlineStr">
        <is>
          <t>หากโครงสร้างบังคับใช้วิธีผลิตระดับอุตสาหกรรมหนักที่ทีมเข้าไม่ถึง โครงงานจะล้มเหลว และหากไม่ทนต่อสภาพอากาศกลางแจ้ง อุปกรณ์จะเสียหายก่อนส่งมอบงาน</t>
        </is>
      </c>
      <c r="C7" s="24" t="inlineStr">
        <is>
          <t>วงจรไฟฟ้าที่ขาดการป้องกันจะเสี่ยงต่อการลัดวงจรเมื่อเจอน้ำและความชื้น นอกจากนี้ อุปกรณ์ที่ต้องประมวลผลต่อเนื่องหรือจ่ายกระแสสูงกลางแจ้ง เสี่ยงต่อความร้อนสะสมจนชิปค้างหรือรีบูตตัวเองขณะปฏิบัติการ</t>
        </is>
      </c>
      <c r="D7" s="24" t="inlineStr">
        <is>
          <t>หัวใจของระบบอัตโนมัติคือการให้ผลการตัดสินใจที่ทันเวลาและถูกต้อง หากโมเดลซับซ้อนเกินไปจนรันไม่ทัน หรือขาดข้อมูลฝึกฝนจนผลลัพธ์เพี้ยน ระบบจะไม่สามารถสนับสนุนการทำงานจริงของเจ้าหน้าที่ได้</t>
        </is>
      </c>
      <c r="E7" s="24" t="inlineStr">
        <is>
          <t>สภาพแวดล้อมจริงในเขตเมืองเต็มไปด้วยสิ่งรบกวน หากไม่มีเกราะกำบังทางกายภาพและตัวกรองสัญญาณเชิงสถิติ ข้อมูลจะกระโดดไปมา นำไปสู่การตัดสินใจที่ผิดพลาดและสร้างความเสียหายต่อกระบวนการทำงาน</t>
        </is>
      </c>
      <c r="F7" s="24" t="inlineStr">
        <is>
          <t>โครงงานนักศึกษาไม่มีงบประมาณสนับสนุนขนาดใหญ่จากภายนอก หากสถาปัตยกรรมบังคับใช้อุปกรณ์เกรดอุตสาหกรรมนำเข้าราคาหลายหมื่นบาท จะทำให้โครงงานหยุดชะงักจากปัญหางบประมาณบานปลาย</t>
        </is>
      </c>
      <c r="G7" s="24" t="inlineStr">
        <is>
          <t>การทดสอบหน้างานมีความเสี่ยงสูงที่จะเกิดการลัดวงจร ตกกระแทก หรือน้ำเข้า หากไม่มีอะไหล่สำรอง เมื่อชิ้นส่วนเสียหายโครงการจะต้องหยุดรอการสั่งซื้อใหม่เป็นเวลาหลายสัปดาห์</t>
        </is>
      </c>
      <c r="H7" s="24" t="inlineStr">
        <is>
          <t>ระบบที่พัฒนาขึ้นต้องสร้างผลตอบแทนทางเศรษฐศาสตร์สาธารณะที่คุ้มค่า หากค่าใช้จ่ายในการบำรุงรักษาสูงกว่ามูลค่าทรัพยากรที่ประหยัดได้ ภาครัฐจะยกเลิกการใช้งานหลังสิ้นสุดการทดสอบ</t>
        </is>
      </c>
      <c r="I7" s="24" t="inlineStr">
        <is>
          <t>การทดสอบและติดตั้งอุปกรณ์ในพื้นที่สาธารณะของเมืองต้องเคารพกฎหมายสิทธิส่วนบุคคลและความปลอดภัยในการสัญจร หากละเมิดกฎหมาย โครงการจะถูกระงับการทำงานและถูกดำเนินคดีทันที</t>
        </is>
      </c>
      <c r="J7" s="24" t="inlineStr">
        <is>
          <t>การใช้คลื่นวิทยุที่ไม่ผ่านการรับรองถือเป็นความผิดทางอาญา และการเข้าถึงพื้นที่โครงสร้างพื้นฐานสาธารณะจำเป็นต้องมีหนังสือขออนุญาตและช่องทางประสานงานกับหน่วยงานท้องถิ่น</t>
        </is>
      </c>
      <c r="K7" s="24" t="inlineStr">
        <is>
          <t>เจ้าหน้าที่หน้างานมีระเบียบปฏิบัติราชการที่ต้องมีหลักฐานชัดเจนในการปิดงาน หากระบบส่งเฉพาะข้อความเตือนโดยไม่มีกราฟแนวโน้มและบันทึกเวลา เจ้าหน้าที่จะไม่สามารถนำไปใช้ปิดงานตามระเบียบได้</t>
        </is>
      </c>
      <c r="L7" s="24" t="inlineStr">
        <is>
          <t>หากระบบใช้งานยาก ต้องใช้เครื่องมือพิเศษหรือช่างเทคนิคขั้นสูงในการบำรุงรักษา ระบบจะถูกละเลยและกลายเป็นขยะอิเล็กทรอนิกส์ในเวลาไม่นาน</t>
        </is>
      </c>
      <c r="M7" s="24" t="inlineStr">
        <is>
          <t>ความปลอดภัยต่อชีวิตเป็นเรื่องสำคัญที่สุด การทำงานในพื้นที่อับอากาศที่มีก๊าซพิษสะสม ทางน้ำลึก หรือบนผิวทางสัญจรที่ไม่มีการกั้นพื้นที่ อาจนำไปสู่อุบัติเหตุร้ายแรงถึงแก่ชีวิต</t>
        </is>
      </c>
      <c r="N7" s="24" t="inlineStr">
        <is>
          <t>ตารางสอบกลางภาคและปลายภาคของมหาวิทยาลัยจะดึงเวลาของสมาชิกไปเต็มที่ 1-2 สัปดาห์ หากไม่มี Buffer Time โครงงานจะล้มเหลวด้านเวลาทันที</t>
        </is>
      </c>
      <c r="O7" s="24" t="inlineStr">
        <is>
          <t>สัปดาห์ที่ 9 เป็น Milestone สำคัญในการประเมินความก้าวหน้า หากฮาร์ดแวร์และซอฟต์แวร์ยังไม่สามารถเชื่อมต่อกันได้จริง โครงงานจะถูกจัดอยู่ในกลุ่มเสี่ยงสูง</t>
        </is>
      </c>
      <c r="P7" s="24" t="inlineStr">
        <is>
          <t>การรอคอยชิ้นส่วนเป็นคอขวดที่พบบ่อยที่สุดในโครงงานวิศวกรรม หากอุปกรณ์ต้องรอสั่งจากต่างประเทศนานเกินไป จะทำให้เวลาในการพัฒนาและการทดสอบจริงไม่เพียงพอ</t>
        </is>
      </c>
      <c r="Q7" s="24" t="inlineStr">
        <is>
          <t>โครงงานวิศวกรรมต้องตอบสนองต่อเป้าหมายการพัฒนาที่ยั่งยืนของสหประชาชาติ โดยเฉพาะการลดผลกระทบจากภัยพิบัติเมืองและการเปลี่ยนแปลงสภาพภูมิอากาศ</t>
        </is>
      </c>
      <c r="R7" s="24" t="inlineStr">
        <is>
          <t>อุปกรณ์ที่ติดตั้งในโครงสร้างพื้นฐานเมืองต้องไม่กลายเป็นสาเหตุของมลพิษ หรือหลุดลอยไปสร้างปัญหาการอุดตัน และต้องใช้ทรัพยากรอย่างมีประสิทธิภาพ</t>
        </is>
      </c>
      <c r="S7" s="24" t="inlineStr">
        <is>
          <t>ระบบสนับสนุนการตัดสินใจของรัฐต้องมีความเป็นธรรม ไม่เลือกปฏิบัติในการจัดสรรทรัพยากรและสามารถตรวจสอบความถูกต้องย้อนหลังได้ทุกขั้นตอน</t>
        </is>
      </c>
      <c r="T7" s="25" t="inlineStr">
        <is>
          <t>สังเคราะห์จาก AI Agents Group 2</t>
        </is>
      </c>
    </row>
    <row r="8" ht="150" customHeight="1">
      <c r="A8" s="21" t="inlineStr">
        <is>
          <t>เกณฑ์การให้คะแนน (Scoring Rubric Definition: ระดับ 1, 2, 3, 4, 5 ครบทุกระดับ)</t>
        </is>
      </c>
      <c r="B8" s="24" t="inlineStr">
        <is>
          <t>1: บังคับใช้กระบวนการผลิตระดับอุตสาหกรรมหนัก (เช่น หล่อโลหะ/กลึงชิ้นงานขนาดใหญ่) ที่ไม่มีสิทธิ์เข้าถึง และโครงสร้างพังทลายเมื่อสัมผัสน้ำหรือความชื้น (Fatal Flaw)
2: ต้องจ้างโรงกลึงภายนอกผลิตเกือบทั้งหมด เสี่ยงต่อความล่าช้าเกินงบประมาณ โครงสร้างทนสภาพแวดล้อมได้ไม่เกิน 7 วัน
3: ใช้โครงสร้าง 3D Print ทั่วไป (เช่น PLA) หรือประกอบมือโดยไม่มีการซีลป้องกัน ความแข็งแรงปานกลาง ต้องมีโครงกำบังภายนอกเพิ่มเติม
4: ผสมผสานชิ้นส่วน COTS ร่วมกับชิ้นงานที่ผลิตขึ้นรูปเองภายใน (เช่น PETG/ABS/โลหะแผ่น) มีการทดสอบความแข็งแรงและซีลกันละอองน้ำระดับ IP65
5: ใช้โครงสร้างและกล่องสำเร็จรูปมาตรฐานอุตสาหกรรม (IP67/IP68) พร้อมแคลมป์ยึดมาตรฐาน ทนแรงสั่นสะเทือนและสภาพแวดล้อมภายนอกได้เกิน 90 วันโดยไม่ต้องดัดแปลง</t>
        </is>
      </c>
      <c r="C8" s="24" t="inlineStr">
        <is>
          <t>1: วงจรไม่มีระบบป้องกันไฟกระชาก เกิดความร้อนสะสมจนชิปหยุดทำงาน หรือเกิดการลัดวงจรทันทีเมื่อมีความชื้น (Fatal Flaw)
2: อุปกรณ์ประมวลผลเกิดความร้อนสูงสะสมจนลดทอนความเร็ว สัญญาณแอนะล็อกถูกสัญญาณรบกวนจนอ่านค่าผิดพลาดเกิน 30%
3: ใช้วงจรประกอบมือบน Perfboard หรือสายไฟแบบ Dupont เสี่ยงต่อการหลวมหลุดเมื่อมีแรงสั่นสะเทือน แต่ยังทำงานได้
4: ใช้วงจรไมโครคอนโทรลเลอร์เชื่อมต่อผ่าน Screw Terminal Shield หรือ Custom PCB ขนาดเล็กที่มี Diode ป้องกันไฟย้อนและตัวเก็บประจุกรองสัญญาณรบกวน
5: สถาปัตยกรรมวงจรมาตรฐาน มีการแยกกราวและสัญญาณ (Optocoupler/Galvanic Isolation) มีการจัดการพลังงานแบบ Low-power Sleep Mode และกระจายความร้อนโดยไม่ใช้พัดลม</t>
        </is>
      </c>
      <c r="D8" s="24" t="inlineStr">
        <is>
          <t>1: โมเดลขาดข้อมูลฝึกฝนโดยสิ้นเชิง หรืออัลกอริทึมใช้เวลาประมวลผลนานกว่ากรอบเวลาตัดสินใจหน้างานจนระบบไร้ประโยชน์ (Fatal Flaw)
2: อัลกอริทึมมีความซับซ้อนสูงแต่ขาดการปรับเทียบ (Calibration) ทำให้ผลการตัดสินใจคลาดเคลื่อนบ่อยครั้ง
3: ใช้เกณฑ์แบบคงที่ (Static Threshold) ซึ่งปรับตัวตามสภาวะพลวัตของสภาพแวดล้อมจริงได้จำกัด แต่ประมวลผลได้เร็ว
4: ใช้อัลกอริทึมประมวลผลสัญญาณหรือโมเดลน้ำหนักเบา ให้ผลลัพธ์ที่แม่นยำและประมวลผลเสร็จสิ้นภายในไม่เกิน 5 วินาที
5: ใช้สมการฟิสิกส์เชิงวิเคราะห์ (Analytical Physics) หรือสมการอนุพันธ์แบบ Closed-form ประมวลผลเสร็จในระดับมิลลิวินาที (≤ 100 ms) บน Edge Node โดยตรง</t>
        </is>
      </c>
      <c r="E8" s="24" t="inlineStr">
        <is>
          <t>1: หัววัดล้มเหลวโดยสิ้นเชิงทันทีที่สัมผัสสภาพแวดล้อมจริง (เช่น คราบไขมันเคลือบมิดจนวัดค่าไม่ได้ หรือก๊าซกัดกร่อนละลายหัววัด / Fatal Flaw)
2: เกิด False Alarm สูงเกิน 40% เมื่อเจอกระแสลม คลื่นผิวน้ำ หรือไอน้ำ ต้องอาศัยมนุษย์คอยตรวจสอบซ้ำตลอดเวลา
3: สัญญาณแกว่งตัวเมื่อเจอสิ่งรบกวน ต้องกำหนดรอบการเข้าทำความสะอาดหัววัดบ่อยครั้ง (ทุก 3-5 วัน) เพื่อรักษาความแม่นยำ
4: มีโครงกำบังทางกายภาพ (Housing/Baffle) ร่วมกับอัลกอริทึมกรองสัญญาณเชิงสถิติ (Median/Moving Average Filter) ลด False Alarm เหลือ &lt; 10%
5: ออกแบบการตรวจวัดแบบไม่สัมผัสสิ่งรบกวน (Non-contact Sensing) ร่วมกับ Adaptive Filtering กำจัดสัญญาณกวนได้สมบูรณ์โดยไม่ต้องบำรุงรักษาหัววัดเกิน 60 วัน</t>
        </is>
      </c>
      <c r="F8" s="24" t="inlineStr">
        <is>
          <t>1: งบประมาณ BOM เกิน 15,000 บาท (เกินเพดาน 5,000 บาท ถึง 3 เท่าตัว โดยไม่มีแหล่งทุนรองรับ / Fatal Flaw)
2: งบประมาณ BOM อยู่ระหว่าง 8,000 - 15,000 บาท จำเป็นต้องยื่นขอทุนสนับสนุนภายนอกซึ่งมีความไม่แน่นอนสูง
3: งบประมาณ BOM อยู่ระหว่าง 5,000 - 8,000 บาท เกินงบประมาณเล็กน้อย ต้องตัดทอนความสามารถของฮาร์ดแวร์บางส่วนออก
4: งบประมาณ BOM อยู่ระหว่าง 3,500 - 5,000 บาท พอดีกับเพดานงบประมาณโครงงาน
5: งบประมาณ BOM ต่ำกว่า 3,500 บาท ใช้อุปกรณ์ COTS ราคาประหยัด ควบคุมต้นทุนได้อย่างเด็ดขาด</t>
        </is>
      </c>
      <c r="G8" s="24" t="inlineStr">
        <is>
          <t>1: จัดซื้ออุปกรณ์เพียง 1x BOM พอดีเป๊ะ ไม่มีงบสำรองอะไหล่เลย (0%) หากอุปกรณ์ช็อตหรือแตกหัก โครงการจะหยุดชะงักทันที (Fatal Flaw)
2: มีงบสำรองอะไหล่เพียง 10-20% ครอบคลุมเฉพาะอุปกรณ์พื้นฐานชิ้นเล็ก (สายไฟ, ขั้วต่อ)
3: มีงบสำรองอะไหล่ประมาณ 50% สามารถสำรองเซนเซอร์ได้บางตัว แต่ไม่มีบอร์ดประมวลผลสำรอง
4: มีงบสำรองอะไหล่ 80-100% สำหรับเซนเซอร์หลักและโมดูลควบคุมสำคัญ
5: มีงบสำรองจัดซื้ออุปกรณ์หลักครบ 2 ชุด (100% Duplication) ภายใต้กรอบงบประมาณรวมของโครงงาน</t>
        </is>
      </c>
      <c r="H8" s="24" t="inlineStr">
        <is>
          <t>1: ค่าบำรุงรักษาระบบ (OpEx) แพงกว่ามูลค่าทรัพยากรที่ประหยัดได้ หรือไม่ก่อให้เกิดการประหยัดทรัพยากรใด ๆ เมื่อเทียบกับการไม่ทำอะไรเลย (Fatal Flaw)
2: ประหยัดทรัพยากรได้น้อยมาก มีจุดคุ้มทุนยาวนานเกินกว่า 3 ปี ไม่ดึงดูดใจเชิงนโยบาย
3: คืนทุนได้ในระยะ 1-2 ปี การประหยัดทรัพยากรแปรผันตามฤดูกาลอย่างมีนัยสำคัญ
4: ประหยัดทรัพยากร ค่าน้ำมัน และกำลังพลได้อย่างชัดเจน มีจุดคุ้มทุนภายในระยะเวลา 1 ปีแรกของการใช้งาน
5: ลดการสูญเปล่าของงบประมาณและกำลังพลได้มากกว่า 30-50% ระบบกินพลังงานต่ำมาก คืนทุนได้ภายในรอบฤดูกาลเดียว</t>
        </is>
      </c>
      <c r="I8" s="24" t="inlineStr">
        <is>
          <t>1: มีการบันทึกภาพใบหน้าหรือป้ายทะเบียนรถในที่สาธารณะโดยผิดกฎหมาย PDPA หรือติดตั้งขวางช่องทางจราจรเสี่ยงต่ออุบัติเหตุร้ายแรง (Fatal Flaw)
2: สุ่มเสี่ยงต่อการละเมิดกฎหมาย ต้องมีขั้นตอนทางเทคนิคที่ซับซ้อนเพื่อเลี่ยงข้อบังคับและยังไม่มีเอกสารยินยอม
3: ปฏิบัติตามกฎหมายได้บางส่วน แต่ต้องรอการอนุมัติข้อยกเว้นเป็นลายลักษณ์อักษรจากหน่วยงานกำกับดูแล
4: ปฏิบัติตามกฎหมายถูกต้อง มีการเข้ารหัสข้อมูล ไม่มีการจัดเก็บข้อมูลส่วนบุคคล (No PII) และมีมาตรการความปลอดภัยบนผิวทาง
5: ปลอดจากการละเมิดกฎหมาย 100% ไม่ใช้กล้องถ่ายภาพบุคคล (Zero PII) และติดตั้งในจุดปลอดภัยตามมาตรฐานวิศวกรรมสาธารณะ</t>
        </is>
      </c>
      <c r="J8" s="24" t="inlineStr">
        <is>
          <t>1: ใช้อุปกรณ์ส่งสัญญาณคลื่นความถี่เถื่อนที่ไม่ได้รับอนุญาต และไม่มีช่องทางติดต่อประสานงานกับหน่วยงานรัฐอย่างสิ้นเชิง (Fatal Flaw)
2: โมดูลสื่อสารผ่านเกณฑ์ แต่ทีมงานขาดช่องทางติดต่อ ทำให้ขั้นตอนการขออนุญาตหน้างานมีความล่าช้าเกิน 2 เดือน
3: ใช้โมดูลที่ถูกต้องตามกฎหมาย และอยู่ระหว่างรอการออกหนังสือประสานงานอย่างเป็นทางการจากมหาวิทยาลัย
4: อุปกรณ์สื่อสารผ่านการรับรองมาตรฐาน และสามารถสื่อสาร ประสานงาน และยื่นเอกสารทางราชการเพื่อขอพื้นที่ทดสอบได้อย่างราบรื่น
5: อุปกรณ์ผ่านการรับรองมาตรฐาน 100% และมีเครือข่ายความร่วมมือหรือหนังสืออนุญาตให้ทดสอบในพื้นที่จริงจากหน่วยงานกำกับดูแล</t>
        </is>
      </c>
      <c r="K8" s="24" t="inlineStr">
        <is>
          <t>1: ระบบไม่สามารถสร้างหลักฐานใด ๆ ได้ บังคับให้เจ้าหน้าที่ต้องลงพื้นที่ไปตรวจสอบซ้ำซ้อน 100% เพื่อถ่ายรูปปิดงานตามระเบียบ (Fatal Flaw)
2: แสดงผลได้เฉพาะตัวเลขดิบที่ยากต่อการแปลผล เจ้าหน้าที่ไม่สามารถนำไปใช้เป็นหลักฐานปิดงานได้
3: สร้างรายงานสรุปได้ แต่เจ้าหน้าที่ยังต้องกรอกข้อมูลและแนบรูปถ่ายยืนยันด้วยตนเองเพิ่มเติม
4: สร้างบัตรหลักฐานดิจิทัล (Digital Evidence Card) ที่แสดงผลชัดเจน อ่านเข้าใจง่ายใน 5 วินาที พร้อมแนบในระบบรายงานผลได้ทันที
5: มีระบบบันทึก Audit Trail อัตโนมัติ พร้อมส่งออกรายงานหรือเชื่อมโยง API เข้าสู่ระบบรายงานผลของหน่วยงาน (เช่น Traffy Fondue) ได้อย่างสมบูรณ์</t>
        </is>
      </c>
      <c r="L8" s="24" t="inlineStr">
        <is>
          <t>1: ใช้งานยากมาก ต้องใช้วิศวกรหรือผู้เชี่ยวชาญควบคุมตลอดเวลา เจ้าหน้าที่หน้างานปฏิเสธการใช้งานและต่อต้านระบบ (Fatal Flaw)
2: มีขั้นตอนการปรับเทียบ (Calibration) และบำรุงรักษาที่ยุ่งยากเกินกว่า 30 นาทีต่อครั้ง
3: เจ้าหน้าที่ต้องผ่านการฝึกอบรม 1-2 วัน จึงจะสามารถใช้งานและดูแลรักษาได้อย่างถูกต้อง
4: ใช้งานง่าย มีคู่มือปฏิบัติงานภาคสนามชัดเจน สามารถบำรุงรักษาได้ด้วยเครื่องมือช่างทั่วไป
5: ออกแบบตามหลักสรีรศาสตร์และ UX หน้างาน กดปุ่มเดียวทำงานอัตโนมัติ (Plug-and-Play) เจ้าหน้าที่ใช้งานได้ทันทีโดยไม่ต้องผ่านการอบรมที่ซับซ้อน</t>
        </is>
      </c>
      <c r="M8" s="24" t="inlineStr">
        <is>
          <t>1: บังคับให้คนต้องมุดลงในพื้นที่อับอากาศที่มีก๊าซพิษสะสม (Confined Space) หรือลงไปปฏิบัติงานในจุดเสี่ยงอันตรายถึงชีวิต (กระแสน้ำเชี่ยวลึก หรือผิวจราจรความเร็วสูง) โดยไม่มีอุปกรณ์นิรภัยมาตรฐาน (Fatal Flaw)
2: หน้างานมีความเสี่ยงสูง ต้องใช้อุปกรณ์ป้องกันภัยส่วนบุคคล (PPE) ขั้นสูงสุดและต้องมีเจ้าหน้าที่กำกับดูแลความปลอดภัยตลอดเวลา
3: มีความปลอดภัยปานกลาง ปฏิบัติงานได้เฉพาะจุดที่มีแนวกั้นชัดเจนหรือบนทางเท้า/ผิวทางที่มีการปิดกั้นพื้นที่สัญจร
4: มีความปลอดภัยสูง ออกแบบให้ติดตั้งและบำรุงรักษาจากบนผิวทางเท้าหรือจุดปลอดภัย โดยไม่มีการให้บุคลากรลงไปในจุดอันตราย
5: ปลอดภัย 100% ออกแบบให้ติดตั้ง บำรุงรักษา และทดสอบจากระยะไกล มีระบบตัดการทำงานฉุกเฉิน และปลอดจากจุดเสี่ยงอันตรายต่อชีวิตทุกประการ</t>
        </is>
      </c>
      <c r="N8" s="24" t="inlineStr">
        <is>
          <t>1: แผนงานเป็นเส้นตรงที่ขึ้นต่อกันทั้งหมด (Linear Dependency) หากติดช่วงสอบ 1-2 สัปดาห์ โครงการจะล้มเหลวด้านเวลาทันที (Fatal Flaw)
2: มีเวลาสำรองเพียง 3-5 วัน มีความเสี่ยงสูงมากที่จะส่งมอบงานล่าช้าเมื่อสมาชิกติดภารกิจการเรียน
3: มีเวลาสำรอง 1-2 สัปดาห์ เลื่อนงานได้บางส่วนแต่ต้องเร่งงานหนักมากหลังสอบ
4: มี Buffer Time 3-4 สัปดาห์ชัดเจน และสถาปัตยกรรมฮาร์ดแวร์-ซอฟต์แวร์แยกจากกัน ทำให้ทำงานคู่ขนานได้
5: สถาปัตยกรรมระบบเป็นอิสระต่อกันสูง ระบบหลักเสร็จสมบูรณ์ตั้งแต่ก่อนสัปดาห์สอบ มีเวลาทดสอบรวมมากกว่า 4 สัปดาห์</t>
        </is>
      </c>
      <c r="O8" s="24" t="inlineStr">
        <is>
          <t>1: มีความเสี่ยงสูงมากที่จะไม่มีระบบหรืออุปกรณ์ใด ๆ ทำงานได้จริงในสัปดาห์ที่ 9 (Fatal Flaw)
2: ภายในสัปดาห์ที่ 9 ได้เพียงการทดลองชิ้นส่วนแยกกันบนโต๊ะทดลอง ยังไม่สามารถรวมการทำงานระหว่างฮาร์ดแวร์และซอฟต์แวร์ได้
3: ระบบทำงานร่วมกันได้บนโต๊ะทดลอง แต่ยังไม่พร้อมสำหรับการทดสอบในสภาวะจำลองหน้างาน
4: มีต้นแบบฮาร์ดแวร์และซอฟต์แวร์ที่ผสานการทำงานอย่างสมบูรณ์ พร้อมทดสอบในสภาวะจำลองหน้างานได้ภายในสัปดาห์ที่ 9
5: ต้นแบบเสร็จสมบูรณ์ 100% และผ่านการทดสอบทำงานจริงได้เรียบร้อยแล้วตั้งแต่ก่อนสัปดาห์ที่ 9</t>
        </is>
      </c>
      <c r="P8" s="24" t="inlineStr">
        <is>
          <t>1: ต้องสั่งซื้อชิ้นส่วนสั่งทำพิเศษจากต่างประเทศที่ใช้เวลาส่งเกินกว่า 4-6 สัปดาห์ เสี่ยงต่อการไม่มีอุปกรณ์ทำโครงงาน (Fatal Flaw)
2: มีชิ้นส่วนหลักบางรายการที่ต้องรอของ 3-4 สัปดาห์ ทำให้การเริ่มประกอบฮาร์ดแวร์ล่าช้า
3: ชิ้นส่วนทั้งหมดใช้เวลาจัดส่ง 2-3 สัปดาห์ ต้องสั่งซื้อตั้งแต่วันแรกของโครงการจึงจะทันกำหนด
4: ชิ้นส่วนเกือบทั้งหมดจัดซื้อได้จากตัวแทนจำหน่ายในประเทศ ได้รับของภายใน 7-10 วัน
5: ชิ้นส่วนทั้งหมด 100% มีจำหน่ายในประเทศและสามารถจัดส่งถึงมือได้ภายใน 2-4 วันทำการ</t>
        </is>
      </c>
      <c r="Q8" s="24" t="inlineStr">
        <is>
          <t>1: โครงการไม่มีส่วนเกี่ยวข้อง หรืออาจส่งผลกระทบเชิงลบต่อโครงสร้างพื้นฐานและความปลอดภัยของเมือง (Fatal Flaw)
2: สนับสนุนความยั่งยืนทางอ้อมอย่างผิวเผิน แต่ไม่มีตัวชี้วัดผลกระทบเชิงปริมาณที่ชัดเจน
3: ส่งเสริมการลดผลกระทบได้บางส่วน แต่จำกัดขอบเขตอยู่เฉพาะจุดทดลองขนาดเล็ก
4: สอดคล้องกับ SDG 11.5 และ SDG 13.1 ชัดเจน ช่วยลดระยะเวลาและผลกระทบของปัญหาบนถนนสายหลักและพื้นที่ชุมชน
5: สอดคล้องกับเป้าหมายอย่างเป็นรูปธรรม มีแบบจำลองแสดงการลดความสูญเสียทางเศรษฐกิจและความปลอดภัยของประชาชนในเมืองได้อย่างยั่งยืน</t>
        </is>
      </c>
      <c r="R8" s="24" t="inlineStr">
        <is>
          <t>1: อุปกรณ์มีความเสี่ยงสูงที่จะหลุดลอยกลายเป็นขยะอุดตัน หรือปล่อยสารเคมี/โลหะหนักลงสู่สิ่งแวดล้อมสาธารณะ หรือใช้น้ำสิ้นเปลืองรุนแรง (Fatal Flaw)
2: ใช้วัสดุที่เสื่อมสภาพและแตกหักง่าย เสี่ยงต่อการตกค้างในสภาพแวดล้อมหากเจอสภาวะแวดล้อมรุนแรง
3: โครงสร้างแข็งแรงปานกลาง มีโอกาสหลุดลอยหากเจอพายุรุนแรง ต้องมีรอบการตรวจเช็กความแน่นหนาสม่ำเสมอ
4: ใช้วัสดุที่ไม่เป็นพิษต่อสิ่งแวดล้อม มีจุดยึดจับที่แน่นหนา ปลอดภัยต่อระบบสาธารณะ และควบคุมการใช้ทรัพยากรได้ดี
5: ปลอดภัยต่อระบบนิเวศ 100% ไม่มีส่วนประกอบที่หลุดลอยเป็นขยะ มีระบบสลิงนิรภัยสองชั้น (Dual Lanyard) และผ่านการรับรองความปลอดภัยของวัสดุ</t>
        </is>
      </c>
      <c r="S8" s="24" t="inlineStr">
        <is>
          <t>1: ตรรกะของระบบเป็นกล่องดำ (Black Box) ไม่สามารถอธิบายเหตุผลได้ หรือมีอคติเลือกปฏิบัติตัดความช่วยเหลือชุมชนเปราะบาง (Fatal Flaw)
2: เกณฑ์การตัดสินใจไม่ชัดเจน อาจนำไปสู่ความเหลื่อมล้ำในการให้บริการของภาครัฐโดยไม่ตั้งใจ
3: ตรรกะตรวจสอบได้บางส่วน แต่ยังไม่มีกระบวนการอุทธรณ์หรือทบทวนความถูกต้องโดยมนุษย์
4: ตรรกะโปร่งใส ตัดสินใจตามเกณฑ์ข้อมูลเชิงประจักษ์อย่างเสมอภาค ให้ความช่วยเหลือตามระดับความจำเป็นจริง
5: โปร่งใส 100% มี Audit Trail บันทึกทุกประวัติการตัดสินใจ ตรวจสอบย้อนหลังได้ทุกกรณี เสริมสร้างธรรมาภิบาลและความเชื่อมั่นของประชาชน</t>
        </is>
      </c>
      <c r="T8" s="25" t="inlineStr">
        <is>
          <t>เกณฑ์รวม: &gt;=80 ผ่านสูง, &gt;=60 มีเงื่อนไข, &lt;60 เสี่ยงสูง | หากมีข้อใดได้ 1 = VETOED ตกเกณฑ์ทันที</t>
        </is>
      </c>
    </row>
    <row r="9" ht="36" customHeight="1">
      <c r="A9" s="26" t="inlineStr">
        <is>
          <t>คะแนนที่ได้รับ (ASSIGNED SCORE: 1, 2, 3, 4, 5 STRICT INTEGER)</t>
        </is>
      </c>
      <c r="B9" s="27" t="n">
        <v>4</v>
      </c>
      <c r="C9" s="27" t="n">
        <v>4</v>
      </c>
      <c r="D9" s="27" t="n">
        <v>4</v>
      </c>
      <c r="E9" s="27" t="n">
        <v>2</v>
      </c>
      <c r="F9" s="27" t="n">
        <v>4</v>
      </c>
      <c r="G9" s="27" t="n">
        <v>4</v>
      </c>
      <c r="H9" s="27" t="n">
        <v>4</v>
      </c>
      <c r="I9" s="27" t="n">
        <v>4</v>
      </c>
      <c r="J9" s="27" t="n">
        <v>4</v>
      </c>
      <c r="K9" s="27" t="n">
        <v>4</v>
      </c>
      <c r="L9" s="27" t="n">
        <v>4</v>
      </c>
      <c r="M9" s="27" t="n">
        <v>4</v>
      </c>
      <c r="N9" s="27" t="n">
        <v>4</v>
      </c>
      <c r="O9" s="27" t="n">
        <v>4</v>
      </c>
      <c r="P9" s="27" t="n">
        <v>4</v>
      </c>
      <c r="Q9" s="27" t="n">
        <v>5</v>
      </c>
      <c r="R9" s="27" t="n">
        <v>4</v>
      </c>
      <c r="S9" s="27" t="n">
        <v>5</v>
      </c>
      <c r="T9" s="28">
        <f>IF(T10&gt;0, (T11/T10)*20, 0)</f>
        <v/>
      </c>
    </row>
    <row r="10" ht="22" customHeight="1">
      <c r="A10" s="21" t="inlineStr">
        <is>
          <t>ค่าน้ำหนัก (Weight %)</t>
        </is>
      </c>
      <c r="B10" s="29" t="n">
        <v>0.05</v>
      </c>
      <c r="C10" s="29" t="n">
        <v>0.05</v>
      </c>
      <c r="D10" s="29" t="n">
        <v>0.05</v>
      </c>
      <c r="E10" s="29" t="n">
        <v>0.05</v>
      </c>
      <c r="F10" s="29" t="n">
        <v>0.0667</v>
      </c>
      <c r="G10" s="29" t="n">
        <v>0.0667</v>
      </c>
      <c r="H10" s="29" t="n">
        <v>0.0667</v>
      </c>
      <c r="I10" s="29" t="n">
        <v>0.075</v>
      </c>
      <c r="J10" s="29" t="n">
        <v>0.075</v>
      </c>
      <c r="K10" s="29" t="n">
        <v>0.0667</v>
      </c>
      <c r="L10" s="29" t="n">
        <v>0.0667</v>
      </c>
      <c r="M10" s="29" t="n">
        <v>0.0667</v>
      </c>
      <c r="N10" s="29" t="n">
        <v>0.05</v>
      </c>
      <c r="O10" s="29" t="n">
        <v>0.05</v>
      </c>
      <c r="P10" s="29" t="n">
        <v>0.05</v>
      </c>
      <c r="Q10" s="29" t="n">
        <v>0.0333</v>
      </c>
      <c r="R10" s="29" t="n">
        <v>0.0333</v>
      </c>
      <c r="S10" s="29" t="n">
        <v>0.0333</v>
      </c>
      <c r="T10" s="29">
        <f>SUM(B10:S10)</f>
        <v/>
      </c>
    </row>
    <row r="11" ht="24" customHeight="1">
      <c r="A11" s="21" t="inlineStr">
        <is>
          <t>คะแนนถ่วงน้ำหนัก (=Score * Weight)</t>
        </is>
      </c>
      <c r="B11" s="30">
        <f>B9*B10</f>
        <v/>
      </c>
      <c r="C11" s="30">
        <f>C9*C10</f>
        <v/>
      </c>
      <c r="D11" s="30">
        <f>D9*D10</f>
        <v/>
      </c>
      <c r="E11" s="30">
        <f>E9*E10</f>
        <v/>
      </c>
      <c r="F11" s="30">
        <f>F9*F10</f>
        <v/>
      </c>
      <c r="G11" s="30">
        <f>G9*G10</f>
        <v/>
      </c>
      <c r="H11" s="30">
        <f>H9*H10</f>
        <v/>
      </c>
      <c r="I11" s="30">
        <f>I9*I10</f>
        <v/>
      </c>
      <c r="J11" s="30">
        <f>J9*J10</f>
        <v/>
      </c>
      <c r="K11" s="30">
        <f>K9*K10</f>
        <v/>
      </c>
      <c r="L11" s="30">
        <f>L9*L10</f>
        <v/>
      </c>
      <c r="M11" s="30">
        <f>M9*M10</f>
        <v/>
      </c>
      <c r="N11" s="30">
        <f>N9*N10</f>
        <v/>
      </c>
      <c r="O11" s="30">
        <f>O9*O10</f>
        <v/>
      </c>
      <c r="P11" s="30">
        <f>P9*P10</f>
        <v/>
      </c>
      <c r="Q11" s="30">
        <f>Q9*Q10</f>
        <v/>
      </c>
      <c r="R11" s="30">
        <f>R9*R10</f>
        <v/>
      </c>
      <c r="S11" s="30">
        <f>S9*S10</f>
        <v/>
      </c>
      <c r="T11" s="30">
        <f>SUM(B11:S11)</f>
        <v/>
      </c>
    </row>
    <row r="12" ht="115" customHeight="1">
      <c r="A12" s="21" t="inlineStr">
        <is>
          <t>คำอธิบาย &amp; หลักฐานอ้างอิงจากไฟล์ Intake (Evidence Citation)</t>
        </is>
      </c>
      <c r="B12" s="24" t="inlineStr">
        <is>
          <t>ใช้กล่องมาตรฐานกันน้ำระดับ IP68 พร้อมแคลมป์ยึดสแตนเลสกับผนังท่อ ทนทานต่อแรงกระแทก</t>
        </is>
      </c>
      <c r="C12" s="24" t="inlineStr">
        <is>
          <t>วงจรจัดการพลังงานจากโซลาร์เซลล์พร้อมแบตเตอรี่สำรองและ Custom PCB ของ Due มีระบบตรวจวัดแรงดัน</t>
        </is>
      </c>
      <c r="D12" s="24" t="inlineStr">
        <is>
          <t>คำนวณความลาดชันชลศาสตร์ (Hydraulic Gradient) และประมวลผลเสร็จสิ้นบน Edge Node ในเวลาไม่เกิน 5 วินาที</t>
        </is>
      </c>
      <c r="E12" s="24" t="inlineStr">
        <is>
          <t>อ้างอิง solution-4.md Constraints a: การติดตั้งเซนเซอร์ใต้ฝาท่อพักน้ำจะถูกไอระเหยของก๊าซ H2S กัดกร่อนแผงวงจรและมีคราบไขมันเกาะหัววัดอย่างรวดเร็ว ต้องเข้าบำรุงรักษาบ่อยครั้ง ได้คะแนนระดับ 2</t>
        </is>
      </c>
      <c r="F12" s="24" t="inlineStr">
        <is>
          <t>งบประมาณ BOM เซนเซอร์และระบบพลังงานโซลาร์ประมาณ 4,200 บาท อยู่ในกรอบงบประมาณโครงงาน</t>
        </is>
      </c>
      <c r="G12" s="24" t="inlineStr">
        <is>
          <t>มีงบสำรองเซนเซอร์อัลตราโซนิกและโมดูลควบคุม 80%</t>
        </is>
      </c>
      <c r="H12" s="24" t="inlineStr">
        <is>
          <t>ช่วยจัดลำดับการส่งรถดูดโคลนไปยังท่อที่อุดตันจริง ลดการสิ้นเปลืองทรัพยากร คืนทุนได้ใน 1 ปี</t>
        </is>
      </c>
      <c r="I12" s="24" t="inlineStr">
        <is>
          <t>ติดตั้งใต้ฝาท่อพักน้ำ ปลอดภัย ไม่มีการจัดเก็บข้อมูลส่วนบุคคล (Zero PII)</t>
        </is>
      </c>
      <c r="J12" s="24" t="inlineStr">
        <is>
          <t>ใช้คลื่นความถี่ 433MHz/LoRa ที่ได้รับอนุญาตจาก กสทช. และมีขั้นตอนประสานงานขอพื้นที่ทดสอบ</t>
        </is>
      </c>
      <c r="K12" s="24" t="inlineStr">
        <is>
          <t>สร้างแดชบอร์ดแสดงผลความเร่งด่วนและประวัติการไหลของน้ำในแต่ละท่อ</t>
        </is>
      </c>
      <c r="L12" s="24" t="inlineStr">
        <is>
          <t>ติดตั้งจากปากท่อโดยใช้ขากลไกยึดผนัง บำรุงรักษาได้โดยไม่ต้องลงไปในบ่อพัก</t>
        </is>
      </c>
      <c r="M12" s="24" t="inlineStr">
        <is>
          <t>มีความปลอดภัยสูง ออกแบบให้ติดตั้งและถอดบำรุงรักษาจากด้านบนปากท่อ ไม่มีการให้บุคลากรลงไปในบ่อพัก (Zero Confined Space)</t>
        </is>
      </c>
      <c r="N12" s="24" t="inlineStr">
        <is>
          <t>มีเวลาสำรอง 3 สัปดาห์ สถาปัตยกรรมฮาร์ดแวร์และคลาวด์แยกจากกัน</t>
        </is>
      </c>
      <c r="O12" s="24" t="inlineStr">
        <is>
          <t>บูรณาการเซนเซอร์ ระบบส่งสัญญาณ และแดชบอร์ดแสดงผลได้ภายในสัปดาห์ที่ 9</t>
        </is>
      </c>
      <c r="P12" s="24" t="inlineStr">
        <is>
          <t>เซนเซอร์และแผงโซลาร์ขนาดเล็กจัดซื้อได้จากร้านค้าในประเทศ ได้รับของใน 5-7 วัน</t>
        </is>
      </c>
      <c r="Q12" s="24" t="inlineStr">
        <is>
          <t>สนับสนุนการบริหารจัดการระบบระบายน้ำเมืองอย่างมีประสิทธิภาพ สอดคล้องกับ SDG 11.5</t>
        </is>
      </c>
      <c r="R12" s="24" t="inlineStr">
        <is>
          <t>กล่อง IP68 ป้องกันวงจรสัมผัสน้ำ ไม่ปล่อยสารพิษลงท่อ สอดคล้องกับ SDG 6.3</t>
        </is>
      </c>
      <c r="S12" s="24" t="inlineStr">
        <is>
          <t>จัดสรรคิวรถล้างท่อตามข้อมูลชลศาสตร์ที่แท้จริง ไม่เลือกปฏิบัติ สอดคล้องกับ SDG 10.2 และ 16.6</t>
        </is>
      </c>
      <c r="T12" s="31">
        <f>IF(MIN(B9:S9)=1, "VETOED / ตกเกณฑ์ข้อบังคับวิกฤต (คะแนนระดับ 1)", IF(T9&gt;=80, "ผ่านเกณฑ์ระดับสูง (HIGHLY VIABLE)", IF(T9&gt;=60, "ผ่านแบบมีเงื่อนไข (CONDITIONALLY VIABLE)", "ความเสี่ยงสูง (HIGH RISK)")))</f>
        <v/>
      </c>
    </row>
    <row r="13" ht="70" customHeight="1">
      <c r="A13" s="21" t="inlineStr">
        <is>
          <t>แผนลดขอบเขตงาน &amp; มาตรการลดความเสี่ยง (De-scoping Action)</t>
        </is>
      </c>
      <c r="B13" s="24" t="inlineStr">
        <is>
          <t>ใช้ท่อร้อยสายไฟกันน้ำหุ้มสายสัญญาณทั้งหมด</t>
        </is>
      </c>
      <c r="C13" s="24" t="inlineStr">
        <is>
          <t>ใช้บอร์ดชาร์จแบตเตอรี่สำเร็จรูป COTS</t>
        </is>
      </c>
      <c r="D13" s="24" t="inlineStr">
        <is>
          <t>ส่งข้อมูลดิบขึ้นคลาวด์เพื่อลดภาระการประมวลผลบนโหนด</t>
        </is>
      </c>
      <c r="E13" s="24" t="inlineStr">
        <is>
          <t>พ่นสารเคลือบกันก๊าซกัดกร่อน (Conformal Coating) บนแผงวงจร</t>
        </is>
      </c>
      <c r="F13" s="24" t="inlineStr">
        <is>
          <t>เลือกใช้แผงโซลาร์เซลล์ขนาดเล็ก 5W ประหยัดต้นทุน</t>
        </is>
      </c>
      <c r="G13" s="24" t="inlineStr">
        <is>
          <t>สำรองเซนเซอร์อัลตราโซนิก 1 ชุด</t>
        </is>
      </c>
      <c r="H13" s="24" t="inlineStr">
        <is>
          <t>เปรียบเทียบชั่วโมงการทำงานของรถดูดโคลน</t>
        </is>
      </c>
      <c r="I13" s="24" t="inlineStr">
        <is>
          <t>ยืนยันการไม่ส่งคลื่นรบกวนสัญญาณวิทยุสาธารณะ</t>
        </is>
      </c>
      <c r="J13" s="24" t="inlineStr">
        <is>
          <t>ใช้โมดูลสื่อสารที่ผ่านการรับรองมาตรฐาน กสทช. แล้ว</t>
        </is>
      </c>
      <c r="K13" s="24" t="inlineStr">
        <is>
          <t>สร้างการแจ้งเตือนระดับน้ำวิกฤตผ่าน LINE Notify</t>
        </is>
      </c>
      <c r="L13" s="24" t="inlineStr">
        <is>
          <t>ออกแบบก้านยึดแบบปรับระดับได้ตามขนาดบ่อพัก</t>
        </is>
      </c>
      <c r="M13" s="24" t="inlineStr">
        <is>
          <t>ห้ามเจ้าหน้าที่ลงไปในบ่อพักน้ำโดยเด็ดขาด</t>
        </is>
      </c>
      <c r="N13" s="24" t="inlineStr">
        <is>
          <t>พัฒนาเฟิร์มแวร์วัดระดับน้ำให้เสร็จก่อนเริ่มทดสอบระบบส่งสัญญาณ</t>
        </is>
      </c>
      <c r="O13" s="24" t="inlineStr">
        <is>
          <t>ทดสอบการอ่านค่าเซนเซอร์บนโต๊ะทดลองให้เสร็จในสัปดาห์ที่ 6</t>
        </is>
      </c>
      <c r="P13" s="24" t="inlineStr">
        <is>
          <t>สั่งซื้อเซนเซอร์อัลตราโซนิกกันน้ำตั้งแต่เริ่มโครงการ</t>
        </is>
      </c>
      <c r="Q13" s="24" t="inlineStr">
        <is>
          <t>บันทึกข้อมูลการไหลของน้ำเพื่อวางแผนแก้ปัญหาระยะยาว</t>
        </is>
      </c>
      <c r="R13" s="24" t="inlineStr">
        <is>
          <t>ตรวจสอบการซีลกันน้ำของกล่องอุปกรณ์ก่อนติดตั้งทุกครั้ง</t>
        </is>
      </c>
      <c r="S13" s="24" t="inlineStr">
        <is>
          <t>จัดทำรายงานการจัดคิวงานที่ตรวจสอบได้</t>
        </is>
      </c>
      <c r="T13" s="23" t="inlineStr">
        <is>
          <t>ปฏิบัติตามแผนลดขอบเขตงาน (De-scoping Advisory)</t>
        </is>
      </c>
    </row>
    <row r="14" ht="15" customHeight="1"/>
    <row r="15" ht="26" customHeight="1">
      <c r="A15" s="17" t="inlineStr">
        <is>
          <t>ตารางสรุปคะแนนแยกตามมิติ TELOS+S (Pillar Score Breakdown)</t>
        </is>
      </c>
    </row>
    <row r="16" ht="24" customHeight="1">
      <c r="A16" s="32" t="inlineStr">
        <is>
          <t>มิติการประเมิน (TELOS+S Pillar)</t>
        </is>
      </c>
      <c r="B16" s="32" t="inlineStr">
        <is>
          <t>สัดส่วนน้ำหนัก (Weight %)</t>
        </is>
      </c>
      <c r="C16" s="32" t="inlineStr">
        <is>
          <t>คะแนนเต็มมิติ (Max Points)</t>
        </is>
      </c>
      <c r="D16" s="32" t="inlineStr">
        <is>
          <t>คะแนนที่ได้รับจริง (Earned Points)</t>
        </is>
      </c>
      <c r="E16" s="32" t="inlineStr">
        <is>
          <t>คะแนนเฉลี่ย (Score 1-5)</t>
        </is>
      </c>
      <c r="F16" s="32" t="inlineStr">
        <is>
          <t>ระดับความพร้อม (Readiness Level)</t>
        </is>
      </c>
    </row>
    <row r="17" ht="22" customHeight="1">
      <c r="A17" s="33" t="inlineStr">
        <is>
          <t>T : ด้านเทคโนโลยีและวิศวกรรม (Technical)</t>
        </is>
      </c>
      <c r="B17" s="34" t="n">
        <v>0.2</v>
      </c>
      <c r="C17" s="35" t="n">
        <v>20</v>
      </c>
      <c r="D17" s="36">
        <f>SUM(B11:E11)*20</f>
        <v/>
      </c>
      <c r="E17" s="37">
        <f>IF(C17&gt;0, (D17/C17)*5, 0)</f>
        <v/>
      </c>
      <c r="F17" s="23">
        <f>IF(D17&gt;=16.0, "พร้อมระดับสูง (High)", IF(D17&gt;=12.0, "ปานกลาง (Medium)", "เสี่ยงวิกฤต (Critical)"))</f>
        <v/>
      </c>
    </row>
    <row r="18" ht="22" customHeight="1">
      <c r="A18" s="33" t="inlineStr">
        <is>
          <t>E : ด้านเศรษฐศาสตร์และความคุ้มค่า (Economic)</t>
        </is>
      </c>
      <c r="B18" s="34" t="n">
        <v>0.2</v>
      </c>
      <c r="C18" s="35" t="n">
        <v>20</v>
      </c>
      <c r="D18" s="36">
        <f>SUM(F11:H11)*20</f>
        <v/>
      </c>
      <c r="E18" s="37">
        <f>IF(C18&gt;0, (D18/C18)*5, 0)</f>
        <v/>
      </c>
      <c r="F18" s="23">
        <f>IF(D18&gt;=16.0, "พร้อมระดับสูง (High)", IF(D18&gt;=12.0, "ปานกลาง (Medium)", "เสี่ยงวิกฤต (Critical)"))</f>
        <v/>
      </c>
    </row>
    <row r="19" ht="22" customHeight="1">
      <c r="A19" s="33" t="inlineStr">
        <is>
          <t>L : ด้านกฎหมาย ระเบียบ และภาคประชาชน (Legal &amp; Outreach)</t>
        </is>
      </c>
      <c r="B19" s="34" t="n">
        <v>0.15</v>
      </c>
      <c r="C19" s="35" t="n">
        <v>15</v>
      </c>
      <c r="D19" s="36">
        <f>SUM(I11:J11)*20</f>
        <v/>
      </c>
      <c r="E19" s="37">
        <f>IF(C19&gt;0, (D19/C19)*5, 0)</f>
        <v/>
      </c>
      <c r="F19" s="23">
        <f>IF(D19&gt;=12.0, "พร้อมระดับสูง (High)", IF(D19&gt;=9.0, "ปานกลาง (Medium)", "เสี่ยงวิกฤต (Critical)"))</f>
        <v/>
      </c>
    </row>
    <row r="20" ht="22" customHeight="1">
      <c r="A20" s="33" t="inlineStr">
        <is>
          <t>O : ด้านการปฏิบัติการและหน้างาน (Operational)</t>
        </is>
      </c>
      <c r="B20" s="34" t="n">
        <v>0.2</v>
      </c>
      <c r="C20" s="35" t="n">
        <v>20</v>
      </c>
      <c r="D20" s="36">
        <f>SUM(K11:M11)*20</f>
        <v/>
      </c>
      <c r="E20" s="37">
        <f>IF(C20&gt;0, (D20/C20)*5, 0)</f>
        <v/>
      </c>
      <c r="F20" s="23">
        <f>IF(D20&gt;=16.0, "พร้อมระดับสูง (High)", IF(D20&gt;=12.0, "ปานกลาง (Medium)", "เสี่ยงวิกฤต (Critical)"))</f>
        <v/>
      </c>
    </row>
    <row r="21" ht="22" customHeight="1">
      <c r="A21" s="33" t="inlineStr">
        <is>
          <t>S : ด้านแผนงานและเวลาส่งมอบ (Schedule)</t>
        </is>
      </c>
      <c r="B21" s="34" t="n">
        <v>0.15</v>
      </c>
      <c r="C21" s="35" t="n">
        <v>15</v>
      </c>
      <c r="D21" s="36">
        <f>SUM(N11:P11)*20</f>
        <v/>
      </c>
      <c r="E21" s="37">
        <f>IF(C21&gt;0, (D21/C21)*5, 0)</f>
        <v/>
      </c>
      <c r="F21" s="23">
        <f>IF(D21&gt;=12.0, "พร้อมระดับสูง (High)", IF(D21&gt;=9.0, "ปานกลาง (Medium)", "เสี่ยงวิกฤต (Critical)"))</f>
        <v/>
      </c>
    </row>
    <row r="22" ht="22" customHeight="1">
      <c r="A22" s="33" t="inlineStr">
        <is>
          <t>+S : ด้านความยั่งยืนและสิ่งแวดล้อม (Sustainability / SDG)</t>
        </is>
      </c>
      <c r="B22" s="34" t="n">
        <v>0.1</v>
      </c>
      <c r="C22" s="35" t="n">
        <v>10</v>
      </c>
      <c r="D22" s="36">
        <f>SUM(Q11:S11)*20</f>
        <v/>
      </c>
      <c r="E22" s="37">
        <f>IF(C22&gt;0, (D22/C22)*5, 0)</f>
        <v/>
      </c>
      <c r="F22" s="23">
        <f>IF(D22&gt;=8.0, "พร้อมระดับสูง (High)", IF(D22&gt;=6.0, "ปานกลาง (Medium)", "เสี่ยงวิกฤต (Critical)"))</f>
        <v/>
      </c>
    </row>
    <row r="23" ht="26" customHeight="1">
      <c r="A23" s="38" t="inlineStr">
        <is>
          <t>คะแนนรวมทุกมิติ (Total Feasibility Score)</t>
        </is>
      </c>
      <c r="B23" s="29">
        <f>SUM(B17:B22)</f>
        <v/>
      </c>
      <c r="C23" s="39">
        <f>SUM(C17:C22)</f>
        <v/>
      </c>
      <c r="D23" s="40">
        <f>SUM(D17:D22)</f>
        <v/>
      </c>
      <c r="E23" s="30">
        <f>IF(C23&gt;0, (D23/C23)*5, 0)</f>
        <v/>
      </c>
      <c r="F23" s="41">
        <f>IF(D23&gt;=80, "ผ่านเกณฑ์ระดับสูง (HIGHLY VIABLE)", IF(D23&gt;=60, "ผ่านแบบมีเงื่อนไข (CONDITIONALLY VIABLE)", "ความเสี่ยงสูง (HIGH RISK)"))</f>
        <v/>
      </c>
    </row>
    <row r="24" ht="12" customHeight="1"/>
    <row r="25" ht="26" customHeight="1">
      <c r="A25" s="17" t="inlineStr">
        <is>
          <t>เมทริกซ์ประเมินความเข้ากันได้กับองค์ความรู้ด้านวิศวกรรมหุ่นยนต์ (Robotics Knowledge Compatibility)</t>
        </is>
      </c>
    </row>
    <row r="26" ht="22" customHeight="1">
      <c r="A26" s="18" t="inlineStr">
        <is>
          <t>* หมายเหตุ: การประเมินส่วนนี้วัดศักยภาพในการประยุกต์ใช้องค์ความรู้ด้านวิศวกรรมหุ่นยนต์ (Perception, Control, Actuation, Mechatronics) เต็ม 10 คะแนน | เป็นเอกเทศ ไม่นับรวมในคะแนน TELOS+S 100 คะแนน</t>
        </is>
      </c>
    </row>
    <row r="27" ht="24" customHeight="1">
      <c r="A27" s="42" t="inlineStr">
        <is>
          <t>มิติการประเมิน (Robotics Dimension)</t>
        </is>
      </c>
      <c r="B27" s="42" t="inlineStr">
        <is>
          <t>คะแนนศักยภาพ (/10)</t>
        </is>
      </c>
      <c r="C27" s="42" t="inlineStr">
        <is>
          <t>แกน Perception &amp; Sensing (การรับรู้)</t>
        </is>
      </c>
      <c r="D27" s="42" t="inlineStr">
        <is>
          <t>แกน Control &amp; Algorithms (การควบคุม)</t>
        </is>
      </c>
      <c r="E27" s="42" t="inlineStr">
        <is>
          <t>แกน Actuation &amp; Mechanisms (กลไก)</t>
        </is>
      </c>
      <c r="F27" s="42" t="inlineStr">
        <is>
          <t>บทวิเคราะห์เชิงวิศวกรรมหุ่นยนต์ (FIBO Alignment Rationale)</t>
        </is>
      </c>
    </row>
    <row r="28" ht="95" customHeight="1">
      <c r="A28" s="43" t="inlineStr">
        <is>
          <t>ศักยภาพการประยุกต์ใช้องค์ความรู้หุ่นยนต์และระบบอัตโนมัติ</t>
        </is>
      </c>
      <c r="B28" s="44" t="n">
        <v>6.5</v>
      </c>
      <c r="C28" s="24" t="inlineStr">
        <is>
          <t>เซนเซอร์วัดระดับน้ำและอัตราการไหลในท่อระบายน้ำด้วยคลื่นอัลตราโซนิกและแรงดันน้ำ เชื่อมต่อผ่าน RS485/Modbus</t>
        </is>
      </c>
      <c r="D28" s="24" t="inlineStr">
        <is>
          <t>การประมวลผลคำนวณ Hydraulic Gradient บน Edge Node และจัดลำดับความเร่งด่วนของการล้างท่ออัตโนมัติ</t>
        </is>
      </c>
      <c r="E28" s="24" t="inlineStr">
        <is>
          <t>มีระบบพลังงานแสงอาทิตย์ (BMS &amp; MPPT), Custom PCB ของ Due, และขายึดกลไกปรับระดับได้ แต่การล้างท่อหน้างานยังพึ่งพารถดูดโคลนของมนุษย์ (ไม่มีระบบล้างกลไกอัตโนมัติ)</t>
        </is>
      </c>
      <c r="F28" s="24" t="inlineStr">
        <is>
          <t>สอดคล้องกับแกน Embedded Systems, Power Electronics &amp; Custom PCB, และ Industrial Sensor Bus แต่ขาด Physical Actuation หรือแขนกล/กลไกการทำความสะอาดอัตโนมัติ (เน้นการเฝ้าระวังมากกว่าการกระทำ)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8"/>
  <sheetViews>
    <sheetView showGridLines="1" workbookViewId="0">
      <selection activeCell="A1" sqref="A1"/>
    </sheetView>
  </sheetViews>
  <sheetFormatPr baseColWidth="8" defaultRowHeight="15"/>
  <cols>
    <col width="38" customWidth="1" min="1" max="1"/>
    <col width="36" customWidth="1" min="2" max="2"/>
    <col width="36" customWidth="1" min="3" max="3"/>
    <col width="36" customWidth="1" min="4" max="4"/>
    <col width="36" customWidth="1" min="5" max="5"/>
    <col width="36" customWidth="1" min="6" max="6"/>
    <col width="36" customWidth="1" min="7" max="7"/>
    <col width="36" customWidth="1" min="8" max="8"/>
    <col width="36" customWidth="1" min="9" max="9"/>
    <col width="36" customWidth="1" min="10" max="10"/>
    <col width="36" customWidth="1" min="11" max="11"/>
    <col width="36" customWidth="1" min="12" max="12"/>
    <col width="36" customWidth="1" min="13" max="13"/>
    <col width="36" customWidth="1" min="14" max="14"/>
    <col width="36" customWidth="1" min="15" max="15"/>
    <col width="36" customWidth="1" min="16" max="16"/>
    <col width="36" customWidth="1" min="17" max="17"/>
    <col width="36" customWidth="1" min="18" max="18"/>
    <col width="36" customWidth="1" min="19" max="19"/>
    <col width="36" customWidth="1" min="20" max="20"/>
  </cols>
  <sheetData>
    <row r="1">
      <c r="A1" s="17" t="inlineStr">
        <is>
          <t>เมทริกซ์ประเมินความเป็นไปได้เชิงระบบ TELOS+S: UHI Latent Heat Precision Road Cooling (Micro-dosing 0.2-0.4 mm Evaporative Spraying)</t>
        </is>
      </c>
    </row>
    <row r="2">
      <c r="A2" s="18" t="inlineStr">
        <is>
          <t>ระบบคะแนนจำนวนเต็มเด็ดขาด: 1, 2, 3, 4, 5 เท่านั้น (ไม่มีจุดทศนิยม / ไม่มี 0.5) | โครงสร้างแบบ Transposed แนวนอน</t>
        </is>
      </c>
    </row>
    <row r="4" ht="24" customHeight="1">
      <c r="A4" s="19" t="inlineStr">
        <is>
          <t>รหัสคำถาม (Question Code)</t>
        </is>
      </c>
      <c r="B4" s="20" t="inlineStr">
        <is>
          <t>T-01</t>
        </is>
      </c>
      <c r="C4" s="20" t="inlineStr">
        <is>
          <t>T-02</t>
        </is>
      </c>
      <c r="D4" s="20" t="inlineStr">
        <is>
          <t>T-03</t>
        </is>
      </c>
      <c r="E4" s="20" t="inlineStr">
        <is>
          <t>T-04</t>
        </is>
      </c>
      <c r="F4" s="20" t="inlineStr">
        <is>
          <t>E-01</t>
        </is>
      </c>
      <c r="G4" s="20" t="inlineStr">
        <is>
          <t>E-02</t>
        </is>
      </c>
      <c r="H4" s="20" t="inlineStr">
        <is>
          <t>E-03</t>
        </is>
      </c>
      <c r="I4" s="20" t="inlineStr">
        <is>
          <t>L-01</t>
        </is>
      </c>
      <c r="J4" s="20" t="inlineStr">
        <is>
          <t>L-02</t>
        </is>
      </c>
      <c r="K4" s="20" t="inlineStr">
        <is>
          <t>O-01</t>
        </is>
      </c>
      <c r="L4" s="20" t="inlineStr">
        <is>
          <t>O-02</t>
        </is>
      </c>
      <c r="M4" s="20" t="inlineStr">
        <is>
          <t>O-03</t>
        </is>
      </c>
      <c r="N4" s="20" t="inlineStr">
        <is>
          <t>S-01</t>
        </is>
      </c>
      <c r="O4" s="20" t="inlineStr">
        <is>
          <t>S-02</t>
        </is>
      </c>
      <c r="P4" s="20" t="inlineStr">
        <is>
          <t>S-03</t>
        </is>
      </c>
      <c r="Q4" s="20" t="inlineStr">
        <is>
          <t>SDG-01</t>
        </is>
      </c>
      <c r="R4" s="20" t="inlineStr">
        <is>
          <t>SDG-02</t>
        </is>
      </c>
      <c r="S4" s="20" t="inlineStr">
        <is>
          <t>SDG-03</t>
        </is>
      </c>
      <c r="T4" s="20" t="inlineStr">
        <is>
          <t>สรุปภาพรวม (SUMMARY)</t>
        </is>
      </c>
    </row>
    <row r="5" ht="24" customHeight="1">
      <c r="A5" s="21" t="inlineStr">
        <is>
          <t>มิติการประเมิน (TELOS+S Pillar)</t>
        </is>
      </c>
      <c r="B5" s="22" t="inlineStr">
        <is>
          <t>ด้านเทคนิค (Technical 2.2)</t>
        </is>
      </c>
      <c r="C5" s="22" t="inlineStr">
        <is>
          <t>ด้านเทคนิค (Technical 2.2)</t>
        </is>
      </c>
      <c r="D5" s="22" t="inlineStr">
        <is>
          <t>ด้านเทคนิค (Technical 2.2)</t>
        </is>
      </c>
      <c r="E5" s="22" t="inlineStr">
        <is>
          <t>ด้านเทคนิค (Technical 2.2)</t>
        </is>
      </c>
      <c r="F5" s="22" t="inlineStr">
        <is>
          <t>ด้านเศรษฐศาสตร์ (Economic 2.3)</t>
        </is>
      </c>
      <c r="G5" s="22" t="inlineStr">
        <is>
          <t>ด้านเศรษฐศาสตร์ (Economic 2.3)</t>
        </is>
      </c>
      <c r="H5" s="22" t="inlineStr">
        <is>
          <t>ด้านเศรษฐศาสตร์ (Economic 2.3)</t>
        </is>
      </c>
      <c r="I5" s="22" t="inlineStr">
        <is>
          <t>ด้านกฎหมาย (Legal 2.4)</t>
        </is>
      </c>
      <c r="J5" s="22" t="inlineStr">
        <is>
          <t>ด้านกฎหมาย (Legal 2.4)</t>
        </is>
      </c>
      <c r="K5" s="22" t="inlineStr">
        <is>
          <t>ด้านการปฏิบัติการ (Operational 2.5)</t>
        </is>
      </c>
      <c r="L5" s="22" t="inlineStr">
        <is>
          <t>ด้านการปฏิบัติการ (Operational 2.5)</t>
        </is>
      </c>
      <c r="M5" s="22" t="inlineStr">
        <is>
          <t>ด้านการปฏิบัติการ (Operational 2.5)</t>
        </is>
      </c>
      <c r="N5" s="22" t="inlineStr">
        <is>
          <t>ด้านเวลา (Schedule 2.6)</t>
        </is>
      </c>
      <c r="O5" s="22" t="inlineStr">
        <is>
          <t>ด้านเวลา (Schedule 2.6)</t>
        </is>
      </c>
      <c r="P5" s="22" t="inlineStr">
        <is>
          <t>ด้านเวลา (Schedule 2.6)</t>
        </is>
      </c>
      <c r="Q5" s="22" t="inlineStr">
        <is>
          <t>ด้านความยั่งยืน (SDGs 2.7)</t>
        </is>
      </c>
      <c r="R5" s="22" t="inlineStr">
        <is>
          <t>ด้านความยั่งยืน (SDGs 2.7)</t>
        </is>
      </c>
      <c r="S5" s="22" t="inlineStr">
        <is>
          <t>ด้านความยั่งยืน (SDGs 2.7)</t>
        </is>
      </c>
      <c r="T5" s="23" t="inlineStr">
        <is>
          <t>ผลรวมทุกมิติ (All Pillars)</t>
        </is>
      </c>
    </row>
    <row r="6" ht="80" customHeight="1">
      <c r="A6" s="21" t="inlineStr">
        <is>
          <t>คำถามทดสอบความเสี่ยงจริง (Stress-Test Question)</t>
        </is>
      </c>
      <c r="B6" s="24" t="inlineStr">
        <is>
          <t>โครงสร้างทางกายภาพและกลไกยึดจับภายนอกของระบบ สามารถออกแบบ ผลิต และประกอบขึ้นได้จริงด้วยเครื่องมือกลที่เข้าถึงได้ และทนทานต่อสภาวะแวดล้อมจริงของ กทม. (ลมมรสุม ละอองน้ำ ไอสารเคมี การกัดกร่อน) อย่างต่อเนื่องหรือไม่?</t>
        </is>
      </c>
      <c r="C6" s="24" t="inlineStr">
        <is>
          <t>สถาปัตยกรรมวงจรอิเล็กทรอนิกส์ การจ่ายพลังงาน และการเชื่อมต่อเซนเซอร์ สามารถทำงานได้อย่างต่อเนื่อง มีเสถียรภาพ ปราศจากความร้อนสะสมและการรบกวนทางแม่เหล็กไฟฟ้า (EMI) ในสภาวะแวดล้อมปิดหรือกลางแจ้งหรือไม่?</t>
        </is>
      </c>
      <c r="D6" s="24" t="inlineStr">
        <is>
          <t>โมเดลคณิตศาสตร์หรือตรรกะการประมวลผล สามารถส่งมอบผลลัพธ์การตัดสินใจที่ถูกต้อง แม่นยำ และทันต่อกรอบเวลาปฏิบัติการหน้างาน (Operating Time Horizon) ของระบบหรือไม่?</t>
        </is>
      </c>
      <c r="E6" s="24" t="inlineStr">
        <is>
          <t>ระบบสามารถรักษาความถูกต้องของสัญญาณตรวจวัด และทนทานต่อสิ่งรบกวนทางกายภาพในพื้นที่จริง (คราบไขมัน ตะกอน ก๊าซกัดกร่อน ฝุ่นละออง คลื่นผิวน้ำ) โดยไม่เกิดความล้มเหลวหรือส่งข้อมูลหลอก (False Alarms) หรือไม่?</t>
        </is>
      </c>
      <c r="F6" s="24" t="inlineStr">
        <is>
          <t>งบประมาณจัดซื้อวัสดุ เซนเซอร์ บอร์ดประมวลผล และตัวกระตุ้น (BOM) สำหรับสร้างต้นแบบที่ใช้งานได้จริง สามารถควบคุมให้อยู่ภายใต้เพดานงบประมาณโครงงาน (&lt; 5,000 บาท) ได้จริงหรือไม่?</t>
        </is>
      </c>
      <c r="G6" s="24" t="inlineStr">
        <is>
          <t>โครงการมีการจัดสรรงบประมาณสำรองสำหรับชิ้นส่วนทดแทนกรณีเสียหาย (Scrap Margin) อย่างน้อย 80-100% สำหรับอุปกรณ์หลักที่มีความเสี่ยงสูงจากการทดสอบหน้างานหรือไม่?</t>
        </is>
      </c>
      <c r="H6" s="24" t="inlineStr">
        <is>
          <t>เมื่อระบบถูกนำไปใช้งานจริง สามารถลดการสิ้นเปลืองทรัพยากร (ค่าน้ำมันรถปฏิบัติการ ค่าแรงเจ้าหน้าที่ ค่าบำรุงรักษายานพาหนะ) ได้คุ้มค่ากว่าภาระค่าใช้จ่ายในการติดตั้งและดูแลรักษาระบบ (OpEx) หรือไม่?</t>
        </is>
      </c>
      <c r="I6" s="24" t="inlineStr">
        <is>
          <t>การติดตั้งและปฏิบัติการของระบบ สอดคล้องกับ พ.ร.บ. คุ้มครองข้อมูลส่วนบุคคล (PDPA), พ.ร.บ. จราจรทางบก และระเบียบความปลอดภัยในที่สาธารณะ โดยไม่ก่อให้เกิดความเสี่ยงต่อการถูกฟ้องร้องหรืออุบัติเหตุบนท้องถนนหรือไม่?</t>
        </is>
      </c>
      <c r="J6" s="24" t="inlineStr">
        <is>
          <t>อุปกรณ์สื่อสารไร้สายผ่านเกณฑ์รับรองมาตรฐานคลื่นความถี่ของ กสทช. และมีช่องทางหรือศักยภาพในการประสานงานเพื่อขออนุญาตเข้าใช้พื้นที่โครงสร้างพื้นฐานเมืองกับหน่วยงานรัฐอย่างเป็นทางการหรือไม่?</t>
        </is>
      </c>
      <c r="K6" s="24" t="inlineStr">
        <is>
          <t>ระบบสามารถสร้างหลักฐานดิจิทัลเชิงประจักษ์ (Digital Evidence Card / Audit Trail) เช่น ข้อมูลแนวโน้ม พิกัดเวลา และสถานะการทำงาน เพื่อสนับสนุนการปิดงานหรือตัดสินใจของเจ้าหน้าที่ตามระเบียบขั้นตอน (SOP) โดยไม่สร้างภาระงานซ้ำซ้อนหรือไม่?</t>
        </is>
      </c>
      <c r="L6" s="24" t="inlineStr">
        <is>
          <t>ขั้นตอนการติดตั้ง การบำรุงรักษา และการใช้งานโดยเจ้าหน้าที่หน้างาน มีความสะดวก ไม่สร้างภาระงานส่วนเกิน และสอดคล้องกับสภาพการทำงานจริงของบุคลากรภาคสนามหรือไม่?</t>
        </is>
      </c>
      <c r="M6" s="24" t="inlineStr">
        <is>
          <t>ขั้นตอนการติดตั้ง ตรวจสอบ และซ่อมบำรุงอุปกรณ์หน้างาน สามารถกระทำได้อย่างปลอดภัย โดยไม่ก่อให้เกิดความเสี่ยงต่อชีวิตของผู้พัฒนา เจ้าหน้าที่ หรือประชาชนผู้สัญจร (พื้นที่อับอากาศ กระแสน้ำเชี่ยว หรือผิวจราจรที่มีรถยนต์สัญจร) หรือไม่?</t>
        </is>
      </c>
      <c r="N6" s="24" t="inlineStr">
        <is>
          <t>แผนงานและการกระจายสถาปัตยกรรมระบบ มีเวลาสำรอง (Buffer Time 3-4 สัปดาห์) เพียงพอที่จะดูดซับช่วงสอบของมหาวิทยาลัยและภาระงานอื่น โดยโครงการไม่ล่าช้ากว่ากำหนดหรือไม่?</t>
        </is>
      </c>
      <c r="O6" s="24" t="inlineStr">
        <is>
          <t>ความก้าวหน้าของโครงการสามารถบรรลุการบูรณาการฮาร์ดแวร์และซอฟต์แวร์ให้ทำงานร่วมกันได้จริง (Working Prototype / PoC) ภายในสัปดาห์ที่ 9 ก่อนการประเมินหลักของภาคการศึกษาหรือไม่?</t>
        </is>
      </c>
      <c r="P6" s="24" t="inlineStr">
        <is>
          <t>ระยะเวลาในการสั่งซื้อและขนส่งชิ้นส่วน อุปกรณ์เซนเซอร์ และบอร์ดอิเล็กทรอนิกส์ทั้งหมด สอดคล้องกับกรอบเวลา โดยสามารถได้รับของครบถ้วนภายในไม่เกิน 14 วันทำการหรือไม่?</t>
        </is>
      </c>
      <c r="Q6" s="24" t="inlineStr">
        <is>
          <t>ระบบส่งเสริมการลดความสูญเสียต่อชีวิต ทรัพย์สิน และโครงสร้างพื้นฐานของเมืองจากภัยพิบัติหรือสภาพอากาศแปรปรวน (น้ำท่วมขังหรือความร้อนรุนแรง) สอดคล้องกับเป้าหมาย SDG 11.5 และ SDG 13.1 อย่างเป็นรูปธรรมหรือไม่?</t>
        </is>
      </c>
      <c r="R6" s="24" t="inlineStr">
        <is>
          <t>ชิ้นส่วน วัสดุ และอุปกรณ์ที่ติดตั้ง ไม่ก่อให้เกิดมลพิษทางสิ่งแวดล้อม ไม่เสี่ยงต่อการหลุดลอยกลายเป็นขยะอุดตันโครงสร้างพื้นฐานสาธารณะ ใช้วัสดุที่ทนทาน ปลอดสารพิษ และใช้น้ำ/พลังงานอย่างคุ้มค่า สอดคล้องกับ SDG 6.3 / 6.4 และ SDG 12.4 หรือไม่?</t>
        </is>
      </c>
      <c r="S6" s="24" t="inlineStr">
        <is>
          <t>ตรรกะการตัดสินใจ การคัดกรอง หรือการจัดสรรทรัพยากรของระบบ มีความโปร่งใส ตรวจสอบย้อนกลับได้ (Audit Trail) และให้บริการต่อประชาชนทุกกลุ่มอย่างเป็นธรรมโดยไม่เลือกปฏิบัติ สอดคล้องกับ SDG 10.2 และ SDG 16.6 หรือไม่?</t>
        </is>
      </c>
      <c r="T6" s="25" t="inlineStr">
        <is>
          <t>ประเมินคำถามทั้งสิ้น 18 ข้อ</t>
        </is>
      </c>
    </row>
    <row r="7" ht="95" customHeight="1">
      <c r="A7" s="21" t="inlineStr">
        <is>
          <t>เหตุผลในการถาม &amp; โหมดความล้มเหลวที่เฝ้าระวัง (Rationale)</t>
        </is>
      </c>
      <c r="B7" s="24" t="inlineStr">
        <is>
          <t>หากโครงสร้างบังคับใช้วิธีผลิตระดับอุตสาหกรรมหนักที่ทีมเข้าไม่ถึง โครงงานจะล้มเหลว และหากไม่ทนต่อสภาพอากาศกลางแจ้ง อุปกรณ์จะเสียหายก่อนส่งมอบงาน</t>
        </is>
      </c>
      <c r="C7" s="24" t="inlineStr">
        <is>
          <t>วงจรไฟฟ้าที่ขาดการป้องกันจะเสี่ยงต่อการลัดวงจรเมื่อเจอน้ำและความชื้น นอกจากนี้ อุปกรณ์ที่ต้องประมวลผลต่อเนื่องหรือจ่ายกระแสสูงกลางแจ้ง เสี่ยงต่อความร้อนสะสมจนชิปค้างหรือรีบูตตัวเองขณะปฏิบัติการ</t>
        </is>
      </c>
      <c r="D7" s="24" t="inlineStr">
        <is>
          <t>หัวใจของระบบอัตโนมัติคือการให้ผลการตัดสินใจที่ทันเวลาและถูกต้อง หากโมเดลซับซ้อนเกินไปจนรันไม่ทัน หรือขาดข้อมูลฝึกฝนจนผลลัพธ์เพี้ยน ระบบจะไม่สามารถสนับสนุนการทำงานจริงของเจ้าหน้าที่ได้</t>
        </is>
      </c>
      <c r="E7" s="24" t="inlineStr">
        <is>
          <t>สภาพแวดล้อมจริงในเขตเมืองเต็มไปด้วยสิ่งรบกวน หากไม่มีเกราะกำบังทางกายภาพและตัวกรองสัญญาณเชิงสถิติ ข้อมูลจะกระโดดไปมา นำไปสู่การตัดสินใจที่ผิดพลาดและสร้างความเสียหายต่อกระบวนการทำงาน</t>
        </is>
      </c>
      <c r="F7" s="24" t="inlineStr">
        <is>
          <t>โครงงานนักศึกษาไม่มีงบประมาณสนับสนุนขนาดใหญ่จากภายนอก หากสถาปัตยกรรมบังคับใช้อุปกรณ์เกรดอุตสาหกรรมนำเข้าราคาหลายหมื่นบาท จะทำให้โครงงานหยุดชะงักจากปัญหางบประมาณบานปลาย</t>
        </is>
      </c>
      <c r="G7" s="24" t="inlineStr">
        <is>
          <t>การทดสอบหน้างานมีความเสี่ยงสูงที่จะเกิดการลัดวงจร ตกกระแทก หรือน้ำเข้า หากไม่มีอะไหล่สำรอง เมื่อชิ้นส่วนเสียหายโครงการจะต้องหยุดรอการสั่งซื้อใหม่เป็นเวลาหลายสัปดาห์</t>
        </is>
      </c>
      <c r="H7" s="24" t="inlineStr">
        <is>
          <t>ระบบที่พัฒนาขึ้นต้องสร้างผลตอบแทนทางเศรษฐศาสตร์สาธารณะที่คุ้มค่า หากค่าใช้จ่ายในการบำรุงรักษาสูงกว่ามูลค่าทรัพยากรที่ประหยัดได้ ภาครัฐจะยกเลิกการใช้งานหลังสิ้นสุดการทดสอบ</t>
        </is>
      </c>
      <c r="I7" s="24" t="inlineStr">
        <is>
          <t>การทดสอบและติดตั้งอุปกรณ์ในพื้นที่สาธารณะของเมืองต้องเคารพกฎหมายสิทธิส่วนบุคคลและความปลอดภัยในการสัญจร หากละเมิดกฎหมาย โครงการจะถูกระงับการทำงานและถูกดำเนินคดีทันที</t>
        </is>
      </c>
      <c r="J7" s="24" t="inlineStr">
        <is>
          <t>การใช้คลื่นวิทยุที่ไม่ผ่านการรับรองถือเป็นความผิดทางอาญา และการเข้าถึงพื้นที่โครงสร้างพื้นฐานสาธารณะจำเป็นต้องมีหนังสือขออนุญาตและช่องทางประสานงานกับหน่วยงานท้องถิ่น</t>
        </is>
      </c>
      <c r="K7" s="24" t="inlineStr">
        <is>
          <t>เจ้าหน้าที่หน้างานมีระเบียบปฏิบัติราชการที่ต้องมีหลักฐานชัดเจนในการปิดงาน หากระบบส่งเฉพาะข้อความเตือนโดยไม่มีกราฟแนวโน้มและบันทึกเวลา เจ้าหน้าที่จะไม่สามารถนำไปใช้ปิดงานตามระเบียบได้</t>
        </is>
      </c>
      <c r="L7" s="24" t="inlineStr">
        <is>
          <t>หากระบบใช้งานยาก ต้องใช้เครื่องมือพิเศษหรือช่างเทคนิคขั้นสูงในการบำรุงรักษา ระบบจะถูกละเลยและกลายเป็นขยะอิเล็กทรอนิกส์ในเวลาไม่นาน</t>
        </is>
      </c>
      <c r="M7" s="24" t="inlineStr">
        <is>
          <t>ความปลอดภัยต่อชีวิตเป็นเรื่องสำคัญที่สุด การทำงานในพื้นที่อับอากาศที่มีก๊าซพิษสะสม ทางน้ำลึก หรือบนผิวทางสัญจรที่ไม่มีการกั้นพื้นที่ อาจนำไปสู่อุบัติเหตุร้ายแรงถึงแก่ชีวิต</t>
        </is>
      </c>
      <c r="N7" s="24" t="inlineStr">
        <is>
          <t>ตารางสอบกลางภาคและปลายภาคของมหาวิทยาลัยจะดึงเวลาของสมาชิกไปเต็มที่ 1-2 สัปดาห์ หากไม่มี Buffer Time โครงงานจะล้มเหลวด้านเวลาทันที</t>
        </is>
      </c>
      <c r="O7" s="24" t="inlineStr">
        <is>
          <t>สัปดาห์ที่ 9 เป็น Milestone สำคัญในการประเมินความก้าวหน้า หากฮาร์ดแวร์และซอฟต์แวร์ยังไม่สามารถเชื่อมต่อกันได้จริง โครงงานจะถูกจัดอยู่ในกลุ่มเสี่ยงสูง</t>
        </is>
      </c>
      <c r="P7" s="24" t="inlineStr">
        <is>
          <t>การรอคอยชิ้นส่วนเป็นคอขวดที่พบบ่อยที่สุดในโครงงานวิศวกรรม หากอุปกรณ์ต้องรอสั่งจากต่างประเทศนานเกินไป จะทำให้เวลาในการพัฒนาและการทดสอบจริงไม่เพียงพอ</t>
        </is>
      </c>
      <c r="Q7" s="24" t="inlineStr">
        <is>
          <t>โครงงานวิศวกรรมต้องตอบสนองต่อเป้าหมายการพัฒนาที่ยั่งยืนของสหประชาชาติ โดยเฉพาะการลดผลกระทบจากภัยพิบัติเมืองและการเปลี่ยนแปลงสภาพภูมิอากาศ</t>
        </is>
      </c>
      <c r="R7" s="24" t="inlineStr">
        <is>
          <t>อุปกรณ์ที่ติดตั้งในโครงสร้างพื้นฐานเมืองต้องไม่กลายเป็นสาเหตุของมลพิษ หรือหลุดลอยไปสร้างปัญหาการอุดตัน และต้องใช้ทรัพยากรอย่างมีประสิทธิภาพ</t>
        </is>
      </c>
      <c r="S7" s="24" t="inlineStr">
        <is>
          <t>ระบบสนับสนุนการตัดสินใจของรัฐต้องมีความเป็นธรรม ไม่เลือกปฏิบัติในการจัดสรรทรัพยากรและสามารถตรวจสอบความถูกต้องย้อนหลังได้ทุกขั้นตอน</t>
        </is>
      </c>
      <c r="T7" s="25" t="inlineStr">
        <is>
          <t>สังเคราะห์จาก AI Agents Group 2</t>
        </is>
      </c>
    </row>
    <row r="8" ht="150" customHeight="1">
      <c r="A8" s="21" t="inlineStr">
        <is>
          <t>เกณฑ์การให้คะแนน (Scoring Rubric Definition: ระดับ 1, 2, 3, 4, 5 ครบทุกระดับ)</t>
        </is>
      </c>
      <c r="B8" s="24" t="inlineStr">
        <is>
          <t>1: บังคับใช้กระบวนการผลิตระดับอุตสาหกรรมหนัก (เช่น หล่อโลหะ/กลึงชิ้นงานขนาดใหญ่) ที่ไม่มีสิทธิ์เข้าถึง และโครงสร้างพังทลายเมื่อสัมผัสน้ำหรือความชื้น (Fatal Flaw)
2: ต้องจ้างโรงกลึงภายนอกผลิตเกือบทั้งหมด เสี่ยงต่อความล่าช้าเกินงบประมาณ โครงสร้างทนสภาพแวดล้อมได้ไม่เกิน 7 วัน
3: ใช้โครงสร้าง 3D Print ทั่วไป (เช่น PLA) หรือประกอบมือโดยไม่มีการซีลป้องกัน ความแข็งแรงปานกลาง ต้องมีโครงกำบังภายนอกเพิ่มเติม
4: ผสมผสานชิ้นส่วน COTS ร่วมกับชิ้นงานที่ผลิตขึ้นรูปเองภายใน (เช่น PETG/ABS/โลหะแผ่น) มีการทดสอบความแข็งแรงและซีลกันละอองน้ำระดับ IP65
5: ใช้โครงสร้างและกล่องสำเร็จรูปมาตรฐานอุตสาหกรรม (IP67/IP68) พร้อมแคลมป์ยึดมาตรฐาน ทนแรงสั่นสะเทือนและสภาพแวดล้อมภายนอกได้เกิน 90 วันโดยไม่ต้องดัดแปลง</t>
        </is>
      </c>
      <c r="C8" s="24" t="inlineStr">
        <is>
          <t>1: วงจรไม่มีระบบป้องกันไฟกระชาก เกิดความร้อนสะสมจนชิปหยุดทำงาน หรือเกิดการลัดวงจรทันทีเมื่อมีความชื้น (Fatal Flaw)
2: อุปกรณ์ประมวลผลเกิดความร้อนสูงสะสมจนลดทอนความเร็ว สัญญาณแอนะล็อกถูกสัญญาณรบกวนจนอ่านค่าผิดพลาดเกิน 30%
3: ใช้วงจรประกอบมือบน Perfboard หรือสายไฟแบบ Dupont เสี่ยงต่อการหลวมหลุดเมื่อมีแรงสั่นสะเทือน แต่ยังทำงานได้
4: ใช้วงจรไมโครคอนโทรลเลอร์เชื่อมต่อผ่าน Screw Terminal Shield หรือ Custom PCB ขนาดเล็กที่มี Diode ป้องกันไฟย้อนและตัวเก็บประจุกรองสัญญาณรบกวน
5: สถาปัตยกรรมวงจรมาตรฐาน มีการแยกกราวและสัญญาณ (Optocoupler/Galvanic Isolation) มีการจัดการพลังงานแบบ Low-power Sleep Mode และกระจายความร้อนโดยไม่ใช้พัดลม</t>
        </is>
      </c>
      <c r="D8" s="24" t="inlineStr">
        <is>
          <t>1: โมเดลขาดข้อมูลฝึกฝนโดยสิ้นเชิง หรืออัลกอริทึมใช้เวลาประมวลผลนานกว่ากรอบเวลาตัดสินใจหน้างานจนระบบไร้ประโยชน์ (Fatal Flaw)
2: อัลกอริทึมมีความซับซ้อนสูงแต่ขาดการปรับเทียบ (Calibration) ทำให้ผลการตัดสินใจคลาดเคลื่อนบ่อยครั้ง
3: ใช้เกณฑ์แบบคงที่ (Static Threshold) ซึ่งปรับตัวตามสภาวะพลวัตของสภาพแวดล้อมจริงได้จำกัด แต่ประมวลผลได้เร็ว
4: ใช้อัลกอริทึมประมวลผลสัญญาณหรือโมเดลน้ำหนักเบา ให้ผลลัพธ์ที่แม่นยำและประมวลผลเสร็จสิ้นภายในไม่เกิน 5 วินาที
5: ใช้สมการฟิสิกส์เชิงวิเคราะห์ (Analytical Physics) หรือสมการอนุพันธ์แบบ Closed-form ประมวลผลเสร็จในระดับมิลลิวินาที (≤ 100 ms) บน Edge Node โดยตรง</t>
        </is>
      </c>
      <c r="E8" s="24" t="inlineStr">
        <is>
          <t>1: หัววัดล้มเหลวโดยสิ้นเชิงทันทีที่สัมผัสสภาพแวดล้อมจริง (เช่น คราบไขมันเคลือบมิดจนวัดค่าไม่ได้ หรือก๊าซกัดกร่อนละลายหัววัด / Fatal Flaw)
2: เกิด False Alarm สูงเกิน 40% เมื่อเจอกระแสลม คลื่นผิวน้ำ หรือไอน้ำ ต้องอาศัยมนุษย์คอยตรวจสอบซ้ำตลอดเวลา
3: สัญญาณแกว่งตัวเมื่อเจอสิ่งรบกวน ต้องกำหนดรอบการเข้าทำความสะอาดหัววัดบ่อยครั้ง (ทุก 3-5 วัน) เพื่อรักษาความแม่นยำ
4: มีโครงกำบังทางกายภาพ (Housing/Baffle) ร่วมกับอัลกอริทึมกรองสัญญาณเชิงสถิติ (Median/Moving Average Filter) ลด False Alarm เหลือ &lt; 10%
5: ออกแบบการตรวจวัดแบบไม่สัมผัสสิ่งรบกวน (Non-contact Sensing) ร่วมกับ Adaptive Filtering กำจัดสัญญาณกวนได้สมบูรณ์โดยไม่ต้องบำรุงรักษาหัววัดเกิน 60 วัน</t>
        </is>
      </c>
      <c r="F8" s="24" t="inlineStr">
        <is>
          <t>1: งบประมาณ BOM เกิน 15,000 บาท (เกินเพดาน 5,000 บาท ถึง 3 เท่าตัว โดยไม่มีแหล่งทุนรองรับ / Fatal Flaw)
2: งบประมาณ BOM อยู่ระหว่าง 8,000 - 15,000 บาท จำเป็นต้องยื่นขอทุนสนับสนุนภายนอกซึ่งมีความไม่แน่นอนสูง
3: งบประมาณ BOM อยู่ระหว่าง 5,000 - 8,000 บาท เกินงบประมาณเล็กน้อย ต้องตัดทอนความสามารถของฮาร์ดแวร์บางส่วนออก
4: งบประมาณ BOM อยู่ระหว่าง 3,500 - 5,000 บาท พอดีกับเพดานงบประมาณโครงงาน
5: งบประมาณ BOM ต่ำกว่า 3,500 บาท ใช้อุปกรณ์ COTS ราคาประหยัด ควบคุมต้นทุนได้อย่างเด็ดขาด</t>
        </is>
      </c>
      <c r="G8" s="24" t="inlineStr">
        <is>
          <t>1: จัดซื้ออุปกรณ์เพียง 1x BOM พอดีเป๊ะ ไม่มีงบสำรองอะไหล่เลย (0%) หากอุปกรณ์ช็อตหรือแตกหัก โครงการจะหยุดชะงักทันที (Fatal Flaw)
2: มีงบสำรองอะไหล่เพียง 10-20% ครอบคลุมเฉพาะอุปกรณ์พื้นฐานชิ้นเล็ก (สายไฟ, ขั้วต่อ)
3: มีงบสำรองอะไหล่ประมาณ 50% สามารถสำรองเซนเซอร์ได้บางตัว แต่ไม่มีบอร์ดประมวลผลสำรอง
4: มีงบสำรองอะไหล่ 80-100% สำหรับเซนเซอร์หลักและโมดูลควบคุมสำคัญ
5: มีงบสำรองจัดซื้ออุปกรณ์หลักครบ 2 ชุด (100% Duplication) ภายใต้กรอบงบประมาณรวมของโครงงาน</t>
        </is>
      </c>
      <c r="H8" s="24" t="inlineStr">
        <is>
          <t>1: ค่าบำรุงรักษาระบบ (OpEx) แพงกว่ามูลค่าทรัพยากรที่ประหยัดได้ หรือไม่ก่อให้เกิดการประหยัดทรัพยากรใด ๆ เมื่อเทียบกับการไม่ทำอะไรเลย (Fatal Flaw)
2: ประหยัดทรัพยากรได้น้อยมาก มีจุดคุ้มทุนยาวนานเกินกว่า 3 ปี ไม่ดึงดูดใจเชิงนโยบาย
3: คืนทุนได้ในระยะ 1-2 ปี การประหยัดทรัพยากรแปรผันตามฤดูกาลอย่างมีนัยสำคัญ
4: ประหยัดทรัพยากร ค่าน้ำมัน และกำลังพลได้อย่างชัดเจน มีจุดคุ้มทุนภายในระยะเวลา 1 ปีแรกของการใช้งาน
5: ลดการสูญเปล่าของงบประมาณและกำลังพลได้มากกว่า 30-50% ระบบกินพลังงานต่ำมาก คืนทุนได้ภายในรอบฤดูกาลเดียว</t>
        </is>
      </c>
      <c r="I8" s="24" t="inlineStr">
        <is>
          <t>1: มีการบันทึกภาพใบหน้าหรือป้ายทะเบียนรถในที่สาธารณะโดยผิดกฎหมาย PDPA หรือติดตั้งขวางช่องทางจราจรเสี่ยงต่ออุบัติเหตุร้ายแรง (Fatal Flaw)
2: สุ่มเสี่ยงต่อการละเมิดกฎหมาย ต้องมีขั้นตอนทางเทคนิคที่ซับซ้อนเพื่อเลี่ยงข้อบังคับและยังไม่มีเอกสารยินยอม
3: ปฏิบัติตามกฎหมายได้บางส่วน แต่ต้องรอการอนุมัติข้อยกเว้นเป็นลายลักษณ์อักษรจากหน่วยงานกำกับดูแล
4: ปฏิบัติตามกฎหมายถูกต้อง มีการเข้ารหัสข้อมูล ไม่มีการจัดเก็บข้อมูลส่วนบุคคล (No PII) และมีมาตรการความปลอดภัยบนผิวทาง
5: ปลอดจากการละเมิดกฎหมาย 100% ไม่ใช้กล้องถ่ายภาพบุคคล (Zero PII) และติดตั้งในจุดปลอดภัยตามมาตรฐานวิศวกรรมสาธารณะ</t>
        </is>
      </c>
      <c r="J8" s="24" t="inlineStr">
        <is>
          <t>1: ใช้อุปกรณ์ส่งสัญญาณคลื่นความถี่เถื่อนที่ไม่ได้รับอนุญาต และไม่มีช่องทางติดต่อประสานงานกับหน่วยงานรัฐอย่างสิ้นเชิง (Fatal Flaw)
2: โมดูลสื่อสารผ่านเกณฑ์ แต่ทีมงานขาดช่องทางติดต่อ ทำให้ขั้นตอนการขออนุญาตหน้างานมีความล่าช้าเกิน 2 เดือน
3: ใช้โมดูลที่ถูกต้องตามกฎหมาย และอยู่ระหว่างรอการออกหนังสือประสานงานอย่างเป็นทางการจากมหาวิทยาลัย
4: อุปกรณ์สื่อสารผ่านการรับรองมาตรฐาน และสามารถสื่อสาร ประสานงาน และยื่นเอกสารทางราชการเพื่อขอพื้นที่ทดสอบได้อย่างราบรื่น
5: อุปกรณ์ผ่านการรับรองมาตรฐาน 100% และมีเครือข่ายความร่วมมือหรือหนังสืออนุญาตให้ทดสอบในพื้นที่จริงจากหน่วยงานกำกับดูแล</t>
        </is>
      </c>
      <c r="K8" s="24" t="inlineStr">
        <is>
          <t>1: ระบบไม่สามารถสร้างหลักฐานใด ๆ ได้ บังคับให้เจ้าหน้าที่ต้องลงพื้นที่ไปตรวจสอบซ้ำซ้อน 100% เพื่อถ่ายรูปปิดงานตามระเบียบ (Fatal Flaw)
2: แสดงผลได้เฉพาะตัวเลขดิบที่ยากต่อการแปลผล เจ้าหน้าที่ไม่สามารถนำไปใช้เป็นหลักฐานปิดงานได้
3: สร้างรายงานสรุปได้ แต่เจ้าหน้าที่ยังต้องกรอกข้อมูลและแนบรูปถ่ายยืนยันด้วยตนเองเพิ่มเติม
4: สร้างบัตรหลักฐานดิจิทัล (Digital Evidence Card) ที่แสดงผลชัดเจน อ่านเข้าใจง่ายใน 5 วินาที พร้อมแนบในระบบรายงานผลได้ทันที
5: มีระบบบันทึก Audit Trail อัตโนมัติ พร้อมส่งออกรายงานหรือเชื่อมโยง API เข้าสู่ระบบรายงานผลของหน่วยงาน (เช่น Traffy Fondue) ได้อย่างสมบูรณ์</t>
        </is>
      </c>
      <c r="L8" s="24" t="inlineStr">
        <is>
          <t>1: ใช้งานยากมาก ต้องใช้วิศวกรหรือผู้เชี่ยวชาญควบคุมตลอดเวลา เจ้าหน้าที่หน้างานปฏิเสธการใช้งานและต่อต้านระบบ (Fatal Flaw)
2: มีขั้นตอนการปรับเทียบ (Calibration) และบำรุงรักษาที่ยุ่งยากเกินกว่า 30 นาทีต่อครั้ง
3: เจ้าหน้าที่ต้องผ่านการฝึกอบรม 1-2 วัน จึงจะสามารถใช้งานและดูแลรักษาได้อย่างถูกต้อง
4: ใช้งานง่าย มีคู่มือปฏิบัติงานภาคสนามชัดเจน สามารถบำรุงรักษาได้ด้วยเครื่องมือช่างทั่วไป
5: ออกแบบตามหลักสรีรศาสตร์และ UX หน้างาน กดปุ่มเดียวทำงานอัตโนมัติ (Plug-and-Play) เจ้าหน้าที่ใช้งานได้ทันทีโดยไม่ต้องผ่านการอบรมที่ซับซ้อน</t>
        </is>
      </c>
      <c r="M8" s="24" t="inlineStr">
        <is>
          <t>1: บังคับให้คนต้องมุดลงในพื้นที่อับอากาศที่มีก๊าซพิษสะสม (Confined Space) หรือลงไปปฏิบัติงานในจุดเสี่ยงอันตรายถึงชีวิต (กระแสน้ำเชี่ยวลึก หรือผิวจราจรความเร็วสูง) โดยไม่มีอุปกรณ์นิรภัยมาตรฐาน (Fatal Flaw)
2: หน้างานมีความเสี่ยงสูง ต้องใช้อุปกรณ์ป้องกันภัยส่วนบุคคล (PPE) ขั้นสูงสุดและต้องมีเจ้าหน้าที่กำกับดูแลความปลอดภัยตลอดเวลา
3: มีความปลอดภัยปานกลาง ปฏิบัติงานได้เฉพาะจุดที่มีแนวกั้นชัดเจนหรือบนทางเท้า/ผิวทางที่มีการปิดกั้นพื้นที่สัญจร
4: มีความปลอดภัยสูง ออกแบบให้ติดตั้งและบำรุงรักษาจากบนผิวทางเท้าหรือจุดปลอดภัย โดยไม่มีการให้บุคลากรลงไปในจุดอันตราย
5: ปลอดภัย 100% ออกแบบให้ติดตั้ง บำรุงรักษา และทดสอบจากระยะไกล มีระบบตัดการทำงานฉุกเฉิน และปลอดจากจุดเสี่ยงอันตรายต่อชีวิตทุกประการ</t>
        </is>
      </c>
      <c r="N8" s="24" t="inlineStr">
        <is>
          <t>1: แผนงานเป็นเส้นตรงที่ขึ้นต่อกันทั้งหมด (Linear Dependency) หากติดช่วงสอบ 1-2 สัปดาห์ โครงการจะล้มเหลวด้านเวลาทันที (Fatal Flaw)
2: มีเวลาสำรองเพียง 3-5 วัน มีความเสี่ยงสูงมากที่จะส่งมอบงานล่าช้าเมื่อสมาชิกติดภารกิจการเรียน
3: มีเวลาสำรอง 1-2 สัปดาห์ เลื่อนงานได้บางส่วนแต่ต้องเร่งงานหนักมากหลังสอบ
4: มี Buffer Time 3-4 สัปดาห์ชัดเจน และสถาปัตยกรรมฮาร์ดแวร์-ซอฟต์แวร์แยกจากกัน ทำให้ทำงานคู่ขนานได้
5: สถาปัตยกรรมระบบเป็นอิสระต่อกันสูง ระบบหลักเสร็จสมบูรณ์ตั้งแต่ก่อนสัปดาห์สอบ มีเวลาทดสอบรวมมากกว่า 4 สัปดาห์</t>
        </is>
      </c>
      <c r="O8" s="24" t="inlineStr">
        <is>
          <t>1: มีความเสี่ยงสูงมากที่จะไม่มีระบบหรืออุปกรณ์ใด ๆ ทำงานได้จริงในสัปดาห์ที่ 9 (Fatal Flaw)
2: ภายในสัปดาห์ที่ 9 ได้เพียงการทดลองชิ้นส่วนแยกกันบนโต๊ะทดลอง ยังไม่สามารถรวมการทำงานระหว่างฮาร์ดแวร์และซอฟต์แวร์ได้
3: ระบบทำงานร่วมกันได้บนโต๊ะทดลอง แต่ยังไม่พร้อมสำหรับการทดสอบในสภาวะจำลองหน้างาน
4: มีต้นแบบฮาร์ดแวร์และซอฟต์แวร์ที่ผสานการทำงานอย่างสมบูรณ์ พร้อมทดสอบในสภาวะจำลองหน้างานได้ภายในสัปดาห์ที่ 9
5: ต้นแบบเสร็จสมบูรณ์ 100% และผ่านการทดสอบทำงานจริงได้เรียบร้อยแล้วตั้งแต่ก่อนสัปดาห์ที่ 9</t>
        </is>
      </c>
      <c r="P8" s="24" t="inlineStr">
        <is>
          <t>1: ต้องสั่งซื้อชิ้นส่วนสั่งทำพิเศษจากต่างประเทศที่ใช้เวลาส่งเกินกว่า 4-6 สัปดาห์ เสี่ยงต่อการไม่มีอุปกรณ์ทำโครงงาน (Fatal Flaw)
2: มีชิ้นส่วนหลักบางรายการที่ต้องรอของ 3-4 สัปดาห์ ทำให้การเริ่มประกอบฮาร์ดแวร์ล่าช้า
3: ชิ้นส่วนทั้งหมดใช้เวลาจัดส่ง 2-3 สัปดาห์ ต้องสั่งซื้อตั้งแต่วันแรกของโครงการจึงจะทันกำหนด
4: ชิ้นส่วนเกือบทั้งหมดจัดซื้อได้จากตัวแทนจำหน่ายในประเทศ ได้รับของภายใน 7-10 วัน
5: ชิ้นส่วนทั้งหมด 100% มีจำหน่ายในประเทศและสามารถจัดส่งถึงมือได้ภายใน 2-4 วันทำการ</t>
        </is>
      </c>
      <c r="Q8" s="24" t="inlineStr">
        <is>
          <t>1: โครงการไม่มีส่วนเกี่ยวข้อง หรืออาจส่งผลกระทบเชิงลบต่อโครงสร้างพื้นฐานและความปลอดภัยของเมือง (Fatal Flaw)
2: สนับสนุนความยั่งยืนทางอ้อมอย่างผิวเผิน แต่ไม่มีตัวชี้วัดผลกระทบเชิงปริมาณที่ชัดเจน
3: ส่งเสริมการลดผลกระทบได้บางส่วน แต่จำกัดขอบเขตอยู่เฉพาะจุดทดลองขนาดเล็ก
4: สอดคล้องกับ SDG 11.5 และ SDG 13.1 ชัดเจน ช่วยลดระยะเวลาและผลกระทบของปัญหาบนถนนสายหลักและพื้นที่ชุมชน
5: สอดคล้องกับเป้าหมายอย่างเป็นรูปธรรม มีแบบจำลองแสดงการลดความสูญเสียทางเศรษฐกิจและความปลอดภัยของประชาชนในเมืองได้อย่างยั่งยืน</t>
        </is>
      </c>
      <c r="R8" s="24" t="inlineStr">
        <is>
          <t>1: อุปกรณ์มีความเสี่ยงสูงที่จะหลุดลอยกลายเป็นขยะอุดตัน หรือปล่อยสารเคมี/โลหะหนักลงสู่สิ่งแวดล้อมสาธารณะ หรือใช้น้ำสิ้นเปลืองรุนแรง (Fatal Flaw)
2: ใช้วัสดุที่เสื่อมสภาพและแตกหักง่าย เสี่ยงต่อการตกค้างในสภาพแวดล้อมหากเจอสภาวะแวดล้อมรุนแรง
3: โครงสร้างแข็งแรงปานกลาง มีโอกาสหลุดลอยหากเจอพายุรุนแรง ต้องมีรอบการตรวจเช็กความแน่นหนาสม่ำเสมอ
4: ใช้วัสดุที่ไม่เป็นพิษต่อสิ่งแวดล้อม มีจุดยึดจับที่แน่นหนา ปลอดภัยต่อระบบสาธารณะ และควบคุมการใช้ทรัพยากรได้ดี
5: ปลอดภัยต่อระบบนิเวศ 100% ไม่มีส่วนประกอบที่หลุดลอยเป็นขยะ มีระบบสลิงนิรภัยสองชั้น (Dual Lanyard) และผ่านการรับรองความปลอดภัยของวัสดุ</t>
        </is>
      </c>
      <c r="S8" s="24" t="inlineStr">
        <is>
          <t>1: ตรรกะของระบบเป็นกล่องดำ (Black Box) ไม่สามารถอธิบายเหตุผลได้ หรือมีอคติเลือกปฏิบัติตัดความช่วยเหลือชุมชนเปราะบาง (Fatal Flaw)
2: เกณฑ์การตัดสินใจไม่ชัดเจน อาจนำไปสู่ความเหลื่อมล้ำในการให้บริการของภาครัฐโดยไม่ตั้งใจ
3: ตรรกะตรวจสอบได้บางส่วน แต่ยังไม่มีกระบวนการอุทธรณ์หรือทบทวนความถูกต้องโดยมนุษย์
4: ตรรกะโปร่งใส ตัดสินใจตามเกณฑ์ข้อมูลเชิงประจักษ์อย่างเสมอภาค ให้ความช่วยเหลือตามระดับความจำเป็นจริง
5: โปร่งใส 100% มี Audit Trail บันทึกทุกประวัติการตัดสินใจ ตรวจสอบย้อนหลังได้ทุกกรณี เสริมสร้างธรรมาภิบาลและความเชื่อมั่นของประชาชน</t>
        </is>
      </c>
      <c r="T8" s="25" t="inlineStr">
        <is>
          <t>เกณฑ์รวม: &gt;=80 ผ่านสูง, &gt;=60 มีเงื่อนไข, &lt;60 เสี่ยงสูง | หากมีข้อใดได้ 1 = VETOED ตกเกณฑ์ทันที</t>
        </is>
      </c>
    </row>
    <row r="9" ht="36" customHeight="1">
      <c r="A9" s="26" t="inlineStr">
        <is>
          <t>คะแนนที่ได้รับ (ASSIGNED SCORE: 1, 2, 3, 4, 5 STRICT INTEGER)</t>
        </is>
      </c>
      <c r="B9" s="27" t="n">
        <v>4</v>
      </c>
      <c r="C9" s="27" t="n">
        <v>4</v>
      </c>
      <c r="D9" s="27" t="n">
        <v>4</v>
      </c>
      <c r="E9" s="27" t="n">
        <v>3</v>
      </c>
      <c r="F9" s="27" t="n">
        <v>3</v>
      </c>
      <c r="G9" s="27" t="n">
        <v>4</v>
      </c>
      <c r="H9" s="27" t="n">
        <v>4</v>
      </c>
      <c r="I9" s="27" t="n">
        <v>3</v>
      </c>
      <c r="J9" s="27" t="n">
        <v>4</v>
      </c>
      <c r="K9" s="27" t="n">
        <v>4</v>
      </c>
      <c r="L9" s="27" t="n">
        <v>4</v>
      </c>
      <c r="M9" s="27" t="n">
        <v>3</v>
      </c>
      <c r="N9" s="27" t="n">
        <v>4</v>
      </c>
      <c r="O9" s="27" t="n">
        <v>4</v>
      </c>
      <c r="P9" s="27" t="n">
        <v>4</v>
      </c>
      <c r="Q9" s="27" t="n">
        <v>5</v>
      </c>
      <c r="R9" s="27" t="n">
        <v>4</v>
      </c>
      <c r="S9" s="27" t="n">
        <v>5</v>
      </c>
      <c r="T9" s="28">
        <f>IF(T10&gt;0, (T11/T10)*20, 0)</f>
        <v/>
      </c>
    </row>
    <row r="10" ht="22" customHeight="1">
      <c r="A10" s="21" t="inlineStr">
        <is>
          <t>ค่าน้ำหนัก (Weight %)</t>
        </is>
      </c>
      <c r="B10" s="29" t="n">
        <v>0.05</v>
      </c>
      <c r="C10" s="29" t="n">
        <v>0.05</v>
      </c>
      <c r="D10" s="29" t="n">
        <v>0.05</v>
      </c>
      <c r="E10" s="29" t="n">
        <v>0.05</v>
      </c>
      <c r="F10" s="29" t="n">
        <v>0.0667</v>
      </c>
      <c r="G10" s="29" t="n">
        <v>0.0667</v>
      </c>
      <c r="H10" s="29" t="n">
        <v>0.0667</v>
      </c>
      <c r="I10" s="29" t="n">
        <v>0.075</v>
      </c>
      <c r="J10" s="29" t="n">
        <v>0.075</v>
      </c>
      <c r="K10" s="29" t="n">
        <v>0.0667</v>
      </c>
      <c r="L10" s="29" t="n">
        <v>0.0667</v>
      </c>
      <c r="M10" s="29" t="n">
        <v>0.0667</v>
      </c>
      <c r="N10" s="29" t="n">
        <v>0.05</v>
      </c>
      <c r="O10" s="29" t="n">
        <v>0.05</v>
      </c>
      <c r="P10" s="29" t="n">
        <v>0.05</v>
      </c>
      <c r="Q10" s="29" t="n">
        <v>0.0333</v>
      </c>
      <c r="R10" s="29" t="n">
        <v>0.0333</v>
      </c>
      <c r="S10" s="29" t="n">
        <v>0.0333</v>
      </c>
      <c r="T10" s="29">
        <f>SUM(B10:S10)</f>
        <v/>
      </c>
    </row>
    <row r="11" ht="24" customHeight="1">
      <c r="A11" s="21" t="inlineStr">
        <is>
          <t>คะแนนถ่วงน้ำหนัก (=Score * Weight)</t>
        </is>
      </c>
      <c r="B11" s="30">
        <f>B9*B10</f>
        <v/>
      </c>
      <c r="C11" s="30">
        <f>C9*C10</f>
        <v/>
      </c>
      <c r="D11" s="30">
        <f>D9*D10</f>
        <v/>
      </c>
      <c r="E11" s="30">
        <f>E9*E10</f>
        <v/>
      </c>
      <c r="F11" s="30">
        <f>F9*F10</f>
        <v/>
      </c>
      <c r="G11" s="30">
        <f>G9*G10</f>
        <v/>
      </c>
      <c r="H11" s="30">
        <f>H9*H10</f>
        <v/>
      </c>
      <c r="I11" s="30">
        <f>I9*I10</f>
        <v/>
      </c>
      <c r="J11" s="30">
        <f>J9*J10</f>
        <v/>
      </c>
      <c r="K11" s="30">
        <f>K9*K10</f>
        <v/>
      </c>
      <c r="L11" s="30">
        <f>L9*L10</f>
        <v/>
      </c>
      <c r="M11" s="30">
        <f>M9*M10</f>
        <v/>
      </c>
      <c r="N11" s="30">
        <f>N9*N10</f>
        <v/>
      </c>
      <c r="O11" s="30">
        <f>O9*O10</f>
        <v/>
      </c>
      <c r="P11" s="30">
        <f>P9*P10</f>
        <v/>
      </c>
      <c r="Q11" s="30">
        <f>Q9*Q10</f>
        <v/>
      </c>
      <c r="R11" s="30">
        <f>R9*R10</f>
        <v/>
      </c>
      <c r="S11" s="30">
        <f>S9*S10</f>
        <v/>
      </c>
      <c r="T11" s="30">
        <f>SUM(B11:S11)</f>
        <v/>
      </c>
    </row>
    <row r="12" ht="115" customHeight="1">
      <c r="A12" s="21" t="inlineStr">
        <is>
          <t>คำอธิบาย &amp; หลักฐานอ้างอิงจากไฟล์ Intake (Evidence Citation)</t>
        </is>
      </c>
      <c r="B12" s="24" t="inlineStr">
        <is>
          <t>โครงสร้างคานยึดหัวฉีดพ่นละอองน้ำ (Spray Boom) ผลิตด้วยโลหะแผ่นและอะลูมิเนียมโปรไฟล์ ออกแบบโดย Fifa ยึดติดท้ายรถทดสอบอย่างมั่นคง</t>
        </is>
      </c>
      <c r="C12" s="24" t="inlineStr">
        <is>
          <t>วงจรขับปั๊มแรงดันสูงและวาล์วโซลินอยด์ PWM มี Diode Flyback และ Optocoupler ป้องกันกระแสไฟกระชากเข้าไมโครคอนโทรลเลอร์ ESP32 ของ Due</t>
        </is>
      </c>
      <c r="D12" s="24" t="inlineStr">
        <is>
          <t>อัลกอริทึม Closed-loop Thermal Dosing คำนวณความเร็วรถและอุณหภูมิผิวทาง ประมวลผลเสร็จในระดับมิลลิวินาที</t>
        </is>
      </c>
      <c r="E12" s="24" t="inlineStr">
        <is>
          <t>อ้างอิง solution-5_uhi_latent_heat.md Constraints a: เซนเซอร์วัดอุณหภูมิอินฟราเรด (IR Pyrometer) เจอปัญหา Emissivity ผิวแอสฟัลต์เปลี่ยนตามความชื้น และไอร้อนจากท่อไอเสียรบกวน ต้องทำ Calibration บ่อยครั้ง ได้คะแนนระดับ 3</t>
        </is>
      </c>
      <c r="F12" s="24" t="inlineStr">
        <is>
          <t>อ้างอิง solution-5_uhi_latent_heat.md BOM: ปั๊มไดอะแฟรมแรงดันสูง, วาล์วโซลินอยด์ PWM, หัวฉีดไมครอน และ IR เซนเซอร์ มีต้นทุน 4,500 - 5,000 บาท ตึงตัวต่อเพดานงบประมาณ ได้คะแนนระดับ 3</t>
        </is>
      </c>
      <c r="G12" s="24" t="inlineStr">
        <is>
          <t>มีงบสำรองจัดซื้อหัวฉีดพ่นละอองน้ำสำรองและข้อต่อสวมเร็ว 80%</t>
        </is>
      </c>
      <c r="H12" s="24" t="inlineStr">
        <is>
          <t>ลดอุณหภูมิผิวทางได้ 5-10°C ชะลอการเสื่อมสภาพของผิวถนนและลดปรากฏการณ์เกาะความร้อนเมือง คืนทุนใน 1 ปี</t>
        </is>
      </c>
      <c r="I12" s="24" t="inlineStr">
        <is>
          <t>อ้างอิง solution-5_uhi_latent_heat.md Constraints c: การฉีดพ่นละอองน้ำบนถนนสาธารณะต้องปฏิบัติตาม พ.ร.บ. จราจรทางบก อย่างเคร่งครัดเพื่อป้องกันละอองน้ำบดบังทัศนวิสัยหรือทำให้ผิวทางลื่นไถล ได้คะแนนระดับ 3</t>
        </is>
      </c>
      <c r="J12" s="24" t="inlineStr">
        <is>
          <t>ต้องทำหนังสือขออนุญาตทดสอบยานพาหนะพ่นน้ำบนถนนสาธารณะกับสำนักการโยธาและสถานีตำรวจท้องที่</t>
        </is>
      </c>
      <c r="K12" s="24" t="inlineStr">
        <is>
          <t>ระบบ Telemetry บันทึกปริมาณน้ำที่ฉีด, อุณหภูมิผิวทางก่อน-หลังฉีด, และพิกัด GPS เป็น Digital Evidence Card</t>
        </is>
      </c>
      <c r="L12" s="24" t="inlineStr">
        <is>
          <t>ติดตั้งบนรถกระบะหรือรถบริการสาธารณะ กดสวิตช์เริ่มระบบอัตโนมัติ ผู้ขับขี่ไม่ต้องควบคุมหัวฉีดเอง</t>
        </is>
      </c>
      <c r="M12" s="24" t="inlineStr">
        <is>
          <t>อ้างอิง solution-5_uhi_latent_heat.md Constraints d: การทดสอบอุปกรณ์บนผิวจราจรจริงมีความเสี่ยงจากยานพาหนะคันอื่นร่วมทาง ต้องมีไฟสัญญาณเตือนและขับขี่ด้วยความเร็วต่ำ ได้คะแนนระดับ 3</t>
        </is>
      </c>
      <c r="N12" s="24" t="inlineStr">
        <is>
          <t>แผนงานมี Buffer Time 3 สัปดาห์ สถาปัตยกรรมระบบกลไกท่อและระบบควบคุมไฟฟ้าแยกส่วนกัน</t>
        </is>
      </c>
      <c r="O12" s="24" t="inlineStr">
        <is>
          <t>ชุดต้นแบบฉีดพ่นละอองน้ำและอัลกอริทึมชดเชยความเร็วประกอบและทดสอบบนแท่นทดลองเสร็จก่อนสัปดาห์ที่ 9</t>
        </is>
      </c>
      <c r="P12" s="24" t="inlineStr">
        <is>
          <t>ปั๊มน้ำแรงดันสูง 12V และหัวฉีดพ่นหมอก COTS สั่งซื้อจากตัวแทนในประเทศ ได้รับของใน 5-7 วัน</t>
        </is>
      </c>
      <c r="Q12" s="24" t="inlineStr">
        <is>
          <t>บรรเทาผลกระทบจากภัยพิบัติคลื่นความร้อนในเมือง (SDG 11.5 / 13.1) ลดการเจ็บป่วยจากโรคลมแดด (Heat Stroke)</t>
        </is>
      </c>
      <c r="R12" s="24" t="inlineStr">
        <is>
          <t>ควบคุมการฉีดพ่นระดับ Micro-dosing (0.2-0.4 mm) ดึงความร้อนแฝงเต็มประสิทธิภาพโดยไม่ทำให้เกิดน้ำท่วมขังหรือสิ้นเปลืองน้ำ สอดคล้องกับ SDG 6.4 และ 12.4</t>
        </is>
      </c>
      <c r="S12" s="24" t="inlineStr">
        <is>
          <t>ตรรกะการฉีดพ่นควบคุมด้วยอุณหภูมิจริงตามหลักอุณหพลศาสตร์ โปร่งใส ตรวจสอบย้อนหลังได้ทุกพิกัด สอดคล้องกับ SDG 10.2 และ 16.6</t>
        </is>
      </c>
      <c r="T12" s="31">
        <f>IF(MIN(B9:S9)=1, "VETOED / ตกเกณฑ์ข้อบังคับวิกฤต (คะแนนระดับ 1)", IF(T9&gt;=80, "ผ่านเกณฑ์ระดับสูง (HIGHLY VIABLE)", IF(T9&gt;=60, "ผ่านแบบมีเงื่อนไข (CONDITIONALLY VIABLE)", "ความเสี่ยงสูง (HIGH RISK)")))</f>
        <v/>
      </c>
    </row>
    <row r="13" ht="70" customHeight="1">
      <c r="A13" s="21" t="inlineStr">
        <is>
          <t>แผนลดขอบเขตงาน &amp; มาตรการลดความเสี่ยง (De-scoping Action)</t>
        </is>
      </c>
      <c r="B13" s="24" t="inlineStr">
        <is>
          <t>ใช้อะลูมิเนียมโปรไฟล์ COTS สำหรับประกอบโครงคานหัวฉีด</t>
        </is>
      </c>
      <c r="C13" s="24" t="inlineStr">
        <is>
          <t>ใช้บอร์ด Relay โมดูล COTS ขับปั๊มน้ำ</t>
        </is>
      </c>
      <c r="D13" s="24" t="inlineStr">
        <is>
          <t>ใช้ตาราง Lookup Table แทนการคำนวณสมการเทอร์โมไดนามิกส์เต็มรูปแบบ</t>
        </is>
      </c>
      <c r="E13" s="24" t="inlineStr">
        <is>
          <t>ติดตั้งท่อบังลมและกรองแสงรบกวนให้กับหัววัดอินฟราเรด</t>
        </is>
      </c>
      <c r="F13" s="24" t="inlineStr">
        <is>
          <t>ใช้ปั๊มน้ำแรงดันคงที่และควบคุมการจ่ายน้ำด้วยวาล์วโซลินอยด์ราคาประหยัด</t>
        </is>
      </c>
      <c r="G13" s="24" t="inlineStr">
        <is>
          <t>สำรองเฉพาะหัวฉีดไมครอน 3 หัว</t>
        </is>
      </c>
      <c r="H13" s="24" t="inlineStr">
        <is>
          <t>เก็บบันทึกข้อมูลเปรียบเทียบอุณหภูมิถนนก่อนและหลังพ่นน้ำ</t>
        </is>
      </c>
      <c r="I13" s="24" t="inlineStr">
        <is>
          <t>ทดสอบเฉพาะในลานจอดรถของมหาวิทยาลัยก่อนลงถนนจริง</t>
        </is>
      </c>
      <c r="J13" s="24" t="inlineStr">
        <is>
          <t>ขอหนังสืออนุญาตทดสอบในพื้นที่ปิดของมหาวิทยาลัย</t>
        </is>
      </c>
      <c r="K13" s="24" t="inlineStr">
        <is>
          <t>บันทึกข้อมูลอุณหภูมิลงในการ์ด SD เป็นไฟล์ CSV</t>
        </is>
      </c>
      <c r="L13" s="24" t="inlineStr">
        <is>
          <t>ออกแบบสวิตช์เปิด-ปิดแบบกล่องควบคุมข้างคนขับ</t>
        </is>
      </c>
      <c r="M13" s="24" t="inlineStr">
        <is>
          <t>ติดธงส้มและไฟเตือนสีเหลืองท้ายรถทดสอบทุกครั้ง</t>
        </is>
      </c>
      <c r="N13" s="24" t="inlineStr">
        <is>
          <t>ทดสอบการพ่นละอองน้ำแบบอยู่กับที่ก่อนนำไปติดบนรถ</t>
        </is>
      </c>
      <c r="O13" s="24" t="inlineStr">
        <is>
          <t>ล็อกขนาดหัวฉีดพ่นน้ำในสัปดาห์ที่ 7</t>
        </is>
      </c>
      <c r="P13" s="24" t="inlineStr">
        <is>
          <t>สั่งซื้อปั๊มและหัวฉีดล่วงหน้าจากผู้จำหน่ายในประเทศ</t>
        </is>
      </c>
      <c r="Q13" s="24" t="inlineStr">
        <is>
          <t>วัดค่าอุณหภูมิที่ลดลงเพื่อยืนยันการลดเกาะความร้อน</t>
        </is>
      </c>
      <c r="R13" s="24" t="inlineStr">
        <is>
          <t>ใช้น้ำรีไซเคิลหรือน้ำฝนที่ผ่านการกรองแล้ว</t>
        </is>
      </c>
      <c r="S13" s="24" t="inlineStr">
        <is>
          <t>รายงานผลการทดสอบอย่างโปร่งใสในเอกสารโครงงาน</t>
        </is>
      </c>
      <c r="T13" s="23" t="inlineStr">
        <is>
          <t>ปฏิบัติตามแผนลดขอบเขตงาน (De-scoping Advisory)</t>
        </is>
      </c>
    </row>
    <row r="14" ht="15" customHeight="1"/>
    <row r="15" ht="26" customHeight="1">
      <c r="A15" s="17" t="inlineStr">
        <is>
          <t>ตารางสรุปคะแนนแยกตามมิติ TELOS+S (Pillar Score Breakdown)</t>
        </is>
      </c>
    </row>
    <row r="16" ht="24" customHeight="1">
      <c r="A16" s="32" t="inlineStr">
        <is>
          <t>มิติการประเมิน (TELOS+S Pillar)</t>
        </is>
      </c>
      <c r="B16" s="32" t="inlineStr">
        <is>
          <t>สัดส่วนน้ำหนัก (Weight %)</t>
        </is>
      </c>
      <c r="C16" s="32" t="inlineStr">
        <is>
          <t>คะแนนเต็มมิติ (Max Points)</t>
        </is>
      </c>
      <c r="D16" s="32" t="inlineStr">
        <is>
          <t>คะแนนที่ได้รับจริง (Earned Points)</t>
        </is>
      </c>
      <c r="E16" s="32" t="inlineStr">
        <is>
          <t>คะแนนเฉลี่ย (Score 1-5)</t>
        </is>
      </c>
      <c r="F16" s="32" t="inlineStr">
        <is>
          <t>ระดับความพร้อม (Readiness Level)</t>
        </is>
      </c>
    </row>
    <row r="17" ht="22" customHeight="1">
      <c r="A17" s="33" t="inlineStr">
        <is>
          <t>T : ด้านเทคโนโลยีและวิศวกรรม (Technical)</t>
        </is>
      </c>
      <c r="B17" s="34" t="n">
        <v>0.2</v>
      </c>
      <c r="C17" s="35" t="n">
        <v>20</v>
      </c>
      <c r="D17" s="36">
        <f>SUM(B11:E11)*20</f>
        <v/>
      </c>
      <c r="E17" s="37">
        <f>IF(C17&gt;0, (D17/C17)*5, 0)</f>
        <v/>
      </c>
      <c r="F17" s="23">
        <f>IF(D17&gt;=16.0, "พร้อมระดับสูง (High)", IF(D17&gt;=12.0, "ปานกลาง (Medium)", "เสี่ยงวิกฤต (Critical)"))</f>
        <v/>
      </c>
    </row>
    <row r="18" ht="22" customHeight="1">
      <c r="A18" s="33" t="inlineStr">
        <is>
          <t>E : ด้านเศรษฐศาสตร์และความคุ้มค่า (Economic)</t>
        </is>
      </c>
      <c r="B18" s="34" t="n">
        <v>0.2</v>
      </c>
      <c r="C18" s="35" t="n">
        <v>20</v>
      </c>
      <c r="D18" s="36">
        <f>SUM(F11:H11)*20</f>
        <v/>
      </c>
      <c r="E18" s="37">
        <f>IF(C18&gt;0, (D18/C18)*5, 0)</f>
        <v/>
      </c>
      <c r="F18" s="23">
        <f>IF(D18&gt;=16.0, "พร้อมระดับสูง (High)", IF(D18&gt;=12.0, "ปานกลาง (Medium)", "เสี่ยงวิกฤต (Critical)"))</f>
        <v/>
      </c>
    </row>
    <row r="19" ht="22" customHeight="1">
      <c r="A19" s="33" t="inlineStr">
        <is>
          <t>L : ด้านกฎหมาย ระเบียบ และภาคประชาชน (Legal &amp; Outreach)</t>
        </is>
      </c>
      <c r="B19" s="34" t="n">
        <v>0.15</v>
      </c>
      <c r="C19" s="35" t="n">
        <v>15</v>
      </c>
      <c r="D19" s="36">
        <f>SUM(I11:J11)*20</f>
        <v/>
      </c>
      <c r="E19" s="37">
        <f>IF(C19&gt;0, (D19/C19)*5, 0)</f>
        <v/>
      </c>
      <c r="F19" s="23">
        <f>IF(D19&gt;=12.0, "พร้อมระดับสูง (High)", IF(D19&gt;=9.0, "ปานกลาง (Medium)", "เสี่ยงวิกฤต (Critical)"))</f>
        <v/>
      </c>
    </row>
    <row r="20" ht="22" customHeight="1">
      <c r="A20" s="33" t="inlineStr">
        <is>
          <t>O : ด้านการปฏิบัติการและหน้างาน (Operational)</t>
        </is>
      </c>
      <c r="B20" s="34" t="n">
        <v>0.2</v>
      </c>
      <c r="C20" s="35" t="n">
        <v>20</v>
      </c>
      <c r="D20" s="36">
        <f>SUM(K11:M11)*20</f>
        <v/>
      </c>
      <c r="E20" s="37">
        <f>IF(C20&gt;0, (D20/C20)*5, 0)</f>
        <v/>
      </c>
      <c r="F20" s="23">
        <f>IF(D20&gt;=16.0, "พร้อมระดับสูง (High)", IF(D20&gt;=12.0, "ปานกลาง (Medium)", "เสี่ยงวิกฤต (Critical)"))</f>
        <v/>
      </c>
    </row>
    <row r="21" ht="22" customHeight="1">
      <c r="A21" s="33" t="inlineStr">
        <is>
          <t>S : ด้านแผนงานและเวลาส่งมอบ (Schedule)</t>
        </is>
      </c>
      <c r="B21" s="34" t="n">
        <v>0.15</v>
      </c>
      <c r="C21" s="35" t="n">
        <v>15</v>
      </c>
      <c r="D21" s="36">
        <f>SUM(N11:P11)*20</f>
        <v/>
      </c>
      <c r="E21" s="37">
        <f>IF(C21&gt;0, (D21/C21)*5, 0)</f>
        <v/>
      </c>
      <c r="F21" s="23">
        <f>IF(D21&gt;=12.0, "พร้อมระดับสูง (High)", IF(D21&gt;=9.0, "ปานกลาง (Medium)", "เสี่ยงวิกฤต (Critical)"))</f>
        <v/>
      </c>
    </row>
    <row r="22" ht="22" customHeight="1">
      <c r="A22" s="33" t="inlineStr">
        <is>
          <t>+S : ด้านความยั่งยืนและสิ่งแวดล้อม (Sustainability / SDG)</t>
        </is>
      </c>
      <c r="B22" s="34" t="n">
        <v>0.1</v>
      </c>
      <c r="C22" s="35" t="n">
        <v>10</v>
      </c>
      <c r="D22" s="36">
        <f>SUM(Q11:S11)*20</f>
        <v/>
      </c>
      <c r="E22" s="37">
        <f>IF(C22&gt;0, (D22/C22)*5, 0)</f>
        <v/>
      </c>
      <c r="F22" s="23">
        <f>IF(D22&gt;=8.0, "พร้อมระดับสูง (High)", IF(D22&gt;=6.0, "ปานกลาง (Medium)", "เสี่ยงวิกฤต (Critical)"))</f>
        <v/>
      </c>
    </row>
    <row r="23" ht="26" customHeight="1">
      <c r="A23" s="38" t="inlineStr">
        <is>
          <t>คะแนนรวมทุกมิติ (Total Feasibility Score)</t>
        </is>
      </c>
      <c r="B23" s="29">
        <f>SUM(B17:B22)</f>
        <v/>
      </c>
      <c r="C23" s="39">
        <f>SUM(C17:C22)</f>
        <v/>
      </c>
      <c r="D23" s="40">
        <f>SUM(D17:D22)</f>
        <v/>
      </c>
      <c r="E23" s="30">
        <f>IF(C23&gt;0, (D23/C23)*5, 0)</f>
        <v/>
      </c>
      <c r="F23" s="41">
        <f>IF(D23&gt;=80, "ผ่านเกณฑ์ระดับสูง (HIGHLY VIABLE)", IF(D23&gt;=60, "ผ่านแบบมีเงื่อนไข (CONDITIONALLY VIABLE)", "ความเสี่ยงสูง (HIGH RISK)"))</f>
        <v/>
      </c>
    </row>
    <row r="24" ht="12" customHeight="1"/>
    <row r="25" ht="26" customHeight="1">
      <c r="A25" s="17" t="inlineStr">
        <is>
          <t>เมทริกซ์ประเมินความเข้ากันได้กับองค์ความรู้ด้านวิศวกรรมหุ่นยนต์ (Robotics Knowledge Compatibility)</t>
        </is>
      </c>
    </row>
    <row r="26" ht="22" customHeight="1">
      <c r="A26" s="18" t="inlineStr">
        <is>
          <t>* หมายเหตุ: การประเมินส่วนนี้วัดศักยภาพในการประยุกต์ใช้องค์ความรู้ด้านวิศวกรรมหุ่นยนต์ (Perception, Control, Actuation, Mechatronics) เต็ม 10 คะแนน | เป็นเอกเทศ ไม่นับรวมในคะแนน TELOS+S 100 คะแนน</t>
        </is>
      </c>
    </row>
    <row r="27" ht="24" customHeight="1">
      <c r="A27" s="42" t="inlineStr">
        <is>
          <t>มิติการประเมิน (Robotics Dimension)</t>
        </is>
      </c>
      <c r="B27" s="42" t="inlineStr">
        <is>
          <t>คะแนนศักยภาพ (/10)</t>
        </is>
      </c>
      <c r="C27" s="42" t="inlineStr">
        <is>
          <t>แกน Perception &amp; Sensing (การรับรู้)</t>
        </is>
      </c>
      <c r="D27" s="42" t="inlineStr">
        <is>
          <t>แกน Control &amp; Algorithms (การควบคุม)</t>
        </is>
      </c>
      <c r="E27" s="42" t="inlineStr">
        <is>
          <t>แกน Actuation &amp; Mechanisms (กลไก)</t>
        </is>
      </c>
      <c r="F27" s="42" t="inlineStr">
        <is>
          <t>บทวิเคราะห์เชิงวิศวกรรมหุ่นยนต์ (FIBO Alignment Rationale)</t>
        </is>
      </c>
    </row>
    <row r="28" ht="95" customHeight="1">
      <c r="A28" s="43" t="inlineStr">
        <is>
          <t>ศักยภาพการประยุกต์ใช้องค์ความรู้หุ่นยนต์และระบบอัตโนมัติ</t>
        </is>
      </c>
      <c r="B28" s="44" t="n">
        <v>9</v>
      </c>
      <c r="C28" s="24" t="inlineStr">
        <is>
          <t>การตรวจวัดอุณหภูมิผิวทางแบบไม่สัมผัส (Infrared Pyrometer / Thermal Array) ร่วมกับสถานีตรวจสภาพอากาศและเซนเซอร์ความชื้นสัมพัทธ์</t>
        </is>
      </c>
      <c r="D28" s="24" t="inlineStr">
        <is>
          <t>ระบบควบคุมวงรอบปิดแบบป้อนกลับและป้อนไปข้างหน้า (Closed-loop Feedback &amp; Feedforward Thermal Control) คำนวณปริมาณน้ำระเหยเพื่อดูดซับความร้อนแฝง (Latent Heat of Vaporization) พร้อมระบบ Dynamic Speed-compensation แปรผันตามความเร็วรถ</t>
        </is>
      </c>
      <c r="E28" s="24" t="inlineStr">
        <is>
          <t>ระบบกลไกการฉีดพ่นละอองน้ำละเอียดแรงดันสูง (High-pressure Pump, Solenoid PWM Valves, Variable Spray Nozzle Manifold, Anti-drip Check Valves) ที่ออกแบบและประกอบขึ้นจริง</t>
        </is>
      </c>
      <c r="F28" s="24" t="inlineStr">
        <is>
          <t>เป็นระบบ Cyber-Physical Mechatronic System สมบูรณ์แบบที่ผสานครบทั้ง 4 เสาหลักของหุ่นยนต์: Perception (Thermal Sensing), Control (Dynamic Closed-loop Model), Actuation (PWM Fluidic Valves &amp; Pumps) และ Mechatronics Integration สอดคล้องกับวิชาการด้านหุ่นยนต์ของ FIBO อย่างเด่นชัดที่สุด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2026-09-23T08:49:19Z</dcterms:created>
  <dcterms:modified xsi:type="dcterms:W3CDTF">2026-09-23T08:49:19Z</dcterms:modified>
</cp:coreProperties>
</file>