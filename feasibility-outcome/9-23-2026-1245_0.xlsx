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0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9C0006"/>
      <sz val="16"/>
    </font>
    <font>
      <name val="Segoe UI"/>
      <b val="1"/>
      <color rgb="009C0006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  <font>
      <name val="Segoe UI"/>
      <b val="1"/>
      <color rgb="009C0006"/>
      <sz val="13"/>
    </font>
    <font>
      <name val="Segoe U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 wrapText="1"/>
    </xf>
    <xf numFmtId="165" fontId="17" fillId="6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165" fontId="18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165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28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 (Systems-Thinking) ตามเกณฑ์ TELOS+S จาก AI Agents | รวมทุก Solution ในไฟล์เดียว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ผลการประเมิน (Verdict)</t>
        </is>
      </c>
      <c r="F4" s="3" t="inlineStr">
        <is>
          <t>จุดแข็งสำคัญ (Key Strengths)</t>
        </is>
      </c>
      <c r="G4" s="3" t="inlineStr">
        <is>
          <t>จุดติดขัดวิกฤต (Critical Bottlenecks)</t>
        </is>
      </c>
      <c r="H4" s="3" t="inlineStr">
        <is>
          <t>คำแนะนำเชิงระบบ (Strategic Advice)</t>
        </is>
      </c>
    </row>
    <row r="5" ht="55" customHeight="1">
      <c r="A5" s="4" t="n">
        <v>1</v>
      </c>
      <c r="B5" s="5" t="inlineStr">
        <is>
          <t>Solution-1</t>
        </is>
      </c>
      <c r="C5" s="6" t="inlineStr">
        <is>
          <t>คำนวณอัตราการลดระดับน้ำ (Recession Rate) กรอง Empty Cases สำหรับหน่วย QRT</t>
        </is>
      </c>
      <c r="D5" s="7">
        <f>'Solution-1'!T9</f>
        <v/>
      </c>
      <c r="E5" s="8">
        <f>'Solution-1'!T12</f>
        <v/>
      </c>
      <c r="F5" s="6" t="inlineStr">
        <is>
          <t>Leverage Point แม่นยำ, JK เชี่ยวชาญคณิตศาสตร์ควบคุมและ ROS2, ต้นทุนต่ำ (&lt; 3,500 บ.), COTS 100%</t>
        </is>
      </c>
      <c r="G5" s="6" t="inlineStr">
        <is>
          <t>ระเบียบรูปถ่ายปิดเรื่องของ Traffy Fondue (O-01) และสัปดาห์สอบของมหาวิทยาลัย 4 สัปดาห์ (S-01)</t>
        </is>
      </c>
      <c r="H5" s="6" t="inlineStr">
        <is>
          <t>พัฒนาใบปิดงานดิจิทัล (Digital Evidence Card) พร้อมกราฟ dh/dt และล็อกสเปกฮาร์ดแวร์ก่อนสัปดาห์ที่ 9</t>
        </is>
      </c>
    </row>
    <row r="6" ht="55" customHeight="1">
      <c r="A6" s="9" t="n">
        <v>2</v>
      </c>
      <c r="B6" s="10" t="inlineStr">
        <is>
          <t>Solution-2</t>
        </is>
      </c>
      <c r="C6" s="11" t="inlineStr">
        <is>
          <t>CCTV Edge-AI Visual Flood Detection ตรวจจับระดับน้ำจากกล้องวงจรปิด</t>
        </is>
      </c>
      <c r="D6" s="7">
        <f>'Solution-2'!T9</f>
        <v/>
      </c>
      <c r="E6" s="12">
        <f>'Solution-2'!T12</f>
        <v/>
      </c>
      <c r="F6" s="11" t="inlineStr">
        <is>
          <t>ใช้ประโยชน์จากกล้อง CCTV เดิมของ กทม., ถ่ายรูปยืนยันปิดเคส Traffy Fondue ได้ทันที (O-01=5)</t>
        </is>
      </c>
      <c r="G6" s="11" t="inlineStr">
        <is>
          <t>ความเสี่ยงละเมิดกฎหมาย PDPA (L-01=2), ความร้อนสะสมของบอร์ด AI (T-02=2), อุปสรรคทัศนวิสัยตอนฝนตก (T-04=2)</t>
        </is>
      </c>
      <c r="H6" s="11" t="inlineStr">
        <is>
          <t>ทำระบบ Masking/Blurring ใบหน้าบนบอร์ด Edge, ติดตั้งฮีตซิงก์ขนาดใหญ่ และของบสนับสนุนจากภาครัฐ</t>
        </is>
      </c>
    </row>
    <row r="7" ht="55" customHeight="1">
      <c r="A7" s="4" t="n">
        <v>3</v>
      </c>
      <c r="B7" s="5" t="inlineStr">
        <is>
          <t>Solution-3</t>
        </is>
      </c>
      <c r="C7" s="6" t="inlineStr">
        <is>
          <t>Acoustic Sewer Profiling &amp; Pipe Blockage Screening ตรวจสอบการอุดตันของท่อระบายน้ำด้วยคลื่นเสียง</t>
        </is>
      </c>
      <c r="D7" s="13">
        <f>'Solution-3'!T9</f>
        <v/>
      </c>
      <c r="E7" s="14">
        <f>'Solution-3'!T12</f>
        <v/>
      </c>
      <c r="F7" s="6" t="inlineStr">
        <is>
          <t>ให้ข้อมูลเชิงลึกเกี่ยวกับความสะอาดของท่อใต้ดิน (Pipe Mapping) เพื่อการวางแผนระยะยาว</t>
        </is>
      </c>
      <c r="G7" s="6" t="inlineStr">
        <is>
          <t>อันตรายถึงชีวิตจากการเปิดฝาท่อ (O-03=1), ผิดกฎหมายจราจร/ทางหลวง (L-01=1), งบประมาณเกินเพดาน 5 เท่า (E-01=1), ขนส่ง 6 สัปดาห์ (S-03=1)</t>
        </is>
      </c>
      <c r="H7" s="6" t="inlineStr">
        <is>
          <t>VETOED: ยุติโครงการชั่วคราว ไม่สามารถ de-scope ให้ปลอดภัยและถูกกฎหมายได้ภายใต้กรอบโครงงานนักศึกษาเดี่ยว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คำนวณอัตราการลดระดับน้ำ (Recession Rate) กรอง Empty Cases สำหรับหน่วย QRT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7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ตรวจสอบความเสี่ยงจริงและโหมดความล้มเหลวตามหลักสูตร LN5</t>
        </is>
      </c>
      <c r="C7" s="22" t="inlineStr">
        <is>
          <t>ตรวจสอบความเสี่ยงจริงและโหมดความล้มเหลวตามหลักสูตร LN5</t>
        </is>
      </c>
      <c r="D7" s="22" t="inlineStr">
        <is>
          <t>ตรวจสอบความเสี่ยงจริงและโหมดความล้มเหลวตามหลักสูตร LN5</t>
        </is>
      </c>
      <c r="E7" s="22" t="inlineStr">
        <is>
          <t>ตรวจสอบความเสี่ยงจริงและโหมดความล้มเหลวตามหลักสูตร LN5</t>
        </is>
      </c>
      <c r="F7" s="22" t="inlineStr">
        <is>
          <t>ตรวจสอบความเสี่ยงจริงและโหมดความล้มเหลวตามหลักสูตร LN5</t>
        </is>
      </c>
      <c r="G7" s="22" t="inlineStr">
        <is>
          <t>ตรวจสอบความเสี่ยงจริงและโหมดความล้มเหลวตามหลักสูตร LN5</t>
        </is>
      </c>
      <c r="H7" s="22" t="inlineStr">
        <is>
          <t>ตรวจสอบความเสี่ยงจริงและโหมดความล้มเหลวตามหลักสูตร LN5</t>
        </is>
      </c>
      <c r="I7" s="22" t="inlineStr">
        <is>
          <t>ตรวจสอบความเสี่ยงจริงและโหมดความล้มเหลวตามหลักสูตร LN5</t>
        </is>
      </c>
      <c r="J7" s="22" t="inlineStr">
        <is>
          <t>ตรวจสอบความเสี่ยงจริงและโหมดความล้มเหลวตามหลักสูตร LN5</t>
        </is>
      </c>
      <c r="K7" s="22" t="inlineStr">
        <is>
          <t>ตรวจสอบความเสี่ยงจริงและโหมดความล้มเหลวตามหลักสูตร LN5</t>
        </is>
      </c>
      <c r="L7" s="22" t="inlineStr">
        <is>
          <t>ตรวจสอบความเสี่ยงจริงและโหมดความล้มเหลวตามหลักสูตร LN5</t>
        </is>
      </c>
      <c r="M7" s="22" t="inlineStr">
        <is>
          <t>ตรวจสอบความเสี่ยงจริงและโหมดความล้มเหลวตามหลักสูตร LN5</t>
        </is>
      </c>
      <c r="N7" s="22" t="inlineStr">
        <is>
          <t>ตรวจสอบความเสี่ยงจริงและโหมดความล้มเหลวตามหลักสูตร LN5</t>
        </is>
      </c>
      <c r="O7" s="22" t="inlineStr">
        <is>
          <t>ตรวจสอบความเสี่ยงจริงและโหมดความล้มเหลวตามหลักสูตร LN5</t>
        </is>
      </c>
      <c r="P7" s="22" t="inlineStr">
        <is>
          <t>ตรวจสอบความเสี่ยงจริงและโหมดความล้มเหลวตามหลักสูตร LN5</t>
        </is>
      </c>
      <c r="Q7" s="22" t="inlineStr">
        <is>
          <t>ตรวจสอบความเสี่ยงจริงและโหมดความล้มเหลวตามหลักสูตร LN5</t>
        </is>
      </c>
      <c r="R7" s="22" t="inlineStr">
        <is>
          <t>ตรวจสอบความเสี่ยงจริงและโหมดความล้มเหลวตามหลักสูตร LN5</t>
        </is>
      </c>
      <c r="S7" s="22" t="inlineStr">
        <is>
          <t>ตรวจสอบความเสี่ยงจริงและโหมดความล้มเหลวตามหลักสูตร LN5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4</v>
      </c>
      <c r="D9" s="25" t="n">
        <v>5</v>
      </c>
      <c r="E9" s="25" t="n">
        <v>4</v>
      </c>
      <c r="F9" s="25" t="n">
        <v>5</v>
      </c>
      <c r="G9" s="25" t="n">
        <v>5</v>
      </c>
      <c r="H9" s="25" t="n">
        <v>4</v>
      </c>
      <c r="I9" s="25" t="n">
        <v>5</v>
      </c>
      <c r="J9" s="25" t="n">
        <v>4</v>
      </c>
      <c r="K9" s="25" t="n">
        <v>3</v>
      </c>
      <c r="L9" s="25" t="n">
        <v>4</v>
      </c>
      <c r="M9" s="25" t="n">
        <v>4</v>
      </c>
      <c r="N9" s="25" t="n">
        <v>4</v>
      </c>
      <c r="O9" s="25" t="n">
        <v>5</v>
      </c>
      <c r="P9" s="25" t="n">
        <v>5</v>
      </c>
      <c r="Q9" s="25" t="n">
        <v>5</v>
      </c>
      <c r="R9" s="25" t="n">
        <v>5</v>
      </c>
      <c r="S9" s="25" t="n">
        <v>5</v>
      </c>
      <c r="T9" s="26">
        <f>SUM(B11:S11)*20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solution-1.md ข้อจำกัดทางกายภาพ: ต้องทนฝนและน้ำขัง อ้างอิง team-skills/jk.md หัวข้อ Mechanic: ใช้ SOLIDWORKS ได้แต่ไม่สามารถเข้าถึง Machine Shop ได้ จึงแก้ปัญหาด้วยกล่องสำเร็จรูป COTS</t>
        </is>
      </c>
      <c r="C12" s="22" t="inlineStr">
        <is>
          <t>อ้างอิง solution-1.md ข้อ Requirements b: ใช้เซนเซอร์วัดระดับน้ำและวัดการไหล อ้างอิง team-skills/jk.md หัวข้อ Electronics: ไม่เคยออกแบบ PCB และบัดกรีไม่เก่ง แต่เข้าใจการต่อวงจร IC และใช้บอร์ดสำเร็จรูปได้ กินไฟต่ำ ไม่มีความร้อนสะสม</t>
        </is>
      </c>
      <c r="D12" s="22" t="inlineStr">
        <is>
          <t>อ้างอิง solution-1.md ข้อ Requirements a: คำนวณ dh/dt เทียบกับเวลาเดินทาง QRT 20-30 นาที อ้างอิง team-skills/jk.md หัวข้อ Programming: JK เชี่ยวชาญ Python, C++, ROS2, Linear Algebra และ Differential Equations ขั้นสูง</t>
        </is>
      </c>
      <c r="E12" s="22" t="inlineStr">
        <is>
          <t>อ้างอิง solution-1.md ข้อ Constraints a: เซนเซอร์อาจประเมินค่าผิดพลาดจากขยะลอยและคลื่นผิวน้ำ แต่แก้ไขได้ด้วยการติดตั้งเซนเซอร์แบบไม่สัมผัสน้ำ (Non-contact) และใช้ตัวกรองเชิงสถิติ</t>
        </is>
      </c>
      <c r="F12" s="22" t="inlineStr">
        <is>
          <t>อ้างอิง solution-1.md ข้อ Requirements: ใช้อุปกรณ์ COTS ทั่วไป คำนวณงบประมาณต้นแบบบนโต๊ะทดลองไม่เกิน 3,500 บาท (JSN-SR04T ~120 บ., ESP32 ~150 บ., โมเด็ม 4G ~800 บ., กล่อง IP67 ~150 บ.)</t>
        </is>
      </c>
      <c r="G12" s="22" t="inlineStr">
        <is>
          <t>ราคาต่อหน่วยของอุปกรณ์ COTS ต่ำมาก ทำให้สามารถซื้อบอร์ดสำรอง 2 ชุดและเซนเซอร์สำรอง 3 ชุดได้โดยอยู่ในงบสำรอง 1,500 บาท รวมงบประมาณทั้งสิ้น 5,000 บาทพอดี</t>
        </is>
      </c>
      <c r="H12" s="22" t="inlineStr">
        <is>
          <t>อ้างอิง solution-1.md ข้อ Leverage Point: มุ่งลดการสะสมของ False Flags และลดการเสียเวลาและทรัพยากรของเจ้าหน้าที่หน้างาน โดยอุปกรณ์ใช้แบตเตอรี่ LiFePO4 อยู่ได้นานหลายเดือน</t>
        </is>
      </c>
      <c r="I12" s="22" t="inlineStr">
        <is>
          <t>อ้างอิง solution-1.md ข้อ Requirements c: ตัดสินใจใช้ Local Ultrasonic Sensors วัดเฉพาะระยะห่างผิวน้ำ ปลอดจากข้อมูลระบุตัวตน (No PII) 100% จึงไม่มีความเสี่ยงต่อ พ.ร.บ. PDPA และติดตั้งบนราวสะพานไม่กีดขวางทางสัญจร</t>
        </is>
      </c>
      <c r="J12" s="22" t="inlineStr">
        <is>
          <t>เลือกใช้โมดูล 4G LTE มาตรฐานอุตสาหกรรม (เช่น SIM7600) ที่ได้รับใบรับรองจาก กสทช. ถูกต้อง และอ้างอิง team-skills/jk.md ที่มีอาจารย์ที่ปรึกษามีเครือข่ายความร่วมมือทางวิชาการกับสำนักการระบายน้ำ กทม.</t>
        </is>
      </c>
      <c r="K12" s="22" t="inlineStr">
        <is>
          <t>อ้างอิง solution-1.md ข้อ Constraints b: ขั้นตอนการดำเนินงานต้องมี Evidences ส่งคืนประชาชน ทำให้เกิดการบังคับให้เจ้าหน้าที่ต้องลงหน้างานเพื่อถ่ายรูปปิดเคสใน Traffy Fondue</t>
        </is>
      </c>
      <c r="L12" s="22" t="inlineStr">
        <is>
          <t>การออกแบบเน้นกล่อง COTS ที่มีแคลมป์รัดท่อแบบ Universal ไม่ต้องเจาะทำลายสะพาน และส่งข้อมูลผ่านสัญญาณมือถือขึ้น Web Dashboard แบบ Standalone โดยตรง</t>
        </is>
      </c>
      <c r="M12" s="22" t="inlineStr">
        <is>
          <t>อ้างอิง team-skills/jk.md เป็นนักศึกษาทำงานเดี่ยว (Solo Developer). ตำแหน่งติดตั้งเซนเซอร์อัลตราโซนิกอยู่บนราวสะพานข้ามคลอง ผู้พัฒนาสามารถยืนติดตั้งจากบนสะพานได้อย่างปลอดภัย ไม่ต้องลงน้ำหรือลงผิวจราจร</t>
        </is>
      </c>
      <c r="N12" s="22" t="inlineStr">
        <is>
          <t>อ้างอิง schedule-details/schedule.md ระบุชัดเจนว่ามีช่วงสอบกลางภาคและปลายภาครวม 4 สัปดาห์. โครงสร้างซอฟต์แวร์ของ Solution 1 สามารถทดสอบล่วงหน้าบนคอมพิวเตอร์ด้วยข้อมูลจำลองได้ ทำให้ไม่สะดุดช่วงสอบ</t>
        </is>
      </c>
      <c r="O12" s="22" t="inlineStr">
        <is>
          <t>อ้างอิง schedule-details/schedule.md: สัปดาห์ 9 ส่งสมการ Recession Rate (TRL 2), สัปดาห์ 13 ประกอบเซนเซอร์ทดสอบกับถังน้ำบนโต๊ะ (TRL 3), สัปดาห์ 16 ทดสอบกับคลองมหาวิทยาลัย (TRL 4) สอดคล้องกับทักษะของ JK</t>
        </is>
      </c>
      <c r="P12" s="22" t="inlineStr">
        <is>
          <t>อุปกรณ์ทุกชิ้น (ESP32, JSN-SR04T, กล่อง IP67, โมเด็ม 4G) มีสต็อกพร้อมส่งในประเทศไทย จัดส่งถึงภายใน 2-3 วันทำการ ทำให้มี Buffer รวมระบบมากกว่า 3 สัปดาห์</t>
        </is>
      </c>
      <c r="Q12" s="22" t="inlineStr">
        <is>
          <t>อ้างอิง sdg-rulebook/goals/goal-11.md ตัวชี้วัด 11.5.2 และ goal-06.md ตัวชี้วัด 6.3.2: การกรอง Empty Cases ช่วยปลดล็อกกำลังพลของ QRT ให้สามารถเข้าช่วยเหลือจุดวิกฤตน้ำท่วมขังรุนแรงได้อย่างทันท่วงที</t>
        </is>
      </c>
      <c r="R12" s="22" t="inlineStr">
        <is>
          <t>อ้างอิง sdg-rulebook/goals/goal-06.md ตัวชี้วัด 6.3.2: อุปกรณ์ติดตั้งเหนือน้ำ ไม่สัมผัสน้ำโดยตรง กล่องปิดสนิท และมีสลิงนิรภัยสแตนเลสยึดกับโครงสร้างสะพานป้องกันตัวเครื่องหลุดลอยยามน้ำหลาก</t>
        </is>
      </c>
      <c r="S12" s="22" t="inlineStr">
        <is>
          <t>อ้างอิง sdg-rulebook/goals/goal-10.md: การตัดสินใจใช้สมการชลศาสตร์ทางกายภาพเป็นเกณฑ์เดียวกันทุกพื้นที่ ทำให้ทุกชุมชนได้รับการประเมินตามสภาพน้ำท่วมจริงอย่างเสมอภาค ไม่ถูกเลือกปฏิบัติ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จัดซื้อกล่องพักสายไฟกันน้ำมาตรฐาน IP67 (~150 บาท) และแคลมป์รัดเสาสำเร็จรูป จำกัดการพิมพ์ 3D ไว้เฉพาะตัวยึดภายในกล่องเท่านั้น</t>
        </is>
      </c>
      <c r="C13" s="22" t="inlineStr">
        <is>
          <t>ห้ามออกแบบ Custom PCB เด็ดขาด ให้ใช้ Screw Terminal Expansion Shield สำเร็จรูปที่มีระบบป้องกันไฟกระชากในตัว</t>
        </is>
      </c>
      <c r="D13" s="22" t="inlineStr">
        <is>
          <t>พัฒนาเป็นโมดูลคำนวณอัตราการลดระดับน้ำด้วย Python/ROS2 พร้อมชุดทดสอบ Unit Test จำลองกราฟการระบายน้ำของ กทม.</t>
        </is>
      </c>
      <c r="E13" s="22" t="inlineStr">
        <is>
          <t>นำแบบจำลองการระบายน้ำของ Ann Arbor มาปรับใช้ร่วมกับการกำหนดค่าเผื่อความปลอดภัย (Safety Margin) ที่รัดกุม</t>
        </is>
      </c>
      <c r="F13" s="22" t="inlineStr">
        <is>
          <t>สั่งซื้ออุปกรณ์อิเล็กทรอนิกส์ทั้งหมดจากผู้จัดจำหน่ายในไทยเพื่อตัดค่าขนส่งระหว่างประเทศและควบคุมงบประมาณอย่างเด็ดขาด</t>
        </is>
      </c>
      <c r="G13" s="22" t="inlineStr">
        <is>
          <t>จัดซื้อเซนเซอร์และตัวแปลงไฟสำรองตั้งแต่สัปดาห์แรกของการเริ่มโครงการ เพื่อป้องกันความล่าช้ากรณีชิ้นส่วนเสียหาย</t>
        </is>
      </c>
      <c r="H13" s="22" t="inlineStr">
        <is>
          <t>คำนวณตัวเลขค่าน้ำมันและชั่วโมงการทำงานของเจ้าหน้าที่ที่ประหยัดได้ต่อปีเพื่อนำเสนอในเล่มรายงาน Final</t>
        </is>
      </c>
      <c r="I13" s="22" t="inlineStr">
        <is>
          <t>ระบุในเอกสารข้อกำหนดระบบอย่างเป็นทางการว่าไม่มีการเก็บภาพถ่ายหรือข้อมูลส่วนบุคคล เพื่อหลีกเลี่ยงกระบวนการขออนุญาต PDPA</t>
        </is>
      </c>
      <c r="J13" s="22" t="inlineStr">
        <is>
          <t>ให้อาจารย์ที่ปรึกษาออกหนังสือนำทางวิชาการสำหรับการขอทดสอบติดตั้งอุปกรณ์บนสะพานคลองในเขตมหาวิทยาลัยก่อน</t>
        </is>
      </c>
      <c r="K13" s="22" t="inlineStr">
        <is>
          <t>พัฒนาฟังก์ชันสร้าง Digital Evidence Card แนบกราฟอัตราน้ำลดลงส่งเข้าสู่ระบบ Traffy Fondue โดยตรง และนัดประชุมชี้แจงหัวหน้าฝ่ายระบายน้ำเพื่อขออนุมัติระเบียบการปิดเคสดิจิทัล</t>
        </is>
      </c>
      <c r="L13" s="22" t="inlineStr">
        <is>
          <t>ออกแบบ Web UI ให้เรียบง่ายที่สุด โดยแสดงแถบสถานะสีเขียว (แห้งเองได้) และสีแดง (ต้องส่งรถ) พร้อมปุ่มกดคัดลอกข้อความสรุปเหตุการณ์</t>
        </is>
      </c>
      <c r="M13" s="22" t="inlineStr">
        <is>
          <t>ดำเนินการทดสอบระบบบนโต๊ะทดลองและคลองทดสอบภายในมหาวิทยาลัยให้สมบูรณ์ 100% ก่อน และสวมเสื้อสะท้อนแสงทุกครั้งที่ลงพื้นที่จริง</t>
        </is>
      </c>
      <c r="N13" s="22" t="inlineStr">
        <is>
          <t>เร่งรัดการล็อกสเปกฮาร์ดแวร์และเขียนโค้ดอัลกอริทึม dh/dt ให้เสร็จสมบูรณ์ 100% ก่อนเข้าสู่สัปดาห์สอบกลางภาค (สัปดาห์ที่ 9)</t>
        </is>
      </c>
      <c r="O13" s="22" t="inlineStr">
        <is>
          <t>กำหนดให้เกณฑ์ผ่าน TRL 3 เป็นการทดสอบในถังน้ำในห้องแล็บ เพื่อรับประกันว่าจะผ่านเกณฑ์ได้โดยไม่ต้องพึ่งพาสภาพฝนตกจริง</t>
        </is>
      </c>
      <c r="P13" s="22" t="inlineStr">
        <is>
          <t>จัดซื้ออุปกรณ์ทั้งหมดจากร้านค้าออนไลน์ในไทยในสัปดาห์แรก และปฏิเสธการสั่งซื้อชิ้นส่วนนำเข้าจากต่างประเทศทุกกรณี</t>
        </is>
      </c>
      <c r="Q13" s="22" t="inlineStr">
        <is>
          <t>รวบรวมสถิติการลดเวลาเดินทางและจำนวนเคสที่ได้รับการแก้ไขเร็วขึ้นเพื่อใช้เป็นตัวชี้วัดความสำเร็จตาม SDG 11.5 ในรายงานขั้นสุดท้าย</t>
        </is>
      </c>
      <c r="R13" s="22" t="inlineStr">
        <is>
          <t>ติดตั้งสายสลิงนิรภัยสองชั้น (Dual Safety Tether) และใช้แบตเตอรี่ LiFePO4 ที่มีความปลอดภัยสูงและไม่มีสารพิษรั่วไหล</t>
        </is>
      </c>
      <c r="S13" s="22" t="inlineStr">
        <is>
          <t>กำหนดให้อัลกอริทึมใช้พารามิเตอร์ทางชลศาสตร์มาตรฐานเดียวกันทุกจุดติดตั้ง เพื่อรักษาความเสมอภาคตาม SDG 10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CCTV Edge-AI Visual Flood Detection ตรวจจับระดับน้ำจากกล้องวงจรปิด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7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ตรวจสอบความเสี่ยงจริงและโหมดความล้มเหลวตามหลักสูตร LN5</t>
        </is>
      </c>
      <c r="C7" s="22" t="inlineStr">
        <is>
          <t>ตรวจสอบความเสี่ยงจริงและโหมดความล้มเหลวตามหลักสูตร LN5</t>
        </is>
      </c>
      <c r="D7" s="22" t="inlineStr">
        <is>
          <t>ตรวจสอบความเสี่ยงจริงและโหมดความล้มเหลวตามหลักสูตร LN5</t>
        </is>
      </c>
      <c r="E7" s="22" t="inlineStr">
        <is>
          <t>ตรวจสอบความเสี่ยงจริงและโหมดความล้มเหลวตามหลักสูตร LN5</t>
        </is>
      </c>
      <c r="F7" s="22" t="inlineStr">
        <is>
          <t>ตรวจสอบความเสี่ยงจริงและโหมดความล้มเหลวตามหลักสูตร LN5</t>
        </is>
      </c>
      <c r="G7" s="22" t="inlineStr">
        <is>
          <t>ตรวจสอบความเสี่ยงจริงและโหมดความล้มเหลวตามหลักสูตร LN5</t>
        </is>
      </c>
      <c r="H7" s="22" t="inlineStr">
        <is>
          <t>ตรวจสอบความเสี่ยงจริงและโหมดความล้มเหลวตามหลักสูตร LN5</t>
        </is>
      </c>
      <c r="I7" s="22" t="inlineStr">
        <is>
          <t>ตรวจสอบความเสี่ยงจริงและโหมดความล้มเหลวตามหลักสูตร LN5</t>
        </is>
      </c>
      <c r="J7" s="22" t="inlineStr">
        <is>
          <t>ตรวจสอบความเสี่ยงจริงและโหมดความล้มเหลวตามหลักสูตร LN5</t>
        </is>
      </c>
      <c r="K7" s="22" t="inlineStr">
        <is>
          <t>ตรวจสอบความเสี่ยงจริงและโหมดความล้มเหลวตามหลักสูตร LN5</t>
        </is>
      </c>
      <c r="L7" s="22" t="inlineStr">
        <is>
          <t>ตรวจสอบความเสี่ยงจริงและโหมดความล้มเหลวตามหลักสูตร LN5</t>
        </is>
      </c>
      <c r="M7" s="22" t="inlineStr">
        <is>
          <t>ตรวจสอบความเสี่ยงจริงและโหมดความล้มเหลวตามหลักสูตร LN5</t>
        </is>
      </c>
      <c r="N7" s="22" t="inlineStr">
        <is>
          <t>ตรวจสอบความเสี่ยงจริงและโหมดความล้มเหลวตามหลักสูตร LN5</t>
        </is>
      </c>
      <c r="O7" s="22" t="inlineStr">
        <is>
          <t>ตรวจสอบความเสี่ยงจริงและโหมดความล้มเหลวตามหลักสูตร LN5</t>
        </is>
      </c>
      <c r="P7" s="22" t="inlineStr">
        <is>
          <t>ตรวจสอบความเสี่ยงจริงและโหมดความล้มเหลวตามหลักสูตร LN5</t>
        </is>
      </c>
      <c r="Q7" s="22" t="inlineStr">
        <is>
          <t>ตรวจสอบความเสี่ยงจริงและโหมดความล้มเหลวตามหลักสูตร LN5</t>
        </is>
      </c>
      <c r="R7" s="22" t="inlineStr">
        <is>
          <t>ตรวจสอบความเสี่ยงจริงและโหมดความล้มเหลวตามหลักสูตร LN5</t>
        </is>
      </c>
      <c r="S7" s="22" t="inlineStr">
        <is>
          <t>ตรวจสอบความเสี่ยงจริงและโหมดความล้มเหลวตามหลักสูตร LN5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2</v>
      </c>
      <c r="D9" s="25" t="n">
        <v>4</v>
      </c>
      <c r="E9" s="25" t="n">
        <v>2</v>
      </c>
      <c r="F9" s="25" t="n">
        <v>3</v>
      </c>
      <c r="G9" s="25" t="n">
        <v>2</v>
      </c>
      <c r="H9" s="25" t="n">
        <v>3</v>
      </c>
      <c r="I9" s="25" t="n">
        <v>2</v>
      </c>
      <c r="J9" s="25" t="n">
        <v>3</v>
      </c>
      <c r="K9" s="25" t="n">
        <v>5</v>
      </c>
      <c r="L9" s="25" t="n">
        <v>3</v>
      </c>
      <c r="M9" s="25" t="n">
        <v>3</v>
      </c>
      <c r="N9" s="25" t="n">
        <v>3</v>
      </c>
      <c r="O9" s="25" t="n">
        <v>4</v>
      </c>
      <c r="P9" s="25" t="n">
        <v>3</v>
      </c>
      <c r="Q9" s="25" t="n">
        <v>4</v>
      </c>
      <c r="R9" s="25" t="n">
        <v>4</v>
      </c>
      <c r="S9" s="25" t="n">
        <v>2</v>
      </c>
      <c r="T9" s="26">
        <f>SUM(B11:S11)*20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solution-2.md ข้อ 3.a การดึงภาพจากกล้อง และ team-skills/jk.md ที่ไม่มีสิทธิ์ใช้โรงประลอง แต่สามารถจัดซื้อขายึดเสากล้องและกล่องกันน้ำมาตรฐาน COTS สำหรับติดตั้งกลางแจ้งได้</t>
        </is>
      </c>
      <c r="C12" s="22" t="inlineStr">
        <is>
          <t>อ้างอิง solution-2.md ข้อ 4.b: บอร์ดประมวลผล AI ราคาแพงและใช้พลังงานสูง. บอร์ด GPU (Jetson Nano/Orin) เกิดความร้อนสะสมสูงมากเมื่อติดตั้งในกล่องกันน้ำกลางแดด 40°C ของ กทม. เสี่ยงต่อบอร์ดชัตดาวน์ตัวเอง</t>
        </is>
      </c>
      <c r="D12" s="22" t="inlineStr">
        <is>
          <t>อ้างอิง solution-2.md ข้อ 3.b: โมเดล Computer Vision (Object Detection / Segmentation) สามารถตรวจจับระดับน้ำเทียบขอบทางเท้าได้ภายใน 1-3 วินาที. JK มีทักษะ OpenCV และ Deep Learning (team-skills/jk.md)</t>
        </is>
      </c>
      <c r="E12" s="22" t="inlineStr">
        <is>
          <t>อ้างอิง solution-2.md ข้อ 4.c: กล้องมีมุมอับ ทัศนวิสัยต่ำมากตอนฝนตกหนัก คราบหยดน้ำฝนเกาะหน้าเลนส์ และแสงน้อยตอนกลางคืน ทำให้โมเดล Computer Vision ตรวจจับผิดพลาดสูง</t>
        </is>
      </c>
      <c r="F12" s="22" t="inlineStr">
        <is>
          <t>อ้างอิง solution-2.md ข้อ 4.b: บอร์ด Edge-AI (Jetson Nano ~4,500-6,000 บ.) รวมกับกล้อง Outdoor IP Camera (~2,000 บ.) และพาวเวอร์ซัพพลาย รวมงบประมาณ 8,000 - 10,000 บาท เกินเพดานงบประมาณนักศึกษา 5,000 บาท</t>
        </is>
      </c>
      <c r="G12" s="22" t="inlineStr">
        <is>
          <t>เนื่องจากบอร์ด Edge-AI และกล้องมีราคาสูงเกินงบประมาณตั้งแต่ต้น จึงไม่มีงบประมาณเหลือสำหรับการซื้อบอร์ดสำรองตัวที่สอง หากบอร์ดช็อตหรือเสียหาย โครงการจะหยุดชะงักทันที</t>
        </is>
      </c>
      <c r="H12" s="22" t="inlineStr">
        <is>
          <t>กล้อง CCTV ต้องการกระแสไฟฟ้าต่อเนื่องและค่าบริการอินเทอร์เน็ตบรอดแบนด์ 4G ความเร็วสูงสำหรับการสตรีมวิดีโอ ทำให้ค่าใช้จ่ายรายเดือน (OpEx) สูงกว่าระบบเซนเซอร์วัดระดับน้ำ</t>
        </is>
      </c>
      <c r="I12" s="22" t="inlineStr">
        <is>
          <t>อ้างอิง solution-2.md ข้อ 4.a: กล้องวงจรปิดริมถนนสาธารณะบันทึกภาพใบหน้าประชาชนและป้ายทะเบียนรถยนต์ เข้าข่ายข้อมูลส่วนบุคคลตาม พ.ร.บ. PDPA มาตรา 24 มีความเสี่ยงทางกฎหมายร้ายแรงหากไม่มีระบบเบลอภาพ</t>
        </is>
      </c>
      <c r="J12" s="22" t="inlineStr">
        <is>
          <t>การขอเข้าถึงสตรีมภาพกล้อง CCTV ของ กทม. หรือขอติดตั้งกล้องบนเสาไฟสาธารณะ ต้องผ่านขั้นตอนทำบันทึกข้อตกลง (MoU) ระดับสำนัก ซึ่งใช้เวลานานและซับซ้อนเกินกรอบเวลา 16 สัปดาห์ของนักศึกษา</t>
        </is>
      </c>
      <c r="K12" s="22" t="inlineStr">
        <is>
          <t>อ้างอิง solution-2.md: ภาพถ่ายจากกล้อง CCTV แสดงให้เห็นสภาพถนนแห้งจริงได้อย่างชัดเจน ตอบสนองต่อระเบียบการปิดเคสด้วยรูปถ่ายของ Traffy Fondue 100% เจ้าหน้าที่ศูนย์สั่งการกล้าตัดสินใจยกเลิกการปล่อยรถได้ทันที</t>
        </is>
      </c>
      <c r="L12" s="22" t="inlineStr">
        <is>
          <t>การติดตั้งกล้องมุมสูงต้องใช้รถกระเช้าและช่างไฟฟ้าในการต่อไฟเลี้ยง และต้องมีการเช็ดทำความสะอาดหน้าเลนส์เป็นประจำ สร้างภาระงานบำรุงรักษาเพิ่มเติมแก่เจ้าหน้าที่ กทม.</t>
        </is>
      </c>
      <c r="M12" s="22" t="inlineStr">
        <is>
          <t>การขึ้นไปติดตั้งหรือปรับมุมกล้องริมถนนใหญ่มีความเสี่ยงจากรถยนต์ที่สัญจรไปมา แต่นักศึกษาสามารถสวมเสื้อสะท้อนแสงและขอความร่วมมือจากเพื่อนช่วยระวังความปลอดภัยได้</t>
        </is>
      </c>
      <c r="N12" s="22" t="inlineStr">
        <is>
          <t>อ้างอิง schedule-details/schedule.md: การเตรียมชุดข้อมูลภาพ Labeling และการจูนโมเดล Deep Learning ต้องใช้เวลาต่อเนื่อง การหยุดอ่านหนังสือสอบ 2 สัปดาห์จะทำให้ Pipeline การเทรนโมเดลสะดุด</t>
        </is>
      </c>
      <c r="O12" s="22" t="inlineStr">
        <is>
          <t>สามารถบรรลุ TRL 2 ในสัปดาห์ 9 และ TRL 3 ในสัปดาห์ 13 บนโต๊ะทดลองด้วยคลิปวิดีโอน้ำท่วมที่บันทึกไว้ได้อย่างดี แต่ TRL 4 บนถนนจริงอาจล่าช้าจากปัญหาความร้อนและข้ออนุญาต</t>
        </is>
      </c>
      <c r="P12" s="22" t="inlineStr">
        <is>
          <t>บอร์ดประมวลผล Edge-AI บางรุ่นต้องรอสั่งจากต่างประเทศ 7-14 วัน ทำให้ Buffer เวลาในการทดสอบระบบและแก้บักเหลือเพียง 1 สัปดาห์ก่อนส่งงาน</t>
        </is>
      </c>
      <c r="Q12" s="22" t="inlineStr">
        <is>
          <t>ช่วยให้ศูนย์บัญชาการมองเห็นภาพรวมของน้ำท่วมบนท้องถนนแบบเรียลไทม์ เพิ่มความปลอดภัยในการสัญจรและลดความสูญเสียทางเศรษฐกิจของเมืองตาม SDG 11.5</t>
        </is>
      </c>
      <c r="R12" s="22" t="inlineStr">
        <is>
          <t>กล้องติดตั้งบนเสาไฟหรือสะพานลอยคนข้าม ไม่ได้สัมผัสกับทางน้ำโดยตรง จึงไม่มีความเสี่ยงต่อการปนเปื้อนสารเคมีหรือการหลุดลอยไปอุดตันท่อระบายน้ำ</t>
        </is>
      </c>
      <c r="S12" s="22" t="inlineStr">
        <is>
          <t>กล้อง CCTV มักกระจุกตัวอยู่ในย่านธุรกิจใจกลางเมืองและถนนสายหลัก ทำให้ชุมชนชานเมืองและตรอกซอกซอยที่ยากจนไม่มีกล้องส่องถึง เกิดความเหลื่อมล้ำเชิงพื้นที่ตาม SDG 10 อย่างรุนแรง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จัดซื้อขายึดกล้องวงจรปิดสำเร็จรูปที่มีขายทั่วไป หลีกเลี่ยงชิ้นงานสั่งทำพิเศษ</t>
        </is>
      </c>
      <c r="C13" s="22" t="inlineStr">
        <is>
          <t>ติดตั้งฮีตซิงก์อะลูมิเนียมขนาดใหญ่ พัดลมระบายความร้อน และตั้งเวลาให้อุปกรณ์ประมวลผลเฉพาะช่วงที่มีรายงานฝนตกหนัก</t>
        </is>
      </c>
      <c r="D13" s="22" t="inlineStr">
        <is>
          <t>ใช้โมเดลน้ำหนักเบา เช่น MobileNet-SSD หรือ Tiny-YOLO เพื่อให้รันบนฮาร์ดแวร์ Edge ได้อย่างรวดเร็ว</t>
        </is>
      </c>
      <c r="E13" s="22" t="inlineStr">
        <is>
          <t>ติดตั้งหมวกบังฝนให้หน้าเลนส์กล้อง และจำกัดการตรวจวัดเฉพาะช่วงเวลาที่มีแสงสว่างเพียงพอ</t>
        </is>
      </c>
      <c r="F13" s="22" t="inlineStr">
        <is>
          <t>ย้ายการรัน AI ไปประมวลผลบนคลาวด์หรือแล็ปท็อปส่วนตัว และใช้กล้อง ESP32-CAM ราคาถูกในการส่งภาพแทน</t>
        </is>
      </c>
      <c r="G13" s="22" t="inlineStr">
        <is>
          <t>สำรองเฉพาะตัวแปลงไฟและสายสัญญาณ แต่ไม่มีบอร์ด AI สำรอง ต้องใช้ความระมัดระวังสูงสุดในการทดสอบ</t>
        </is>
      </c>
      <c r="H13" s="22" t="inlineStr">
        <is>
          <t>สตรีมเฉพาะภาพนิ่ง (Snapshot) ทุก 5 นาที แทนการสตรีมวิดีโอต่อเนื่อง เพื่อประหยัดค่าบริการเครือข่ายมือถือ</t>
        </is>
      </c>
      <c r="I13" s="22" t="inlineStr">
        <is>
          <t>บังคับให้รันโมเดล Masking / Blurring อัตโนมัติบนบอร์ด Edge เพื่อตัดใบหน้าและป้ายทะเบียนทิ้งก่อนส่งภาพออกจากเครื่อง</t>
        </is>
      </c>
      <c r="J13" s="22" t="inlineStr">
        <is>
          <t>ติดตั้งกล้องทดสอบเฉพาะภายในพื้นที่มหาวิทยาลัย หรือใช้คลิปวิดีโอน้ำท่วมที่เผยแพร่เป็นสาธารณะในการทดสอบ</t>
        </is>
      </c>
      <c r="K13" s="22" t="inlineStr">
        <is>
          <t>จุดแข็งสูงสุดของ Solution 2 พัฒนาระบบส่งภาพ Snapshot ผิวถนนที่น้ำแห้งเข้าสู่ระบบ Traffy Fondue โดยอัตโนมัติ</t>
        </is>
      </c>
      <c r="L13" s="22" t="inlineStr">
        <is>
          <t>ออกแบบให้กล้องติดตั้งบนสะพานลอยคนข้ามที่เจ้าหน้าที่สามารถเดินเข้าถึงและเช็ดทำความสะอาดได้สะดวกโดยไม่ต้องใช้รถกระเช้า</t>
        </is>
      </c>
      <c r="M13" s="22" t="inlineStr">
        <is>
          <t>หลีกเลี่ยงถนนใหญ่ ติดตั้งทดสอบเฉพาะบนสะพานลอยคนข้ามหรือเสาไฟภายในรั้วมหาวิทยาลัยเท่านั้น</t>
        </is>
      </c>
      <c r="N13" s="22" t="inlineStr">
        <is>
          <t>ใช้โมเดล Pre-trained มาตรฐานที่มีน้ำหนักสำเร็จรูป และงดการเทรนโมเดลใหม่ตั้งแต่ต้น</t>
        </is>
      </c>
      <c r="O13" s="22" t="inlineStr">
        <is>
          <t>ใช้คลิปวิดีโอจำลองสภาพน้ำท่วมเป็นหลักฐานทดสอบ TRL 4 ในห้องแล็บหากไม่สามารถติดตั้งกล้องบนถนนจริงได้ทัน</t>
        </is>
      </c>
      <c r="P13" s="22" t="inlineStr">
        <is>
          <t>เลือกซื้อบอร์ด AI ที่มีสต็อกพร้อมส่งในประเทศไทยเท่านั้น แม้ราคาจะสูงกว่าเล็กน้อย เพื่อรักษา Buffer เวลาไว้</t>
        </is>
      </c>
      <c r="Q13" s="22" t="inlineStr">
        <is>
          <t>เชื่อมโยงข้อมูลการตรวจจับน้ำเข้ากับระบบแจ้งเตือนการจราจรสาธารณะ</t>
        </is>
      </c>
      <c r="R13" s="22" t="inlineStr">
        <is>
          <t>ยึดสายไฟและกล่องอุปกรณ์ให้แน่นหนาป้องกันการหลุดร่วงลงสู่พื้นผิวจราจร</t>
        </is>
      </c>
      <c r="S13" s="22" t="inlineStr">
        <is>
          <t>กำหนดให้ใช้ข้อมูลกล้องเฉพาะการยืนยันบนถนนสายหลัก ไม่นำมาใช้เป็นเกณฑ์ตัดสิทธิ์การช่วยเหลือของชุมชนที่ไม่มีกล้อง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Acoustic Sewer Profiling &amp; Pipe Blockage Screening ตรวจสอบการอุดตันของท่อระบายน้ำด้วยคลื่นเสียง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7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ตรวจสอบความเสี่ยงจริงและโหมดความล้มเหลวตามหลักสูตร LN5</t>
        </is>
      </c>
      <c r="C7" s="22" t="inlineStr">
        <is>
          <t>ตรวจสอบความเสี่ยงจริงและโหมดความล้มเหลวตามหลักสูตร LN5</t>
        </is>
      </c>
      <c r="D7" s="22" t="inlineStr">
        <is>
          <t>ตรวจสอบความเสี่ยงจริงและโหมดความล้มเหลวตามหลักสูตร LN5</t>
        </is>
      </c>
      <c r="E7" s="22" t="inlineStr">
        <is>
          <t>ตรวจสอบความเสี่ยงจริงและโหมดความล้มเหลวตามหลักสูตร LN5</t>
        </is>
      </c>
      <c r="F7" s="22" t="inlineStr">
        <is>
          <t>ตรวจสอบความเสี่ยงจริงและโหมดความล้มเหลวตามหลักสูตร LN5</t>
        </is>
      </c>
      <c r="G7" s="22" t="inlineStr">
        <is>
          <t>ตรวจสอบความเสี่ยงจริงและโหมดความล้มเหลวตามหลักสูตร LN5</t>
        </is>
      </c>
      <c r="H7" s="22" t="inlineStr">
        <is>
          <t>ตรวจสอบความเสี่ยงจริงและโหมดความล้มเหลวตามหลักสูตร LN5</t>
        </is>
      </c>
      <c r="I7" s="22" t="inlineStr">
        <is>
          <t>ตรวจสอบความเสี่ยงจริงและโหมดความล้มเหลวตามหลักสูตร LN5</t>
        </is>
      </c>
      <c r="J7" s="22" t="inlineStr">
        <is>
          <t>ตรวจสอบความเสี่ยงจริงและโหมดความล้มเหลวตามหลักสูตร LN5</t>
        </is>
      </c>
      <c r="K7" s="22" t="inlineStr">
        <is>
          <t>ตรวจสอบความเสี่ยงจริงและโหมดความล้มเหลวตามหลักสูตร LN5</t>
        </is>
      </c>
      <c r="L7" s="22" t="inlineStr">
        <is>
          <t>ตรวจสอบความเสี่ยงจริงและโหมดความล้มเหลวตามหลักสูตร LN5</t>
        </is>
      </c>
      <c r="M7" s="22" t="inlineStr">
        <is>
          <t>ตรวจสอบความเสี่ยงจริงและโหมดความล้มเหลวตามหลักสูตร LN5</t>
        </is>
      </c>
      <c r="N7" s="22" t="inlineStr">
        <is>
          <t>ตรวจสอบความเสี่ยงจริงและโหมดความล้มเหลวตามหลักสูตร LN5</t>
        </is>
      </c>
      <c r="O7" s="22" t="inlineStr">
        <is>
          <t>ตรวจสอบความเสี่ยงจริงและโหมดความล้มเหลวตามหลักสูตร LN5</t>
        </is>
      </c>
      <c r="P7" s="22" t="inlineStr">
        <is>
          <t>ตรวจสอบความเสี่ยงจริงและโหมดความล้มเหลวตามหลักสูตร LN5</t>
        </is>
      </c>
      <c r="Q7" s="22" t="inlineStr">
        <is>
          <t>ตรวจสอบความเสี่ยงจริงและโหมดความล้มเหลวตามหลักสูตร LN5</t>
        </is>
      </c>
      <c r="R7" s="22" t="inlineStr">
        <is>
          <t>ตรวจสอบความเสี่ยงจริงและโหมดความล้มเหลวตามหลักสูตร LN5</t>
        </is>
      </c>
      <c r="S7" s="22" t="inlineStr">
        <is>
          <t>ตรวจสอบความเสี่ยงจริงและโหมดความล้มเหลวตามหลักสูตร LN5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2</v>
      </c>
      <c r="C9" s="25" t="n">
        <v>3</v>
      </c>
      <c r="D9" s="25" t="n">
        <v>3</v>
      </c>
      <c r="E9" s="25" t="n">
        <v>2</v>
      </c>
      <c r="F9" s="25" t="n">
        <v>1</v>
      </c>
      <c r="G9" s="25" t="n">
        <v>1</v>
      </c>
      <c r="H9" s="25" t="n">
        <v>2</v>
      </c>
      <c r="I9" s="25" t="n">
        <v>1</v>
      </c>
      <c r="J9" s="25" t="n">
        <v>2</v>
      </c>
      <c r="K9" s="25" t="n">
        <v>2</v>
      </c>
      <c r="L9" s="25" t="n">
        <v>2</v>
      </c>
      <c r="M9" s="25" t="n">
        <v>1</v>
      </c>
      <c r="N9" s="25" t="n">
        <v>2</v>
      </c>
      <c r="O9" s="25" t="n">
        <v>2</v>
      </c>
      <c r="P9" s="25" t="n">
        <v>1</v>
      </c>
      <c r="Q9" s="25" t="n">
        <v>3</v>
      </c>
      <c r="R9" s="25" t="n">
        <v>3</v>
      </c>
      <c r="S9" s="25" t="n">
        <v>4</v>
      </c>
      <c r="T9" s="30">
        <f>SUM(B11:S11)*20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solution-3.md ข้อ 4.b สภาพในท่อมีก๊าซไข่เน่าและความชื้นสูง และ team-skills/jk.md ที่ไม่มีสิทธิ์ใช้โรงประลอง การสร้างแท่นจับยึดเซนเซอร์เสียงที่ทนแรงดันน้ำและก๊าซกัดกร่อนในบ่อพักน้ำไม่สามารถทำได้ด้วยอุปกรณ์ COTS ทั่วไป</t>
        </is>
      </c>
      <c r="C12" s="22" t="inlineStr">
        <is>
          <t>อ้างอิง solution-3.md ข้อ 3.a: อุปกรณ์ Acoustic Transceiver ต้องใช้วงจรขยายสัญญาณ Piezo และตัวกรองความถี่สูงแบบแอนะล็อก ซึ่งมีความละเอียดอ่อนต่อสัญญาณรบกวน JK ขาดประสบการณ์ออกแบบวงจรแอนะล็อกความถี่สูง</t>
        </is>
      </c>
      <c r="D12" s="22" t="inlineStr">
        <is>
          <t>อ้างอิง solution-3.md ข้อ 3.b: การวิเคราะห์สัญญาณ Time-of-Flight และ Spectral Response ของคลื่นเสียงสะท้อนในท่อเลี้ยวและท่อแยกมีความซับซ้อนทางคณิตศาสตร์สูงมาก และ JK ขาดความเชี่ยวชาญด้าน Acoustic DSP เฉพาะทาง</t>
        </is>
      </c>
      <c r="E12" s="22" t="inlineStr">
        <is>
          <t>อ้างอิง solution-3.md ข้อ 4.b: คราบไขมัน ตะกอน และก๊าซไข่เน่า (H2S) ในท่อระบายน้ำจะเกาะหัวตรวจจับคลื่นเสียงอย่างรวดเร็ว ทำให้อิมพีแดนซ์เปลี่ยนและสัญญาณสะท้อนเพี้ยนจนวัดค่าไม่ได้</t>
        </is>
      </c>
      <c r="F12" s="22" t="inlineStr">
        <is>
          <t>อ้างอิง solution-3.md ข้อ 4.a: อุปกรณ์ Acoustic Transceiver ระดับอุตสาหกรรมสำหรับท่อระบายน้ำมีราคาสูงมาก (&gt; 25,000 บาท) เกินเพดานงบประมาณนักศึกษา 5,000 บาทถึง 5 เท่าตัว (Fatal Flaw ตกเกณฑ์ข้อบังคับวิกฤต!)</t>
        </is>
      </c>
      <c r="G12" s="22" t="inlineStr">
        <is>
          <t>เนื่องจากอุปกรณ์ Acoustic มีราคาสูงเกินงบประมาณตั้งแต่ชิ้นแรก จึงเป็นไปไม่ได้เลยที่จะมีงบสำรองสำหรับซื้ออะไหล่ทดแทน หากอุปกรณ์เสียหายระหว่างทดสอบในท่อ งานจะล้มเหลวทันที (Fatal Flaw!)</t>
        </is>
      </c>
      <c r="H12" s="22" t="inlineStr">
        <is>
          <t>การบำรุงรักษาหัววัดที่ต้องสัมผัสคราบไขมันและสิ่งปฏิกูลในท่อระบายน้ำต้องใช้สารเคมีล้างพิเศษและมีค่าแรงเจ้าหน้าที่สูงมาก ไม่คุ้มค่าเมื่อเทียบกับผลการประหยัดน้ำมัน</t>
        </is>
      </c>
      <c r="I12" s="22" t="inlineStr">
        <is>
          <t>อ้างอิง solution-3.md ข้อ 4.c: การเปิดฝาท่อระบายน้ำบนถนนสาธารณะโดยไม่มีใบอนุญาตจากสำนักการโยธา กทม. และตำรวจจราจร มีความผิดตาม พ.ร.บ. ทางหลวงและ พ.ร.บ. จราจรทางบก และเสี่ยงต่ออุบัติเหตุรถยนต์ตกท่ออย่างร้ายแรง (Fatal Flaw ตกเกณฑ์ข้อบังคับวิกฤต!)</t>
        </is>
      </c>
      <c r="J12" s="22" t="inlineStr">
        <is>
          <t>การขอพิมพ์เขียวแนวท่อระบายน้ำใต้ดินของ กทม. ถือเป็นข้อมูลความมั่นคงด้านโครงสร้างพื้นฐานวิกฤต ซึ่ง กทม. ไม่อนุญาตให้เปิดเผยแก่นักศึกษาเดี่ยวโดยไม่มีข้อตกลงวิจัยอย่างเป็นทางการ</t>
        </is>
      </c>
      <c r="K12" s="22" t="inlineStr">
        <is>
          <t>กราฟคลื่นเสียงสะท้อนในท่อไม่สามารถใช้เป็นหลักฐานที่ประชาชนหรือเจ้าหน้าที่หน้างานเข้าใจได้ว่าน้ำบนถนนแห้งแล้ว เจ้าหน้าที่จึงไม่กล้านำไปใช้อ้างอิงปิดเคสใน Traffy Fondue และต้องส่งรถออกไปหน้างานอยู่ดี</t>
        </is>
      </c>
      <c r="L12" s="22" t="inlineStr">
        <is>
          <t>ต้องใช้เจ้าหน้าที่อย่างน้อย 2-3 นายในการยกฝาท่อเหล็กหล่อหนักและหย่อนอุปกรณ์ลงไปในบ่อพักน้ำ สร้างภาระงานหนักและเสี่ยงต่ออุบัติเหตุจากการทำงาน</t>
        </is>
      </c>
      <c r="M12" s="22" t="inlineStr">
        <is>
          <t>การที่นักศึกษาเดี่ยว (Solo Developer) ต้องลงไปเปิดฝาท่อระบายน้ำริมถนนซึ่งเป็นพื้นที่อับอากาศ (Confined Space) ที่มีก๊าซไข่เน่าพิษ (H2S) และเสี่ยงต่อการถูกรถชน เป็นการละเมิดความปลอดภัยขั้นรุนแรงที่อันตรายถึงชีวิต (Fatal Flaw ตกเกณฑ์ข้อบังคับวิกฤต!)</t>
        </is>
      </c>
      <c r="N12" s="22" t="inlineStr">
        <is>
          <t>การทดลองคลื่นเสียงในท่อต้องใช้การลองผิดลองถูกภาคสนามหลายรอบ ซึ่งจะชนกับช่วงสอบ 4 สัปดาห์ของมหาวิทยาลัย ทำให้ตารางเวลาการพัฒนาพังทลายอย่างแน่นอน</t>
        </is>
      </c>
      <c r="O12" s="22" t="inlineStr">
        <is>
          <t>การทำ TRL 2 ต้องสร้างแบบจำลองการสะท้อนของคลื่นเสียงในท่อจริง และ TRL 3 ต้องทดสอบในบ่อพักน้ำจริง ซึ่ง JK ไม่สามารถทำได้ทันสัปดาห์ที่ 9 และ 13 อย่างแน่นอน</t>
        </is>
      </c>
      <c r="P12" s="22" t="inlineStr">
        <is>
          <t>หัวตรวจวัดคลื่นเสียงและวงจรขยายสัญญาณเกรดท่อระบายน้ำต้องนำเข้าจากต่างประเทศ ใช้เวลาขนส่งและผ่านพิธีการศุลกากร 4-6 สัปดาห์ ทำลายเส้นทางวิกฤต (Critical Path) ของกรอบเวลา 16 สัปดาห์โดยสิ้นเชิง (Fatal Flaw!)</t>
        </is>
      </c>
      <c r="Q12" s="22" t="inlineStr">
        <is>
          <t>การตรวจสภาพความสะอาดของท่อเป็นประโยชน์ต่อการวางแผนลอกท่อระยะยาวตาม SDG 6.3 แต่ไม่สามารถตอบโจทย์การลดความเสียหายจากภัยพิบัติเฉพาะหน้าในกรอบเวลา 20-30 นาทีของหน่วย QRT ตาม SDG 11.5 ได้</t>
        </is>
      </c>
      <c r="R12" s="22" t="inlineStr">
        <is>
          <t>มีความเสี่ยงที่สายสัญญาณหรือหัวเซนเซอร์จะขาดหลุดลอยไประหว่างหย่อนลงไปในท่อระบายน้ำ ซึ่งจะกลายเป็นขยะอิเล็กทรอนิกส์อุดตันท่อระบายน้ำเสียเอง</t>
        </is>
      </c>
      <c r="S12" s="22" t="inlineStr">
        <is>
          <t>การประเมินสภาพความสะอาดของท่ออิงตามข้อมูลทางกายภาพจริงของท่อใต้ดิน ไม่ได้ขึ้นกับชนชั้นทางสังคมหรือปริมาณการร้องเรียนของประชาชน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จำกัดการทดลองไว้เฉพาะในบ่อทดลองจำลองที่ใช้ท่อ PVC บนโต๊ะแล็บเท่านั้น ไม่ลงท่อจริง</t>
        </is>
      </c>
      <c r="C13" s="22" t="inlineStr">
        <is>
          <t>เลือกใช้โมดูลขยายสัญญาณแบบสำเร็จรูปที่มีวงจรกรองสัญญาณในตัว</t>
        </is>
      </c>
      <c r="D13" s="22" t="inlineStr">
        <is>
          <t>จำกัดการวิเคราะห์ไว้เฉพาะท่อตรงที่มีความยาวแน่นอน ไม่วิเคราะห์ท่อเลี้ยวหรือท่อแยก</t>
        </is>
      </c>
      <c r="E13" s="22" t="inlineStr">
        <is>
          <t>ต้องล้างทำความสะอาดหัววัดด้วยมือทุกครั้งหลังใช้งาน ไม่สามารถติดตั้งทิ้งไว้ถาวรได้</t>
        </is>
      </c>
      <c r="F13" s="22" t="inlineStr">
        <is>
          <t>ไม่สามารถ de-scope ให้อยู่ในงบ 5,000 บาทได้ เป็นจุดตายวิกฤตทางการเงินของแนวทางนี้</t>
        </is>
      </c>
      <c r="G13" s="22" t="inlineStr">
        <is>
          <t>ไม่มีงบสำรองอะไหล่ เป็นความล้มเหลวทางการเงินที่ไม่สามารถแก้ไขได้</t>
        </is>
      </c>
      <c r="H13" s="22" t="inlineStr">
        <is>
          <t>ปรับลดความถี่ในการสำรวจท่อลงเหลือเฉพาะท่อสายหลัก</t>
        </is>
      </c>
      <c r="I13" s="22" t="inlineStr">
        <is>
          <t>ไม่สามารถทดสอบบนถนนสาธารณะได้เด็ดขาด ต้องยกเลิกการทดสอบบนถนนจริงทั้งหมด</t>
        </is>
      </c>
      <c r="J13" s="22" t="inlineStr">
        <is>
          <t>ใช้ข้อมูลแนวท่อจำลองในการทำแบบจำลองคอมพิวเตอร์แทน</t>
        </is>
      </c>
      <c r="K13" s="22" t="inlineStr">
        <is>
          <t>ต้องส่งเจ้าหน้าที่ไปถ่ายรูปหน้างานอยู่ดี ทำให้ไม่สามารถตอบสนองต่อ Leverage Point ในการลดการปล่อยรถเก้อได้</t>
        </is>
      </c>
      <c r="L13" s="22" t="inlineStr">
        <is>
          <t>ต้องจัดหาอุปกรณ์ช่วยยกฝาท่อและชุดอุปกรณ์ความปลอดภัยครบชุด</t>
        </is>
      </c>
      <c r="M13" s="22" t="inlineStr">
        <is>
          <t>ห้ามลงพื้นที่ท่อระบายน้ำจริงเด็ดขาด เป็นจุดตายของแนวคิดนี้</t>
        </is>
      </c>
      <c r="N13" s="22" t="inlineStr">
        <is>
          <t>ตัดการทดลองภาคสนามออกทั้งหมด เหลือเฉพาะการทดลองบนท่อจำลองสั้น ๆ ในแล็บ</t>
        </is>
      </c>
      <c r="O13" s="22" t="inlineStr">
        <is>
          <t>ลดทอนเหลือเพียงการทดลองวัดระยะทางด้วยเสียงธรรมดาในห้องแล็บ</t>
        </is>
      </c>
      <c r="P13" s="22" t="inlineStr">
        <is>
          <t>ไม่สามารถแก้ปัญหา Lead Time ได้หากต้องใช้อุปกรณ์นำเข้าจากต่างประเทศ</t>
        </is>
      </c>
      <c r="Q13" s="22" t="inlineStr">
        <is>
          <t>นำเสนอเป็นระบบฐานข้อมูลสำหรับการบำรุงรักษาเชิงป้องกันประจำปี</t>
        </is>
      </c>
      <c r="R13" s="22" t="inlineStr">
        <is>
          <t>ใช้สายสลิงเหล็กกล้าผูกรั้งหัวเซนเซอร์และทดสอบแรงดึงก่อนหย่อนลงท่อ</t>
        </is>
      </c>
      <c r="S13" s="22" t="inlineStr">
        <is>
          <t>จัดทำแผนที่ท่อระบายน้ำให้ครอบคลุมทั้งเขตเมืองชั้นในและชุมชนชานเมืองอย่างเท่าเทียม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2026-09-23T05:45:42Z</dcterms:created>
  <dcterms:modified xsi:type="dcterms:W3CDTF">2026-09-23T05:45:42Z</dcterms:modified>
</cp:coreProperties>
</file>