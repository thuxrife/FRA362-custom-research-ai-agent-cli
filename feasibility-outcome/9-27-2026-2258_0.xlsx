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_1_CCTV_Flow" sheetId="2" state="visible" r:id="rId2"/>
    <sheet name="Solution_2_Acoustic_Sewer" sheetId="3" state="visible" r:id="rId3"/>
    <sheet name="Solution_3_Adaptive_Misting"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9C0006"/>
      <sz val="16"/>
    </font>
    <font>
      <name val="Segoe UI"/>
      <b val="1"/>
      <color rgb="009C0006"/>
      <sz val="11"/>
    </font>
    <font>
      <name val="Segoe UI"/>
      <b val="1"/>
      <color rgb="00002060"/>
      <sz val="10"/>
    </font>
    <font>
      <name val="Segoe UI"/>
      <b val="1"/>
      <color rgb="00002060"/>
      <sz val="11"/>
    </font>
    <font>
      <name val="Segoe UI"/>
      <b val="1"/>
      <color rgb="00006100"/>
      <sz val="12"/>
    </font>
    <font>
      <name val="Segoe UI"/>
      <b val="1"/>
      <color rgb="00002060"/>
      <sz val="14"/>
    </font>
    <font>
      <name val="Segoe UI"/>
      <b val="1"/>
      <color rgb="00006100"/>
      <sz val="16"/>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9C0006"/>
      <sz val="13"/>
    </font>
    <font>
      <name val="Segoe UI"/>
      <b val="1"/>
      <color rgb="009C0006"/>
      <sz val="10"/>
    </font>
    <font>
      <name val="Segoe UI"/>
      <b val="1"/>
      <color rgb="00006100"/>
      <sz val="13"/>
    </font>
  </fonts>
  <fills count="10">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FFC7CE"/>
        <bgColor rgb="00FFC7CE"/>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0">
    <xf numFmtId="0" fontId="0" fillId="0" borderId="0" pivotButton="0" quotePrefix="0" xfId="0"/>
    <xf numFmtId="0" fontId="15" fillId="0" borderId="0" pivotButton="0" quotePrefix="0" xfId="0"/>
    <xf numFmtId="0" fontId="16" fillId="0" borderId="0" pivotButton="0" quotePrefix="0" xfId="0"/>
    <xf numFmtId="0" fontId="17" fillId="3" borderId="1" applyAlignment="1" pivotButton="0" quotePrefix="0" xfId="0">
      <alignment horizontal="center" vertical="center" wrapText="1"/>
    </xf>
    <xf numFmtId="0" fontId="17" fillId="8" borderId="1" applyAlignment="1" pivotButton="0" quotePrefix="0" xfId="0">
      <alignment horizontal="center" vertical="center" wrapText="1"/>
    </xf>
    <xf numFmtId="0" fontId="0" fillId="9" borderId="1" applyAlignment="1" pivotButton="0" quotePrefix="0" xfId="0">
      <alignment horizontal="center" vertical="center"/>
    </xf>
    <xf numFmtId="0" fontId="18" fillId="9" borderId="1" applyAlignment="1" pivotButton="0" quotePrefix="0" xfId="0">
      <alignment horizontal="center" vertical="center"/>
    </xf>
    <xf numFmtId="0" fontId="19" fillId="9" borderId="1" applyAlignment="1" pivotButton="0" quotePrefix="0" xfId="0">
      <alignment horizontal="left" vertical="center" wrapText="1"/>
    </xf>
    <xf numFmtId="165" fontId="20" fillId="6" borderId="1" applyAlignment="1" pivotButton="0" quotePrefix="0" xfId="0">
      <alignment horizontal="center" vertical="center"/>
    </xf>
    <xf numFmtId="2" fontId="18" fillId="9" borderId="1" applyAlignment="1" pivotButton="0" quotePrefix="0" xfId="0">
      <alignment horizontal="center" vertical="center"/>
    </xf>
    <xf numFmtId="0" fontId="21" fillId="6" borderId="1" applyAlignment="1" pivotButton="0" quotePrefix="0" xfId="0">
      <alignment horizontal="center" vertical="center" wrapText="1"/>
    </xf>
    <xf numFmtId="0" fontId="0" fillId="9"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1" applyAlignment="1" pivotButton="0" quotePrefix="0" xfId="0">
      <alignment horizontal="left" vertical="center" wrapText="1"/>
    </xf>
    <xf numFmtId="165" fontId="22" fillId="7" borderId="1" applyAlignment="1" pivotButton="0" quotePrefix="0" xfId="0">
      <alignment horizontal="center" vertical="center"/>
    </xf>
    <xf numFmtId="2"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7" borderId="1" applyAlignment="1" pivotButton="0" quotePrefix="0" xfId="0">
      <alignment horizontal="center" vertical="center"/>
    </xf>
    <xf numFmtId="0" fontId="12" fillId="7" borderId="1" applyAlignment="1" pivotButton="0" quotePrefix="0" xfId="0">
      <alignment horizontal="center" vertical="center"/>
    </xf>
    <xf numFmtId="0" fontId="4" fillId="8" borderId="1" applyAlignment="1" pivotButton="0" quotePrefix="0" xfId="0">
      <alignment horizontal="center" vertical="center" wrapText="1"/>
    </xf>
    <xf numFmtId="0" fontId="5" fillId="0" borderId="1" applyAlignment="1" pivotButton="0" quotePrefix="0" xfId="0">
      <alignment horizontal="left" vertical="center"/>
    </xf>
    <xf numFmtId="165" fontId="13" fillId="5" borderId="1" applyAlignment="1" pivotButton="0" quotePrefix="0" xfId="0">
      <alignment horizontal="center" vertical="center"/>
    </xf>
    <xf numFmtId="165" fontId="14" fillId="7" borderId="1" applyAlignment="1" pivotButton="0" quotePrefix="0" xfId="0">
      <alignment horizontal="center" vertical="center"/>
    </xf>
    <xf numFmtId="0" fontId="1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12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(/12)</t>
        </is>
      </c>
      <c r="P4" s="4" t="inlineStr">
        <is>
          <t>เหตุผลความเข้ากันได้ด้านหุ่นยนต์ (Robotics Engineering Rationale)</t>
        </is>
      </c>
    </row>
    <row r="5" ht="55" customHeight="1">
      <c r="A5" s="5" t="n">
        <v>1</v>
      </c>
      <c r="B5" s="6" t="inlineStr">
        <is>
          <t>Solution_1_CCTV_Flow</t>
        </is>
      </c>
      <c r="C5" s="7" t="inlineStr">
        <is>
          <t>CCTV on the road (Visual water flow) + ultrasonic to measure the flow rate of the canal + alarm</t>
        </is>
      </c>
      <c r="D5" s="8">
        <f>'Solution_1_CCTV_Flow'!S9</f>
        <v/>
      </c>
      <c r="E5" s="9">
        <f>'Solution_1_CCTV_Flow'!D17</f>
        <v/>
      </c>
      <c r="F5" s="9">
        <f>'Solution_1_CCTV_Flow'!D18</f>
        <v/>
      </c>
      <c r="G5" s="9">
        <f>'Solution_1_CCTV_Flow'!D19</f>
        <v/>
      </c>
      <c r="H5" s="9">
        <f>'Solution_1_CCTV_Flow'!D20</f>
        <v/>
      </c>
      <c r="I5" s="9">
        <f>'Solution_1_CCTV_Flow'!D21</f>
        <v/>
      </c>
      <c r="J5" s="9">
        <f>'Solution_1_CCTV_Flow'!D22</f>
        <v/>
      </c>
      <c r="K5" s="10">
        <f>'Solution_1_CCTV_Flow'!S12</f>
        <v/>
      </c>
      <c r="L5" s="11" t="inlineStr">
        <is>
          <t>ใช้โครงสร้างพื้นฐานเดิมของเมือง (กล้อง CCTV กทม. และเซนเซอร์วัดระดับน้ำในคลอง) ทำให้ต้นทุน CapEx เริ่มแรกต่ำมาก</t>
        </is>
      </c>
      <c r="M5" s="11" t="inlineStr">
        <is>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is>
      </c>
      <c r="N5" s="11" t="inlineStr">
        <is>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is>
      </c>
      <c r="O5" s="12" t="n">
        <v>6</v>
      </c>
      <c r="P5" s="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row r="6" ht="55" customHeight="1">
      <c r="A6" s="13" t="n">
        <v>2</v>
      </c>
      <c r="B6" s="14" t="inlineStr">
        <is>
          <t>Solution_2_Acoustic_Sewer</t>
        </is>
      </c>
      <c r="C6" s="15" t="inlineStr">
        <is>
          <t>Sewer Inspection by transmitter and receiver. Mapping Sewer profile</t>
        </is>
      </c>
      <c r="D6" s="16">
        <f>'Solution_2_Acoustic_Sewer'!S9</f>
        <v/>
      </c>
      <c r="E6" s="17">
        <f>'Solution_2_Acoustic_Sewer'!D17</f>
        <v/>
      </c>
      <c r="F6" s="17">
        <f>'Solution_2_Acoustic_Sewer'!D18</f>
        <v/>
      </c>
      <c r="G6" s="17">
        <f>'Solution_2_Acoustic_Sewer'!D19</f>
        <v/>
      </c>
      <c r="H6" s="17">
        <f>'Solution_2_Acoustic_Sewer'!D20</f>
        <v/>
      </c>
      <c r="I6" s="17">
        <f>'Solution_2_Acoustic_Sewer'!D21</f>
        <v/>
      </c>
      <c r="J6" s="17">
        <f>'Solution_2_Acoustic_Sewer'!D22</f>
        <v/>
      </c>
      <c r="K6" s="18">
        <f>'Solution_2_Acoustic_Sewer'!S12</f>
        <v/>
      </c>
      <c r="L6" s="19" t="inlineStr">
        <is>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is>
      </c>
      <c r="M6" s="19" t="inlineStr">
        <is>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is>
      </c>
      <c r="N6" s="19" t="inlineStr">
        <is>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is>
      </c>
      <c r="O6" s="12" t="n">
        <v>8</v>
      </c>
      <c r="P6" s="15"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row r="7" ht="55" customHeight="1">
      <c r="A7" s="5" t="n">
        <v>3</v>
      </c>
      <c r="B7" s="6" t="inlineStr">
        <is>
          <t>Solution_3_Adaptive_Misting</t>
        </is>
      </c>
      <c r="C7" s="7" t="inlineStr">
        <is>
          <t>ระบบปล่อยน้ำแบบ Adaptive เพื่อระบายความร้อนบนทางเดินเท้าและตรอกซอยอย่างมีประสิทธิภาพสูงสุด</t>
        </is>
      </c>
      <c r="D7" s="8">
        <f>'Solution_3_Adaptive_Misting'!S9</f>
        <v/>
      </c>
      <c r="E7" s="9">
        <f>'Solution_3_Adaptive_Misting'!D17</f>
        <v/>
      </c>
      <c r="F7" s="9">
        <f>'Solution_3_Adaptive_Misting'!D18</f>
        <v/>
      </c>
      <c r="G7" s="9">
        <f>'Solution_3_Adaptive_Misting'!D19</f>
        <v/>
      </c>
      <c r="H7" s="9">
        <f>'Solution_3_Adaptive_Misting'!D20</f>
        <v/>
      </c>
      <c r="I7" s="9">
        <f>'Solution_3_Adaptive_Misting'!D21</f>
        <v/>
      </c>
      <c r="J7" s="9">
        <f>'Solution_3_Adaptive_Misting'!D22</f>
        <v/>
      </c>
      <c r="K7" s="10">
        <f>'Solution_3_Adaptive_Misting'!S12</f>
        <v/>
      </c>
      <c r="L7" s="11" t="inlineStr">
        <is>
          <t>เป็นระบบหุ่นยนต์และเมคคาทรอนิกส์แบบ Closed-loop สมบูรณ์ (Robotics Score 8.0/10 สูงสุด) ใช้ COTS สำเร็จรูป ทีมงานมีความพร้อมทางเทคนิคครบถ้วน (TRL 7)</t>
        </is>
      </c>
      <c r="M7" s="11" t="inlineStr">
        <is>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is>
      </c>
      <c r="N7" s="11" t="inlineStr">
        <is>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is>
      </c>
      <c r="O7" s="12" t="n">
        <v>10</v>
      </c>
      <c r="P7" s="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10.0/12.0 due to its stationary configuration lacking multi-DOF kinematics or mobile locomotion.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CCTV on the road (Visual water flow) + ultrasonic to measure the flow rate of the canal + alarm</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ของระบบตรวจจับการไหลด้วยกล้องและเซนเซอร์คลอง?</t>
        </is>
      </c>
      <c r="C6" s="27" t="inlineStr">
        <is>
          <t>สิทธิ์ในการเข้าถึงสตรีมวิดีโอและระบบนิเวศข้อมูล (Access &amp; Permissions) ของกล้อง CCTV กทม. และเซนเซอร์คลองเดิม?</t>
        </is>
      </c>
      <c r="D6" s="27" t="inlineStr">
        <is>
          <t>ระดับความพร้อมทางเทคโนโลยี (Base Performance / TRL) ของการคำนวณการไหลของน้ำบนผิวถนนด้วยกล้อง CCTV ในสภาพแสงธรรมชาติ?</t>
        </is>
      </c>
      <c r="E6" s="27" t="inlineStr">
        <is>
          <t>ความพร้อมและความซ้ำซ้อนของทักษะสมาชิกในทีม (Team Compatibility &amp; SPOF Risk) ในด้าน Computer Vision และ Fluid Dynamics?</t>
        </is>
      </c>
      <c r="F6" s="27" t="inlineStr">
        <is>
          <t>ช่วงการเรียนรู้ทางเทคโนโลยีใหม่ (Learning Curve Burden) สำหรับการประมวลผล Particle Image/Tracking Velocimetry?</t>
        </is>
      </c>
      <c r="G6" s="27" t="inlineStr">
        <is>
          <t>ระยะเวลาคืนทุนและความคุ้มค่าทางเศรษฐกิจ (ROI &amp; Payback Horizon) จากการลดความเสียหายน้ำท่วม?</t>
        </is>
      </c>
      <c r="H6" s="27" t="inlineStr">
        <is>
          <t>ระดับการพึ่งพาชิ้นส่วนและสถาปัตยกรรมระบบ (Vendor Lock-in &amp; Autonomy) ของการดึงข้อมูลสตรีมและเซนเซอร์?</t>
        </is>
      </c>
      <c r="I6" s="27" t="inlineStr">
        <is>
          <t>สัดส่วนงบประมาณสำรองความเสียหายของชิ้นส่วน (Scrap Margin Allowance) สำหรับการทดสอบต้นแบบ?</t>
        </is>
      </c>
      <c r="J6" s="27" t="inlineStr">
        <is>
          <t>การปฏิบัติตามกฎหมายจราจร ความปลอดภัยสาธารณะ และ พ.ร.บ. คุ้มครองข้อมูลส่วนบุคคล (PDPA Compliance)?</t>
        </is>
      </c>
      <c r="K6" s="27" t="inlineStr">
        <is>
          <t>เงื่อนไขสัญญาอนุญาตซอฟต์แวร์และทรัพย์สินทางปัญญา (IP &amp; Licensing Framework)?</t>
        </is>
      </c>
      <c r="L6" s="27" t="inlineStr">
        <is>
          <t>ระดับความรุนแรงของผลกระทบเมื่อระบบขัดข้อง (User Failure Impact &amp; Safety)?</t>
        </is>
      </c>
      <c r="M6" s="27" t="inlineStr">
        <is>
          <t>ความสอดคล้องกับพฤติกรรมผู้ใช้และแรงต้านทานในการปฏิบัติงาน (User Behavior &amp; Solution Fit)?</t>
        </is>
      </c>
      <c r="N6" s="27" t="inlineStr">
        <is>
          <t>ข้อจำกัดด้านการเข้าถึงสถานที่และสิ่งอำนวยความสะดวกในการพัฒนา (Developer Contribution Dependency)?</t>
        </is>
      </c>
      <c r="O6" s="27" t="inlineStr">
        <is>
          <t>ความซับซ้อนในขั้นตอนการพัฒนาและการติดตั้งระบบ (Developer Complexity &amp; Pipeline Friction)?</t>
        </is>
      </c>
      <c r="P6" s="27" t="inlineStr">
        <is>
          <t>ความพร้อมของแบบทางวิศวกรรมภายในกรอบเวลา 5 สัปดาห์ทำงาน (Engineering Design Maturity)?</t>
        </is>
      </c>
      <c r="Q6" s="27" t="inlineStr">
        <is>
          <t>ระดับการครอบคลุมเสาหลักความยั่งยืนตามโมเดล Stockholm Wedding Cake (Planet, People, Prosperity)?</t>
        </is>
      </c>
      <c r="R6" s="27" t="inlineStr">
        <is>
          <t>รอยเท้าทางสิ่งแวดล้อม ขยะอิเล็กทรอนิกส์ และหลักการไม่สร้างผลเสีย (Do No Harm &amp; E-Waste)?</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ประเมินความครอบคลุมของผลกระทบเชิงระบบว่าตอบโจทย์เสาหลักความยั่งยืน 3 ชั้นหลักของ Stockholm Resilience Centre (ชีวมณฑล/Planet, สังคม/People, และเศรษฐกิจ/Prosperity) อย่างเป็นองค์รวม ไม่ใช่โครงการแก้ปัญหาจุดเดียวที่ละเลยมิติอื่น</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หลุดจาก Wedding Cake หรือสร้างผลกระทบเชิงลบต่อเสาหลักใดเสาหลักหนึ่งอย่างรุนแรง
2: สัมผัสเพียง 1 เสาหลักอย่างผิวเผิน ขาดการเชื่อมโยงเชิงประจักษ์ไปยังสังคมหรือสิ่งแวดล้อมจริง
3: ครอบคลุม 1 เสาหลักอย่างเป็นรูปธรรม หรือ 2 เสาหลักแบบมีข้อจำกัดเฉพาะจุด/เฉพาะช่วงเวลา
4: บูรณาการ 2 เสาหลักสำคัญ (เช่น Planet + People) ควบคู่กันอย่างชัดเจนและมีตัวชี้วัดรองรับ
5: บูรณาการครบทั้ง 3 เสาหลัก (Planet, People, Prosperity) อย่างสมดุลและครบวงจร</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2</v>
      </c>
      <c r="C9" s="30" t="n">
        <v>1</v>
      </c>
      <c r="D9" s="30" t="n">
        <v>1</v>
      </c>
      <c r="E9" s="30" t="n">
        <v>1</v>
      </c>
      <c r="F9" s="30" t="n">
        <v>2</v>
      </c>
      <c r="G9" s="30" t="n">
        <v>5</v>
      </c>
      <c r="H9" s="30" t="n">
        <v>4</v>
      </c>
      <c r="I9" s="30" t="n">
        <v>5</v>
      </c>
      <c r="J9" s="30" t="n">
        <v>3</v>
      </c>
      <c r="K9" s="30" t="n">
        <v>5</v>
      </c>
      <c r="L9" s="30" t="n">
        <v>4</v>
      </c>
      <c r="M9" s="30" t="n">
        <v>4</v>
      </c>
      <c r="N9" s="30" t="n">
        <v>3</v>
      </c>
      <c r="O9" s="30" t="n">
        <v>3</v>
      </c>
      <c r="P9" s="30" t="n">
        <v>3</v>
      </c>
      <c r="Q9" s="30" t="n">
        <v>3</v>
      </c>
      <c r="R9" s="30" t="n">
        <v>4</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solution-details/solution-1.md lines 36-41; OpenCV exists but outdoor PTV/PIV hydrological velocimetry requires extensive custom homography rectification, rain-streak filtering, and wrapper code.</t>
        </is>
      </c>
      <c r="C12" s="27" t="inlineStr">
        <is>
          <t>solution-details/solution-1.md lines 14-15; BMA Traffic CCTV video feeds and DDS canal ultrasonic telemetry are locked behind municipal government intranets/firewalls with zero public developer API or RTSP access, triggering a fatal flaw VETO.</t>
        </is>
      </c>
      <c r="D12" s="27" t="inlineStr">
        <is>
          <t>solution-details/solution-1.md lines 18-32; uncalibrated ambient-light street CCTV runoff velocimetry without seeding particles is at TRL 2-3 academic proof-of-concept level, failing field operational stability.</t>
        </is>
      </c>
      <c r="E12" s="27" t="inlineStr">
        <is>
          <t>team-skills/jk.md line 42 vs. due.md, fifa.md, jay.md, kin.md; only JK has basic OpenCV experience, and zero team members have fluid velocimetry expertise, creating a complete Single Point of Failure (SPOF).</t>
        </is>
      </c>
      <c r="F12" s="27" t="inlineStr">
        <is>
          <t>team-skills/jk.md lines 32-44; team has general math background but zero hands-on experience with fluid PIV/PTV cross-correlation, homography calibration, or outdoor illumination noise filtering.</t>
        </is>
      </c>
      <c r="G12" s="27" t="inlineStr">
        <is>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is>
      </c>
      <c r="H12" s="27" t="inlineStr">
        <is>
          <t>Utilizes standard open streaming (RTSP/ONVIF) and telemetry protocols (MQTT/REST) compatible with generic IP cameras and ultrasonic gauges, though data ingestion depends on BMA centralized network access.</t>
        </is>
      </c>
      <c r="I12" s="27" t="inlineStr">
        <is>
          <t>Minimal physical hardware BOM for bench TRL 2-4 validation (ESP32 and ultrasonic sensor &lt; 1,500 THB total) allows the team to maintain a &gt;= 100% duplicate spare buffer, fully accommodating JK's soldering limitations.</t>
        </is>
      </c>
      <c r="J12" s="27" t="inlineStr">
        <is>
          <t>Processing public roadway CCTV streams captures personal data (faces, license plates) subject to Thailand's PDPA B.E. 2562, and pulling municipal feeds requires formal written approval/MoU from BMA under the Computer Crime Act.</t>
        </is>
      </c>
      <c r="K12" s="27" t="inlineStr">
        <is>
          <t>Core OpenCV computer vision pipeline is Apache 2.0, Python analytics stack is BSD/MIT, and ESP-IDF firmware is Apache 2.0, completely free of commercial seat fees or viral copyleft restrictions.</t>
        </is>
      </c>
      <c r="L12" s="27" t="inlineStr">
        <is>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is>
      </c>
      <c r="M12" s="27" t="inlineStr">
        <is>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is>
      </c>
      <c r="N12" s="27" t="inlineStr">
        <is>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is>
      </c>
      <c r="O12" s="27" t="inlineStr">
        <is>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is>
      </c>
      <c r="P12" s="27" t="inlineStr">
        <is>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is>
      </c>
      <c r="Q12" s="27" t="inlineStr">
        <is>
          <t>Solution-1 touches across the Wedding Cake tiers: (1) Planet/Biosphere via SDG 13.1 (flood risk mitigation) &amp; SDG 6.3 (canal level monitoring); (2) People/Society via SDG 11.5 (urban road flood alerting to reduce vehicle &amp; commuter losses); and (3) Prosperity/Economy via SDG 12.5 (municipal asset sweating by reusing existing CCTV and canal gauges). However, its operation is strictly daylight-only ('ภายในช่วงที่มีแสง') with blind spots outside camera FOV ('บางท่ออยู่นอกขอบเขตของ CCTV'), meaning its societal alerting and environmental tracking remain a localized proof-of-concept rather than an all-weather district-wide systemic integration (Level 3: Robust Single-Pillar / Limited Dual-Tier).</t>
        </is>
      </c>
      <c r="R12" s="27" t="inlineStr">
        <is>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Descope from uncalibrated CCTV computer vision to installing standard COTS ultrasonic distance/depth sensors inside drainage catch basins reading water levels directly.</t>
        </is>
      </c>
      <c r="C13" s="27" t="inlineStr">
        <is>
          <t>Abandon municipal CCTV infrastructure entirely; deploy team-owned standalone camera modules or IoT microcontrollers on private property with signed landowner consent.</t>
        </is>
      </c>
      <c r="D13" s="27" t="inlineStr">
        <is>
          <t>Pivot from video velocimetry to a physical pressure transducer or float switch in the catch basin, operating at commercial maturity (TRL 8-9).</t>
        </is>
      </c>
      <c r="E13" s="27" t="inlineStr">
        <is>
          <t>Replace video flow tracking with standard sensor telemetry (water level/pressure) where Due, Fifa, and JK share broad redundant embedded C/C++ firmware capabilities.</t>
        </is>
      </c>
      <c r="F13" s="27" t="inlineStr">
        <is>
          <t>Descope quantitative fluid discharge calculation (m3/s) to basic frame-differencing motion detection (e.g. MOG2 background subtractor) to detect mere presence of standing water.</t>
        </is>
      </c>
      <c r="G13" s="27" t="inlineStr">
        <is>
          <t>Pilot initial software deployment on 5 critical flood-prone road intersections to validate immediate flood damage reduction within season 1.</t>
        </is>
      </c>
      <c r="H13" s="27" t="inlineStr">
        <is>
          <t>Implement a generic camera/sensor ingestion abstraction layer supporting both municipal CCTV streams and standalone COTS bench cameras.</t>
        </is>
      </c>
      <c r="I13" s="27" t="inlineStr">
        <is>
          <t>Deploy pre-soldered ESP32 boards with screw-terminal breakout shields and maintain duplicate bench rigs.</t>
        </is>
      </c>
      <c r="J13" s="27" t="inlineStr">
        <is>
          <t>Implement real-time edge blurring/masking of license plates and pedestrians before optical flow processing to guarantee Zero PII retention, backed by a formal KMUTT-BMA educational research MoU.</t>
        </is>
      </c>
      <c r="K13" s="27" t="inlineStr">
        <is>
          <t>Use OpenCV's native Farneback/Lucas-Kanade optical flow routines under Apache 2.0 rather than external GPLv3-licensed academic PIV code.</t>
        </is>
      </c>
      <c r="L13" s="27" t="inlineStr">
        <is>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is>
      </c>
      <c r="M13" s="27" t="inlineStr">
        <is>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is>
      </c>
      <c r="N13" s="27" t="inlineStr">
        <is>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is>
      </c>
      <c r="O13" s="27" t="inlineStr">
        <is>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is>
      </c>
      <c r="P13" s="27" t="inlineStr">
        <is>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is>
      </c>
      <c r="Q13" s="27" t="inlineStr">
        <is>
          <t>Deploy near-infrared (NIR) feature tracking with rain-streak filtering, and cross-reference TMD weather radar data to ensure night-time continuity, expanding Wedding Cake resilience across Planet and People to 24/7 coverage.</t>
        </is>
      </c>
      <c r="R13" s="27" t="inlineStr">
        <is>
          <t>House edge compute hardware in IP67-rated, UV-stabilized 100% recyclable polycarbonate (PC) enclosures with dual stainless steel safety lanyards; establish a formal end-of-life (EoL) hardware recycling agreement with BMA Department of Drainage and Sewerage (DDS).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6</v>
      </c>
      <c r="C28" s="27" t="inlineStr">
        <is>
          <t>Level 3.0 / 4.0: Computer vision optical flow, PIV, and PTV via municipal CCTV combined with ultrasonic canal water level sensing.</t>
        </is>
      </c>
      <c r="D28" s="27" t="inlineStr">
        <is>
          <t>Level 2.0 / 4.0: Rule-based diagnostic threshold logic separating rain runoff from clogged sewers; lacks dynamic plant state estimation and closed-loop feedback.</t>
        </is>
      </c>
      <c r="E28" s="27" t="inlineStr">
        <is>
          <t>Level 1.0 / 4.0: Static mounting brackets with zero mechanical actuation, moving parts, power transmission, or physical intervention on the environment.</t>
        </is>
      </c>
      <c r="F28" s="2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Sewer Inspection by transmitter and receiver. Mapping Sewer profile</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ของระบบหัวส่ง-หัวรับคลื่นเสียงในท่อระบายน้ำ?</t>
        </is>
      </c>
      <c r="C6" s="27" t="inlineStr">
        <is>
          <t>สิทธิ์ในการเข้าถึงสตรีมวิดีโอและระบบนิเวศข้อมูล (Access &amp; Permissions) ของระบบตรวจวัดคลื่นเสียงสะท้อน?</t>
        </is>
      </c>
      <c r="D6" s="27" t="inlineStr">
        <is>
          <t>ระดับความพร้อมทางเทคโนโลยี (Base Performance / TRL) ของเทคโนโลยี Airborne Acoustic Reflectometry ในท่อ?</t>
        </is>
      </c>
      <c r="E6" s="27" t="inlineStr">
        <is>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is>
      </c>
      <c r="F6" s="27" t="inlineStr">
        <is>
          <t>ช่วงการเรียนรู้ทางเทคโนโลยีใหม่ (Learning Curve Burden) สำหรับการขับสัญญาณเสียง Chirp Sweep และการประมวลผล Cross-correlation?</t>
        </is>
      </c>
      <c r="G6" s="27" t="inlineStr">
        <is>
          <t>ระยะเวลาคืนทุนและความคุ้มค่าทางเศรษฐกิจ (ROI &amp; Payback Horizon) ของการคัดกรองท่อก่อนส่งรถดูดเลน?</t>
        </is>
      </c>
      <c r="H6" s="27" t="inlineStr">
        <is>
          <t>ระดับการพึ่งพาชิ้นส่วนและสถาปัตยกรรมระบบ (Vendor Lock-in &amp; Autonomy) ของทรานสดิวเซอร์เสียงและไมโครโฟน?</t>
        </is>
      </c>
      <c r="I6" s="27" t="inlineStr">
        <is>
          <t>สัดส่วนงบประมาณสำรองความเสียหายของชิ้นส่วน (Scrap Margin Allowance) สำหรับวงจรขับเสียงและหัววัด?</t>
        </is>
      </c>
      <c r="J6" s="27" t="inlineStr">
        <is>
          <t>การปฏิบัติตามกฎหมายจราจร ความปลอดภัยในพื้นที่อับอากาศ และระเบียบการเปิดฝาท่อสาธารณะ?</t>
        </is>
      </c>
      <c r="K6" s="27" t="inlineStr">
        <is>
          <t>เงื่อนไขสัญญาอนุญาตซอฟต์แวร์และทรัพย์สินทางปัญญา (IP &amp; Licensing Framework) ของอัลกอริทึมวิเคราะห์สัญญาณเสียง?</t>
        </is>
      </c>
      <c r="L6" s="27" t="inlineStr">
        <is>
          <t>ระดับความรุนแรงของผลกระทบเมื่อระบบขัดข้อง (User Failure Impact &amp; Safety) ระหว่างการตรวจวัดท่อ?</t>
        </is>
      </c>
      <c r="M6" s="27" t="inlineStr">
        <is>
          <t>ความสอดคล้องกับพฤติกรรมผู้ใช้และแรงต้านทานในการปฏิบัติงาน (User Behavior &amp; Solution Fit) ของคะแนนความสะอาด 0-10?</t>
        </is>
      </c>
      <c r="N6" s="27" t="inlineStr">
        <is>
          <t>ข้อจำกัดด้านการเข้าถึงสถานที่และสิ่งอำนวยความสะดวกในการพัฒนา (Developer Contribution Dependency) สำหรับการทดสอบท่อ?</t>
        </is>
      </c>
      <c r="O6" s="27" t="inlineStr">
        <is>
          <t>ความซับซ้อนในขั้นตอนการพัฒนาและการติดตั้งระบบ (Developer Complexity &amp; Pipeline Friction) ของการประมวลผลเสียง?</t>
        </is>
      </c>
      <c r="P6" s="27" t="inlineStr">
        <is>
          <t>ความพร้อมของแบบทางวิศวกรรมภายในกรอบเวลา 5 สัปดาห์ทำงาน (Engineering Design Maturity) สำหรับชุดตรวจวัดคลื่นเสียง?</t>
        </is>
      </c>
      <c r="Q6" s="27" t="inlineStr">
        <is>
          <t>ระดับการครอบคลุมเสาหลักความยั่งยืนตามโมเดล Stockholm Wedding Cake (Planet, People, Prosperity)?</t>
        </is>
      </c>
      <c r="R6" s="27" t="inlineStr">
        <is>
          <t>รอยเท้าทางสิ่งแวดล้อม ขยะอิเล็กทรอนิกส์ และหลักการไม่สร้างผลเสีย (Do No Harm &amp; E-Waste) ของหัววัดแบบพกพา?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ประเมินความครอบคลุมของผลกระทบเชิงระบบว่าตอบโจทย์เสาหลักความยั่งยืน 3 ชั้นหลักของ Stockholm Resilience Centre (ชีวมณฑล/Planet, สังคม/People, และเศรษฐกิจ/Prosperity) อย่างเป็นองค์รวม ไม่ใช่โครงการแก้ปัญหาจุดเดียวที่ละเลยมิติอื่น</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หลุดจาก Wedding Cake หรือสร้างผลกระทบเชิงลบต่อเสาหลักใดเสาหลักหนึ่งอย่างรุนแรง
2: สัมผัสเพียง 1 เสาหลักอย่างผิวเผิน ขาดการเชื่อมโยงเชิงประจักษ์ไปยังสังคมหรือสิ่งแวดล้อมจริง
3: ครอบคลุม 1 เสาหลักอย่างเป็นรูปธรรม หรือ 2 เสาหลักแบบมีข้อจำกัดเฉพาะจุด/เฉพาะช่วงเวลา
4: บูรณาการ 2 เสาหลักสำคัญ (เช่น Planet + People) ควบคู่กันอย่างชัดเจนและมีตัวชี้วัดรองรับ
5: บูรณาการครบทั้ง 3 เสาหลัก (Planet, People, Prosperity) อย่างสมดุลและครบวงจร</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3</v>
      </c>
      <c r="E9" s="30" t="n">
        <v>3</v>
      </c>
      <c r="F9" s="30" t="n">
        <v>3</v>
      </c>
      <c r="G9" s="30" t="n">
        <v>3</v>
      </c>
      <c r="H9" s="30" t="n">
        <v>4</v>
      </c>
      <c r="I9" s="30" t="n">
        <v>3</v>
      </c>
      <c r="J9" s="30" t="n">
        <v>2</v>
      </c>
      <c r="K9" s="30" t="n">
        <v>5</v>
      </c>
      <c r="L9" s="30" t="n">
        <v>4</v>
      </c>
      <c r="M9" s="30" t="n">
        <v>4</v>
      </c>
      <c r="N9" s="30" t="n">
        <v>3</v>
      </c>
      <c r="O9" s="30" t="n">
        <v>3</v>
      </c>
      <c r="P9" s="30" t="n">
        <v>3</v>
      </c>
      <c r="Q9" s="30" t="n">
        <v>4</v>
      </c>
      <c r="R9" s="30" t="n">
        <v>5</v>
      </c>
      <c r="S9" s="48">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solution-details/solution-2.md lines 17-27, 43-47; team-skills/due.md line 26; standard COTS breakout boards (MAX98357 audio amp, MEMS mic, ESP32) integrated with 3D-printed acoustic horn brackets and custom glue code.</t>
        </is>
      </c>
      <c r="C12" s="27" t="inlineStr">
        <is>
          <t>solution-details/solution-2.md lines 43-47; team-skills/due.md line 20, jk.md lines 36-37; fully open-source firmware (ESP-IDF, Arduino) and Python scientific libraries (SciPy, NumPy) with 100% root/admin development rights.</t>
        </is>
      </c>
      <c r="D12" s="27" t="inlineStr">
        <is>
          <t>solution-details/solution-2.md lines 17-40; schedule-details/schedule.md line 16; airborne acoustic reflectometry in pipes is verified in relevant simulated pipe networks (TRL 5-6) in literature, well-aligned for reaching course target of TRL 4 by Week 16.</t>
        </is>
      </c>
      <c r="E12" s="27" t="inlineStr">
        <is>
          <t>team-skills/due.md line 26, fifa.md lines 12-25, jk.md lines 24-40, kin.md lines 12-32; Due leads audio hardware with Fifa/JK backup; JK leads signal processing/math with Kin/Due backup; Fifa leads mechanical fixtures with Due/Jay backup.</t>
        </is>
      </c>
      <c r="F12" s="27" t="inlineStr">
        <is>
          <t>team-skills/due.md line 26, jk.md lines 27, 33-40; team has proven adjacent mastery in ESP32, MAX98357 audio amplifier, and Python signal processing; requires a manageable 1-week curve to calibrate acoustic chirp sweeps and matched filtering.</t>
        </is>
      </c>
      <c r="G12" s="27" t="inlineStr">
        <is>
          <t>Acoustic sewer inspection provides fast pipe triage compared to multi-million Baht crawler robots, but its explicit operational limitation (cannot operate during high water/rain) and custom transducer tooling lengthen municipal payback to 3-5 years.</t>
        </is>
      </c>
      <c r="H12" s="27" t="inlineStr">
        <is>
          <t>Built using standard generic COTS components (MAX98357 audio amplifier, I2S microphones, ESP32) with open communication protocols, though specialized acoustic waveguide coupling horns require custom fitting.</t>
        </is>
      </c>
      <c r="I12" s="27" t="inlineStr">
        <is>
          <t>High-SPL acoustic transducers and audio amplifiers driven near saturation risk thermal burnouts; budget accommodates a 50% buffer (spare MCU and audio ICs), but cannot duplicate full heavy-duty transducer field rigs.</t>
        </is>
      </c>
      <c r="J12" s="27" t="inlineStr">
        <is>
          <t>Opening sewer manholes on active public roadways causes severe traffic disruption, hazardous road blockage under Land Traffic Act B.E. 2522, and toxic gas asphyxiation risks under Confined Space Ministerial Regulations B.E. 2562.</t>
        </is>
      </c>
      <c r="K12" s="27" t="inlineStr">
        <is>
          <t>Acoustic reflectometry physics is public domain; embedded DSP routines utilize CMSIS-DSP (Apache 2.0) and NumPy/SciPy (BSD) with zero proprietary licensing encumbrances.</t>
        </is>
      </c>
      <c r="L12" s="27" t="inlineStr">
        <is>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is>
      </c>
      <c r="M12" s="27" t="inlineStr">
        <is>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is>
      </c>
      <c r="N12" s="27" t="inlineStr">
        <is>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is>
      </c>
      <c r="O12" s="27" t="inlineStr">
        <is>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is>
      </c>
      <c r="P12" s="27" t="inlineStr">
        <is>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is>
      </c>
      <c r="Q12" s="27" t="inlineStr">
        <is>
          <t>Solution-2 achieves deep systemic alignment across the Wedding Cake: (1) Planet/Biosphere via SDG 6.3 (detecting sludge/grease blockages to prevent foul wastewater overflows into natural waterways); (2) People/Society via SDG 11.5 (pre-monsoon screening mitigating urban road flooding) and SDG 8.8 (protecting municipal workers by eliminating dangerous confined-space manual sewer entries); and (3) Prosperity/Economy by translating acoustic decay into a quantitative 0-10 Cleanliness Score to optimize municipal truck dispatch. It strongly secures Level 4 (robust dual-tier with active economic dispatch linkage).</t>
        </is>
      </c>
      <c r="R12" s="27" t="inlineStr">
        <is>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is>
      </c>
      <c r="S12" s="49">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commercial acoustic transducers with weather-sealed rubber gaskets and standard 3.5mm jacks to eliminate point-to-point field wiring fragility.</t>
        </is>
      </c>
      <c r="C13" s="27" t="inlineStr">
        <is>
          <t>None required. Maintain version-locked requirements (requirements.txt, platformio.ini) in git.</t>
        </is>
      </c>
      <c r="D13" s="27" t="inlineStr">
        <is>
          <t>Descope the complex 2D cross-sectional view from angular tomographic imaging to a simplified 1D axial blockage percentage graphic (A_blocked / A_pipe) and 0-10 cleanliness score.</t>
        </is>
      </c>
      <c r="E13" s="27" t="inlineStr">
        <is>
          <t>Structure modular interfaces allowing JK and Kin to simulate filtering on recorded WAV audio files while Due and Fifa finalize the acoustic housing.</t>
        </is>
      </c>
      <c r="F13" s="27" t="inlineStr">
        <is>
          <t>Generate pre-computed linear chirp audio files stored on an SD card or flash memory to bypass real-time synthetic waveform generation on the microcontroller.</t>
        </is>
      </c>
      <c r="G13" s="27" t="inlineStr">
        <is>
          <t>Bundle acoustic screening kits with existing municipal dredging trucks as a rapid pre-screening tool to prioritize crawler camera deployments.</t>
        </is>
      </c>
      <c r="H13" s="27" t="inlineStr">
        <is>
          <t>Standardize probe housings on generic commercial 4-ohm drivers and standard 1/2-inch condenser capsules with 3D-printed coupling adapters.</t>
        </is>
      </c>
      <c r="I13" s="27" t="inlineStr">
        <is>
          <t>Use pre-assembled Class-D amplifier modules with thermal/short protection and stock a 50% spare reserve of amplifier ICs and microphone capsules.</t>
        </is>
      </c>
      <c r="J13" s="27" t="inlineStr">
        <is>
          <t>Confine semester testing to KMUTT campus drainage conduits or an above-ground PVC pipe testbench, requiring official BMA crew accompaniment for any public street trials.</t>
        </is>
      </c>
      <c r="K13" s="27" t="inlineStr">
        <is>
          <t>Rely exclusively on Apache 2.0 and MIT signal processing libraries for FFT and cross-correlation filtering.</t>
        </is>
      </c>
      <c r="L13" s="27" t="inlineStr">
        <is>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is>
      </c>
      <c r="M13" s="27" t="inlineStr">
        <is>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is>
      </c>
      <c r="N13" s="27" t="inlineStr">
        <is>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is>
      </c>
      <c r="O13" s="27" t="inlineStr">
        <is>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is>
      </c>
      <c r="P13" s="27" t="inlineStr">
        <is>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is>
      </c>
      <c r="Q13" s="27" t="inlineStr">
        <is>
          <t>Integrate acoustic inspection logs into a mobile GIS-based maintenance dispatch pipeline for district public works crews (ฝ่ายโยธา) to formalize multi-subdistrict economic ROI into a full Level 5 city-wide deployment.</t>
        </is>
      </c>
      <c r="R13" s="27" t="inlineStr">
        <is>
          <t>Standardize handheld enclosures using non-toxic recyclable TPU and aluminum with replaceable hydrophobic ePTFE acoustic membranes to withstand sewer moisture without requiring harsh chemical cleaning agents.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8</v>
      </c>
      <c r="C28" s="27" t="inlineStr">
        <is>
          <t>Level 3.5 / 4.0: Airborne Acoustic Reflectometry (AAR) measuring acoustic wave propagation and energy attenuation across sewer air cavities under normal low-water conditions.</t>
        </is>
      </c>
      <c r="D28" s="27" t="inlineStr">
        <is>
          <t>Level 3.0 / 4.0: Digital signal processing (bandpass filtering, FFT, deconvolution) with 2D cross-sectional reconstruction and automated 0-10 cleanliness scale classification.</t>
        </is>
      </c>
      <c r="E28" s="27" t="inlineStr">
        <is>
          <t>Level 1.5 / 4.0: Manual transmitter/receiver placement across manholes; actuation features acoustic transducer sound wave excitation without motorized traversal or mechanical manipulation.</t>
        </is>
      </c>
      <c r="F28" s="27"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ของระบบพ่นละอองน้ำปรับตัวตามอุณหภูมิ?</t>
        </is>
      </c>
      <c r="C6" s="27" t="inlineStr">
        <is>
          <t>สิทธิ์ในการเข้าถึงสตรีมวิดีโอและระบบนิเวศข้อมูล (Access &amp; Permissions) ของเซนเซอร์ IR และรีเลย์ควบคุมวาล์ว?</t>
        </is>
      </c>
      <c r="D6" s="27" t="inlineStr">
        <is>
          <t>ระดับความพร้อมทางเทคโนโลยี (Base Performance / TRL) ของระบบพ่นหมอกระบายความร้อนและเซนเซอร์ IR ผิวทางเท้า?</t>
        </is>
      </c>
      <c r="E6" s="27" t="inlineStr">
        <is>
          <t>ความพร้อมและความซ้ำซ้อนของทักษะสมาชิกในทีม (Team Compatibility &amp; SPOF Risk) ในด้านสมองกลฝังตัวและระบบท่อจ่ายน้ำ?</t>
        </is>
      </c>
      <c r="F6" s="27" t="inlineStr">
        <is>
          <t>ช่วงการเรียนรู้ทางเทคโนโลยีใหม่ (Learning Curve Burden) สำหรับการอ่านค่าเซนเซอร์ IR และควบคุมโซลินอยด์วาล์ว?</t>
        </is>
      </c>
      <c r="G6" s="27" t="inlineStr">
        <is>
          <t>ระยะเวลาคืนทุนและความคุ้มค่าทางเศรษฐกิจ (ROI &amp; Payback Horizon) ของการพ่นละอองน้ำบนทางเท้าสาธารณะ?</t>
        </is>
      </c>
      <c r="H6" s="27" t="inlineStr">
        <is>
          <t>ระดับการพึ่งพาชิ้นส่วนและสถาปัตยกรรมระบบ (Vendor Lock-in &amp; Autonomy) ของปั๊มน้ำ โซลินอยด์วาล์ว และหัวพ่นหมอก?</t>
        </is>
      </c>
      <c r="I6" s="27" t="inlineStr">
        <is>
          <t>สัดส่วนงบประมาณสำรองความเสียหายของชิ้นส่วน (Scrap Margin Allowance) สำหรับวงจรขับวาล์วและปั๊ม?</t>
        </is>
      </c>
      <c r="J6" s="27" t="inlineStr">
        <is>
          <t>การปฏิบัติตามกฎหมายจราจร ความรับผิดทางละเมิดจากพื้นลื่น และ พ.ร.บ. รักษาความสะอาดฯ?</t>
        </is>
      </c>
      <c r="K6" s="27" t="inlineStr">
        <is>
          <t>เงื่อนไขสัญญาอนุญาตซอฟต์แวร์และทรัพย์สินทางปัญญา (IP &amp; Licensing Framework) ของระบบควบคุมการรดน้ำ?</t>
        </is>
      </c>
      <c r="L6" s="27" t="inlineStr">
        <is>
          <t>ระดับความรุนแรงของผลกระทบเมื่อระบบขัดข้อง (User Failure Impact &amp; Safety) ของการพ่นน้ำบนทางเท้า?</t>
        </is>
      </c>
      <c r="M6" s="27" t="inlineStr">
        <is>
          <t>ความสอดคล้องกับพฤติกรรมผู้ใช้และแรงต้านทานในการปฏิบัติงาน (User Behavior &amp; Solution Fit) ในตรอกซอย?</t>
        </is>
      </c>
      <c r="N6" s="27" t="inlineStr">
        <is>
          <t>ข้อจำกัดด้านการเข้าถึงสถานที่และสิ่งอำนวยความสะดวกในการพัฒนา (Developer Contribution Dependency) ของชุดทดลองพ่นน้ำ?</t>
        </is>
      </c>
      <c r="O6" s="27" t="inlineStr">
        <is>
          <t>ความซับซ้อนในขั้นตอนการพัฒนาและการติดตั้งระบบ (Developer Complexity &amp; Pipeline Friction) ของระบบควบคุมลูปเดี่ยว?</t>
        </is>
      </c>
      <c r="P6" s="27" t="inlineStr">
        <is>
          <t>ความพร้อมของแบบทางวิศวกรรมภายในกรอบเวลา 5 สัปดาห์ทำงาน (Engineering Design Maturity) สำหรับระบบพ่นหมอก?</t>
        </is>
      </c>
      <c r="Q6" s="27" t="inlineStr">
        <is>
          <t>ระดับการครอบคลุมเสาหลักความยั่งยืนตามโมเดล Stockholm Wedding Cake (Planet, People, Prosperity)?</t>
        </is>
      </c>
      <c r="R6" s="27" t="inlineStr">
        <is>
          <t>รอยเท้าทางสิ่งแวดล้อม ขยะอิเล็กทรอนิกส์ และหลักการไม่สร้างผลเสีย (Do No Harm &amp; E-Waste) ของการพ่นน้ำประปา?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ประเมินความครอบคลุมของผลกระทบเชิงระบบว่าตอบโจทย์เสาหลักความยั่งยืน 3 ชั้นหลักของ Stockholm Resilience Centre (ชีวมณฑล/Planet, สังคม/People, และเศรษฐกิจ/Prosperity) อย่างเป็นองค์รวม ไม่ใช่โครงการแก้ปัญหาจุดเดียวที่ละเลยมิติอื่น</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หลุดจาก Wedding Cake หรือสร้างผลกระทบเชิงลบต่อเสาหลักใดเสาหลักหนึ่งอย่างรุนแรง
2: สัมผัสเพียง 1 เสาหลักอย่างผิวเผิน ขาดการเชื่อมโยงเชิงประจักษ์ไปยังสังคมหรือสิ่งแวดล้อมจริง
3: ครอบคลุม 1 เสาหลักอย่างเป็นรูปธรรม หรือ 2 เสาหลักแบบมีข้อจำกัดเฉพาะจุด/เฉพาะช่วงเวลา
4: บูรณาการ 2 เสาหลักสำคัญ (เช่น Planet + People) ควบคู่กันอย่างชัดเจนและมีตัวชี้วัดรองรับ
5: บูรณาการครบทั้ง 3 เสาหลัก (Planet, People, Prosperity) อย่างสมดุลและครบวงจร</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4</v>
      </c>
      <c r="E9" s="30" t="n">
        <v>4</v>
      </c>
      <c r="F9" s="30" t="n">
        <v>4</v>
      </c>
      <c r="G9" s="30" t="n">
        <v>1</v>
      </c>
      <c r="H9" s="30" t="n">
        <v>5</v>
      </c>
      <c r="I9" s="30" t="n">
        <v>2</v>
      </c>
      <c r="J9" s="30" t="n">
        <v>2</v>
      </c>
      <c r="K9" s="30" t="n">
        <v>5</v>
      </c>
      <c r="L9" s="30" t="n">
        <v>2</v>
      </c>
      <c r="M9" s="30" t="n">
        <v>2</v>
      </c>
      <c r="N9" s="30" t="n">
        <v>4</v>
      </c>
      <c r="O9" s="30" t="n">
        <v>4</v>
      </c>
      <c r="P9" s="30" t="n">
        <v>4</v>
      </c>
      <c r="Q9" s="30" t="n">
        <v>3</v>
      </c>
      <c r="R9" s="30" t="n">
        <v>3</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solution-details/solution-3.md lines 16-24, 32-35; team-skills/due.md line 20, fifa.md lines 12-25, jk.md lines 24-29; standard COTS breakout boards (MLX90614 IR sensor, relay, ESP32) integrated with commercial misting plumbing and custom 3D-printed brackets.</t>
        </is>
      </c>
      <c r="C12" s="27" t="inlineStr">
        <is>
          <t>solution-details/solution-3.md lines 32-35; team-skills/jk.md lines 36-37, due.md line 20; 100% full-stack access using open-source hardware (ESP32) and permissive open-source libraries (Adafruit MLX90614 under MIT/BSD).</t>
        </is>
      </c>
      <c r="D12" s="27" t="inlineStr">
        <is>
          <t>Commercial off-the-shelf automated misting systems and non-contact IR temperature sensors are field-proven pre-production/commercial hardware (TRL 7) widely deployed in urban cooling and agriculture.</t>
        </is>
      </c>
      <c r="E12" s="27" t="inlineStr">
        <is>
          <t>team-skills/due.md lines 12-28, fifa.md lines 12-28, jk.md lines 24-37, kin.md line 16, jay.md line 2; 4 members (Due, Fifa, JK, Kin) have verified proficiency in ESP32/Arduino, I2C, and GPIO relay control; 3 members (Fifa, Due, Jay) can handle mechanical brackets and plumbing.</t>
        </is>
      </c>
      <c r="F12" s="27" t="inlineStr">
        <is>
          <t>team-skills/due.md line 20, fifa.md line 23, jk.md line 37; solution-details/solution-3.md lines 21-25; familiar tech stack; only requires importing Adafruit_MLX90614 library and writing a basic threshold comparison loop.</t>
        </is>
      </c>
      <c r="G12" s="27" t="inlineStr">
        <is>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is>
      </c>
      <c r="H12" s="27" t="inlineStr">
        <is>
          <t>100% open architecture utilizing generic commodity COTS parts (solenoid valves, misting nozzles, diaphragm pumps, I2C IR thermometers) completely interchangeable across multiple plumbing and electronics vendors.</t>
        </is>
      </c>
      <c r="I12" s="27" t="inlineStr">
        <is>
          <t>High physical BOM cost for pumps, valves, and power supplies limits the team to a fragile 20-30% buffer; inductive flyback from solenoids and pumps easily blows driver ICs with JK's soldering limitations, and zero backup pump exists if dry-run burnout occurs.</t>
        </is>
      </c>
      <c r="J12" s="27" t="inlineStr">
        <is>
          <t>Discharging water onto public walkways creates severe slip-and-fall tort liability under Civil and Commercial Code Section 420 and violates Cleanliness and Order Act B.E. 2535 Section 12, compounded by unauthorized water tapping across public right-of-ways.</t>
        </is>
      </c>
      <c r="K12" s="27" t="inlineStr">
        <is>
          <t>Firmware uses basic threshold logic and open MIT-licensed Adafruit MLX90614 libraries on top of the Apache 2.0 / LGPL Arduino core with zero commercial licensing barriers.</t>
        </is>
      </c>
      <c r="L12" s="27" t="inlineStr">
        <is>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is>
      </c>
      <c r="M12" s="27" t="inlineStr">
        <is>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is>
      </c>
      <c r="N12" s="27" t="inlineStr">
        <is>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is>
      </c>
      <c r="O12" s="27" t="inlineStr">
        <is>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is>
      </c>
      <c r="P12" s="27" t="inlineStr">
        <is>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is>
      </c>
      <c r="Q12" s="27" t="inlineStr">
        <is>
          <t>Solution-3 attempts to address People/Society (SDG 11.7 cooling pedestrian corridors to prevent heatstroke) and Planet/Biosphere (SDG 13.1 mitigating urban heat island microclimates). However, its Wedding Cake balance is severely impaired: (1) it incurs a severe negative trade-off on Planet/Biosphere via SDG 6.4 (continuous wasteful consumption of potable tap water); (2) introduces safety hazards to People (O-01=2 slip hazards); and (3) completely fails Prosperity/Economy (E-01=1 VETOED with perpetual operating OpEx and zero financial return). It qualifies only as Level 3 (conditional single-pillar coverage with heavy negative externalities).</t>
        </is>
      </c>
      <c r="R12" s="27" t="inlineStr">
        <is>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quick-connect misting kits and pre-wired DIN-rail relay enclosures to eliminate custom mechanical plumbing fabrication and reduce water leak hazards.</t>
        </is>
      </c>
      <c r="C13" s="27" t="inlineStr">
        <is>
          <t>None needed. Utilize a local RTC breakout (DS3231) to eliminate outdoor Wi-Fi NTP synchronization dependencies.</t>
        </is>
      </c>
      <c r="D13" s="27" t="inlineStr">
        <is>
          <t>Install a 50-micron inline sediment pre-filter upstream of the misting manifold to prevent nozzle calcification and clogging from municipal tap water.</t>
        </is>
      </c>
      <c r="E13" s="27" t="inlineStr">
        <is>
          <t>Standardize GPIO pinouts in a single PlatformIO configuration header so all members can build and flash firmware from their local machines.</t>
        </is>
      </c>
      <c r="F13" s="27" t="inlineStr">
        <is>
          <t>Validate sensor I2C communication on a desktop breadboard using example code prior to final field box assembly.</t>
        </is>
      </c>
      <c r="G13" s="27" t="inlineStr">
        <is>
          <t>Descope from open sidewalk misting to targeted public transit waiting shelters using rainwater harvesting, though economic ROI remains non-viable.</t>
        </is>
      </c>
      <c r="H13" s="27" t="inlineStr">
        <is>
          <t>Standardize on standard 1/4-inch push-lock fittings and open I2C temperature sensors.</t>
        </is>
      </c>
      <c r="I13" s="27" t="inlineStr">
        <is>
          <t>Incorporate optoisolated relay modules with integrated flyback protection diodes and software dry-run interlocks.</t>
        </is>
      </c>
      <c r="J13" s="27" t="inlineStr">
        <is>
          <t>Re-direct misting solely onto vegetated roadside planter beds, install rubber non-slip drainage mats, and obtain formal District Office (Khet) pilot permits.</t>
        </is>
      </c>
      <c r="K13" s="27" t="inlineStr">
        <is>
          <t>Retain standard open-source MIT license attribution.</t>
        </is>
      </c>
      <c r="L13" s="27" t="inlineStr">
        <is>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is>
      </c>
      <c r="M13" s="27" t="inlineStr">
        <is>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is>
      </c>
      <c r="N13" s="27" t="inlineStr">
        <is>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is>
      </c>
      <c r="O13" s="27" t="inlineStr">
        <is>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is>
      </c>
      <c r="P13" s="27" t="inlineStr">
        <is>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is>
      </c>
      <c r="Q13" s="27" t="inlineStr">
        <is>
          <t>Replace potable tap water with recycled air-conditioner condensate or rainwater harvesting to eliminate the negative water footprint on Planet (SDG 6.4), and relocate to covered transit shelters with non-slip mats to protect People (SDG 11.7).</t>
        </is>
      </c>
      <c r="R13" s="27" t="inlineStr">
        <is>
          <t>Install inline multi-stage sediment and catalytic water-softening filters to extend nozzle lifespan by 300%; integrate a closed-loop condensate harvesting system from adjacent building air conditioners to minimize municipal tap water consumption.</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10</v>
      </c>
      <c r="C28" s="27" t="inlineStr">
        <is>
          <t>Level 3.0 / 4.0: Non-contact radiometric infrared surface temperature sensing and ambient microclimate relative humidity monitoring.</t>
        </is>
      </c>
      <c r="D28" s="27" t="inlineStr">
        <is>
          <t>Level 3.5 / 4.0: Closed-loop feedback control incorporating thermodynamic latent heat balance modeling, anti-runoff mass flux limits, and adaptive PWM/hysteresis solenoid modulation.</t>
        </is>
      </c>
      <c r="E28" s="27" t="inlineStr">
        <is>
          <t>Level 3.5 / 4.0: Active electro-fluidic actuation featuring a high-pressure pump, fast-switching solenoid valves, atomizing mist nozzle array, and hydraulic manifold mechanical structures.</t>
        </is>
      </c>
      <c r="F28" s="2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10.0/12.0 due to its stationary configuration lacking multi-DOF kinematics or mobile locomotion.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2026-09-27T15:58:01Z</dcterms:created>
  <dcterms:modified xsi:type="dcterms:W3CDTF">2026-09-27T15:58:01Z</dcterms:modified>
</cp:coreProperties>
</file>