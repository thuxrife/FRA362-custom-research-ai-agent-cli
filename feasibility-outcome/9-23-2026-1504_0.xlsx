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-1" sheetId="2" state="visible" r:id="rId2"/>
    <sheet name="Solution-2" sheetId="3" state="visible" r:id="rId3"/>
    <sheet name="Solution-3" sheetId="4" state="visible" r:id="rId4"/>
    <sheet name="Solution-4" sheetId="5" state="visible" r:id="rId5"/>
    <sheet name="Solution-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6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</fonts>
  <fills count="8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 wrapText="1"/>
    </xf>
    <xf numFmtId="165" fontId="15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28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 (Systems-Thinking) ตามเกณฑ์ TELOS+S จาก AI Agents | รวมทุก Solution ในไฟล์เดียว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ผลการประเมิน (Verdict)</t>
        </is>
      </c>
      <c r="F4" s="3" t="inlineStr">
        <is>
          <t>จุดแข็งสำคัญ (Key Strengths)</t>
        </is>
      </c>
      <c r="G4" s="3" t="inlineStr">
        <is>
          <t>จุดติดขัดวิกฤต (Critical Bottlenecks)</t>
        </is>
      </c>
      <c r="H4" s="3" t="inlineStr">
        <is>
          <t>คำแนะนำเชิงระบบ (Strategic Advice)</t>
        </is>
      </c>
    </row>
    <row r="5" ht="55" customHeight="1">
      <c r="A5" s="4" t="n">
        <v>1</v>
      </c>
      <c r="B5" s="5" t="inlineStr">
        <is>
          <t>Solution-1</t>
        </is>
      </c>
      <c r="C5" s="6" t="inlineStr">
        <is>
          <t>คำนวณอัตราการลดระดับน้ำ (Recession Rate) กรอง Empty Cases สำหรับหน่วย QRT</t>
        </is>
      </c>
      <c r="D5" s="7">
        <f>'Solution-1'!T9</f>
        <v/>
      </c>
      <c r="E5" s="8">
        <f>'Solution-1'!T12</f>
        <v/>
      </c>
      <c r="F5" s="6" t="inlineStr">
        <is>
          <t>Leverage Point แม่นยำ, JK เชี่ยวชาญคณิตศาสตร์ควบคุมและ ROS2, ต้นทุนต่ำ (&lt; 3,500 บ.), COTS 100%</t>
        </is>
      </c>
      <c r="G5" s="6" t="inlineStr">
        <is>
          <t>ระเบียบรูปถ่ายปิดเรื่องของ Traffy Fondue (O-01) และสัปดาห์สอบของมหาวิทยาลัย 4 สัปดาห์ (S-01)</t>
        </is>
      </c>
      <c r="H5" s="6" t="inlineStr">
        <is>
          <t>พัฒนาใบปิดงานดิจิทัล (Digital Evidence Card) พร้อมกราฟ dh/dt และล็อกสเปกฮาร์ดแวร์ก่อนสัปดาห์ที่ 9</t>
        </is>
      </c>
    </row>
    <row r="6" ht="55" customHeight="1">
      <c r="A6" s="9" t="n">
        <v>2</v>
      </c>
      <c r="B6" s="10" t="inlineStr">
        <is>
          <t>Solution-2</t>
        </is>
      </c>
      <c r="C6" s="11" t="inlineStr">
        <is>
          <t>2-Factor Authentication Dispatch Filtering Layer (PUB Singapore CWOS)</t>
        </is>
      </c>
      <c r="D6" s="7">
        <f>'Solution-2'!T9</f>
        <v/>
      </c>
      <c r="E6" s="12">
        <f>'Solution-2'!T12</f>
        <v/>
      </c>
      <c r="F6" s="11" t="inlineStr">
        <is>
          <t>ใช้การยืนยันร่วม 2 ปัจจัยระหว่างรายงานประชาชนกับข้อมูลโทรมาตรระดับน้ำ/เรดาร์ ปลอดปัญหา PDPA 100% ต้นทุนต่ำ (&lt; 3,800 บาท) ตัด Empty Cases ได้มากกว่า 40-50%</t>
        </is>
      </c>
      <c r="G6" s="11" t="inlineStr">
        <is>
          <t>ขึ้นอยู่กับความหนาแน่นของจุดติดตั้งเซนเซอร์โทรมาตร และต้องมีหลักฐาน Digital Evidence Card สำหรับระบบราชการ</t>
        </is>
      </c>
      <c r="H6" s="11" t="inlineStr">
        <is>
          <t>เชื่อมต่อ API กับ Traffy Fondue และจัดทำเทมเพลต Digital Evidence Card อัตโนมัติ พร้อมทั้งใช้เซนเซอร์ระดับน้ำ COTS แบบ Non-contact</t>
        </is>
      </c>
    </row>
    <row r="7" ht="55" customHeight="1">
      <c r="A7" s="4" t="n">
        <v>3</v>
      </c>
      <c r="B7" s="5" t="inlineStr">
        <is>
          <t>Solution-3</t>
        </is>
      </c>
      <c r="C7" s="6" t="inlineStr">
        <is>
          <t>Acoustic Sewer Measurement &amp; Pre-Screening สำหรับการวางแผนบำรุงรักษาเชิงป้องกัน (Case 3 UK/USA)</t>
        </is>
      </c>
      <c r="D7" s="7">
        <f>'Solution-3'!T9</f>
        <v/>
      </c>
      <c r="E7" s="8">
        <f>'Solution-3'!T12</f>
        <v/>
      </c>
      <c r="F7" s="6" t="inlineStr">
        <is>
          <t>เปลี่ยนจากการลอกท่อแบบสุ่มตามรอบปฏิทินมาเป็น Condition-Based Maintenance ด้วยการตรวจคัดกรองความสะอาดท่อ 3 ระดับ (Tier 1: Action, Tier 2: Queue, Tier 3: Clean) รวดเร็ว 3-5 นาทีต่อช่วงท่อ ประหยัดงบประมาณและทรัพยากรรถดูดโคลนได้มหาศาล</t>
        </is>
      </c>
      <c r="G7" s="6" t="inlineStr">
        <is>
          <t>ต้องหลีกเลี่ยงการจัดซื้ออุปกรณ์นำเข้าราคาแพง (SL-RAT) โดยหันมาสร้างต้นแบบจาก Transducer COTS และต้องประสานงานกับทีมงานเขตเพื่อความปลอดภัยบนผิวจราจร</t>
        </is>
      </c>
      <c r="H7" s="6" t="inlineStr">
        <is>
          <t>พัฒนาชุดก้านหย่อน Telescopic ร่วมกับ Transducer ความถี่กวาดและบอร์ดประมวลผล Time-of-Flight / Attenuation ทดสอบในท่อจำลองก่อนลงพื้นที่ร่วมกับฝ่ายระบายน้ำของเขตในฤดูแล้ง</t>
        </is>
      </c>
    </row>
    <row r="8" ht="55" customHeight="1">
      <c r="A8" s="9" t="n">
        <v>4</v>
      </c>
      <c r="B8" s="10" t="inlineStr">
        <is>
          <t>Solution-4</t>
        </is>
      </c>
      <c r="C8" s="11" t="inlineStr">
        <is>
          <t>Smart Drainage Pipe Telemetry &amp; Prioritized Flushing DSS (Jakarta Case Adaptation)</t>
        </is>
      </c>
      <c r="D8" s="7">
        <f>'Solution-4'!T9</f>
        <v/>
      </c>
      <c r="E8" s="12">
        <f>'Solution-4'!T12</f>
        <v/>
      </c>
      <c r="F8" s="11" t="inlineStr">
        <is>
          <t>มอนิเตอร์ระดับน้ำและอัตราการไหลในท่อแบบต่อเนื่องทั้งเมือง ชี้เป้าจุดวิกฤตระบายช้า และจัดลำดับการส่งรถดูดเลนได้อย่างมีข้อมูลเชิงประจักษ์รองรับ (Data-Driven Flushing DSS)</t>
        </is>
      </c>
      <c r="G8" s="11" t="inlineStr">
        <is>
          <t>สภาพแวดล้อมในท่อมีตะกอน คราบไขมัน และก๊าซกัดกร่อน H2S สูง และการติดตั้งต้องคำนึงถึงความปลอดภัยของเจ้าหน้าที่</t>
        </is>
      </c>
      <c r="H8" s="11" t="inlineStr">
        <is>
          <t>ใช้เซนเซอร์วัดระดับน้ำและอัตราการไหลแบบ Non-contact ติดตั้งใต้ฝาท่อพักน้ำ พร้อมสายสลิงนิรภัยยึดสองชั้น และทดสอบในจุดเสี่ยงนำร่อง</t>
        </is>
      </c>
    </row>
    <row r="9" ht="55" customHeight="1">
      <c r="A9" s="4" t="n">
        <v>5</v>
      </c>
      <c r="B9" s="5" t="inlineStr">
        <is>
          <t>Solution-5</t>
        </is>
      </c>
      <c r="C9" s="6" t="inlineStr">
        <is>
          <t>UHI Latent Heat Precision Road Cooling &amp; Microclimate Water Dosing</t>
        </is>
      </c>
      <c r="D9" s="7">
        <f>'Solution-5'!T9</f>
        <v/>
      </c>
      <c r="E9" s="8">
        <f>'Solution-5'!T12</f>
        <v/>
      </c>
      <c r="F9" s="6" t="inlineStr">
        <is>
          <t>ใช้ประโยชน์จากความร้อนแฝงของการระเหย พ่นน้ำฟิล์มบางมาก (0.2-0.4 mm) ลด Peak Heat Flux ได้ 100-150 W/m² ไม่ลื่น ไม่เกิด Sauna Effect ประหยัดน้ำกว่ารถฉีดน้ำ 40-50%</t>
        </is>
      </c>
      <c r="G9" s="6" t="inlineStr">
        <is>
          <t>ลมกระโชกแรงอาจพัดละอองน้ำ และต้องมีระบบกรองน้ำป้องกันหัวพ่นหมอกอุดตัน รวมถึงการสร้างความเข้าใจแก่ประชาชนผู้ใช้ทาง</t>
        </is>
      </c>
      <c r="H9" s="6" t="inlineStr">
        <is>
          <t>ติดตั้งหัวฉีดละอองระดับต่ำขอบทางเท้า พร้อม Sauna Effect Guard และวาล์ว Micro-pulsing อัตโนมัติตามเซนเซอร์ 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3" t="inlineStr">
        <is>
          <t>เมทริกซ์ประเมินความเป็นไปได้เชิงระบบ TELOS+S: คำนวณอัตราการลดระดับน้ำ (Recession Rate) กรอง Empty Cases สำหรับหน่วย QRT</t>
        </is>
      </c>
    </row>
    <row r="2">
      <c r="A2" s="14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5" t="inlineStr">
        <is>
          <t>รหัสคำถาม (Question Code)</t>
        </is>
      </c>
      <c r="B4" s="16" t="inlineStr">
        <is>
          <t>T-01</t>
        </is>
      </c>
      <c r="C4" s="16" t="inlineStr">
        <is>
          <t>T-02</t>
        </is>
      </c>
      <c r="D4" s="16" t="inlineStr">
        <is>
          <t>T-03</t>
        </is>
      </c>
      <c r="E4" s="16" t="inlineStr">
        <is>
          <t>T-04</t>
        </is>
      </c>
      <c r="F4" s="16" t="inlineStr">
        <is>
          <t>E-01</t>
        </is>
      </c>
      <c r="G4" s="16" t="inlineStr">
        <is>
          <t>E-02</t>
        </is>
      </c>
      <c r="H4" s="16" t="inlineStr">
        <is>
          <t>E-03</t>
        </is>
      </c>
      <c r="I4" s="16" t="inlineStr">
        <is>
          <t>L-01</t>
        </is>
      </c>
      <c r="J4" s="16" t="inlineStr">
        <is>
          <t>L-02</t>
        </is>
      </c>
      <c r="K4" s="16" t="inlineStr">
        <is>
          <t>O-01</t>
        </is>
      </c>
      <c r="L4" s="16" t="inlineStr">
        <is>
          <t>O-02</t>
        </is>
      </c>
      <c r="M4" s="16" t="inlineStr">
        <is>
          <t>O-03</t>
        </is>
      </c>
      <c r="N4" s="16" t="inlineStr">
        <is>
          <t>S-01</t>
        </is>
      </c>
      <c r="O4" s="16" t="inlineStr">
        <is>
          <t>S-02</t>
        </is>
      </c>
      <c r="P4" s="16" t="inlineStr">
        <is>
          <t>S-03</t>
        </is>
      </c>
      <c r="Q4" s="16" t="inlineStr">
        <is>
          <t>SDG-01</t>
        </is>
      </c>
      <c r="R4" s="16" t="inlineStr">
        <is>
          <t>SDG-02</t>
        </is>
      </c>
      <c r="S4" s="16" t="inlineStr">
        <is>
          <t>SDG-03</t>
        </is>
      </c>
      <c r="T4" s="16" t="inlineStr">
        <is>
          <t>สรุปภาพรวม (SUMMARY)</t>
        </is>
      </c>
    </row>
    <row r="5" ht="24" customHeight="1">
      <c r="A5" s="17" t="inlineStr">
        <is>
          <t>มิติการประเมิน (TELOS+S Pillar)</t>
        </is>
      </c>
      <c r="B5" s="18" t="inlineStr">
        <is>
          <t>ด้านเทคนิค (Technical 2.2)</t>
        </is>
      </c>
      <c r="C5" s="18" t="inlineStr">
        <is>
          <t>ด้านเทคนิค (Technical 2.2)</t>
        </is>
      </c>
      <c r="D5" s="18" t="inlineStr">
        <is>
          <t>ด้านเทคนิค (Technical 2.2)</t>
        </is>
      </c>
      <c r="E5" s="18" t="inlineStr">
        <is>
          <t>ด้านเทคนิค (Technical 2.2)</t>
        </is>
      </c>
      <c r="F5" s="18" t="inlineStr">
        <is>
          <t>ด้านเศรษฐศาสตร์ (Economic 2.3)</t>
        </is>
      </c>
      <c r="G5" s="18" t="inlineStr">
        <is>
          <t>ด้านเศรษฐศาสตร์ (Economic 2.3)</t>
        </is>
      </c>
      <c r="H5" s="18" t="inlineStr">
        <is>
          <t>ด้านเศรษฐศาสตร์ (Economic 2.3)</t>
        </is>
      </c>
      <c r="I5" s="18" t="inlineStr">
        <is>
          <t>ด้านกฎหมายและหน่วยงาน (Legal 2.4)</t>
        </is>
      </c>
      <c r="J5" s="18" t="inlineStr">
        <is>
          <t>ด้านกฎหมายและหน่วยงาน (Legal 2.4)</t>
        </is>
      </c>
      <c r="K5" s="18" t="inlineStr">
        <is>
          <t>ด้านการปฏิบัติการ (Operational 2.5)</t>
        </is>
      </c>
      <c r="L5" s="18" t="inlineStr">
        <is>
          <t>ด้านการปฏิบัติการ (Operational 2.5)</t>
        </is>
      </c>
      <c r="M5" s="18" t="inlineStr">
        <is>
          <t>ด้านการปฏิบัติการ (Operational 2.5)</t>
        </is>
      </c>
      <c r="N5" s="18" t="inlineStr">
        <is>
          <t>ด้านตารางเวลา (Schedule 2.6)</t>
        </is>
      </c>
      <c r="O5" s="18" t="inlineStr">
        <is>
          <t>ด้านตารางเวลา (Schedule 2.6)</t>
        </is>
      </c>
      <c r="P5" s="18" t="inlineStr">
        <is>
          <t>ด้านตารางเวลา (Schedule 2.6)</t>
        </is>
      </c>
      <c r="Q5" s="18" t="inlineStr">
        <is>
          <t>เป้าหมายความยั่งยืน (SDGs 2.7)</t>
        </is>
      </c>
      <c r="R5" s="18" t="inlineStr">
        <is>
          <t>เป้าหมายความยั่งยืน (SDGs 2.7)</t>
        </is>
      </c>
      <c r="S5" s="18" t="inlineStr">
        <is>
          <t>เป้าหมายความยั่งยืน (SDGs 2.7)</t>
        </is>
      </c>
      <c r="T5" s="19" t="inlineStr">
        <is>
          <t>ผลรวมทุกมิติ (All Pillars)</t>
        </is>
      </c>
    </row>
    <row r="6" ht="80" customHeight="1">
      <c r="A6" s="17" t="inlineStr">
        <is>
          <t>คำถามทดสอบความเสี่ยงจริง (Stress-Test Question)</t>
        </is>
      </c>
      <c r="B6" s="20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0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0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0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0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0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0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0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0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0" t="inlineStr">
        <is>
          <t>ระบบสามารถสร้างหลักฐานยืนยันที่สอดคล้องกับระเบียบราชการ (เช่น ภาพถ่ายปิดเคสใน Traffy Fondue) เพื่อให้เจ้าหน้าที่ศูนย์สั่งการกล้าตัดสินใจยกเลิกหรือชะลอการปล่อยรถ QRT โดยไม่กลัวความผิดทางวินัยหรือไม่?</t>
        </is>
      </c>
      <c r="L6" s="20" t="inlineStr">
        <is>
          <t>ความซับซ้อนในการติดตั้ง การบำรุงรักษา และการใช้งานระบบ ไม่สร้างภาระงานส่วนเกินหรือต้องอาศัยการฝึกอบรมบุคลากรหน้างานอย่างซับซ้อนหรือไม่?</t>
        </is>
      </c>
      <c r="M6" s="20" t="inlineStr">
        <is>
          <t>การทดสอบและติดตั้งระบบจริงหน้างาน สามารถดำเนินการได้อย่างปลอดภัยโดยไม่นำพาผู้พัฒนาไปสู่สภาวะอันตรายถึงชีวิต (เช่น พื้นที่อับอากาศ/การจราจรหนาแน่น) หรือทำให้เกิดภาวะหมดไฟ (Burnout) หรือไม่?</t>
        </is>
      </c>
      <c r="N6" s="20" t="inlineStr">
        <is>
          <t>แผนงานและสถาปัตยกรรมระบบสามารถดูดซับช่วงเวลาหยุดนิ่งจากการสอบของมหาวิทยาลัย 4 สัปดาห์ (สัปดาห์ 10+1, 10+2, 15+1, 15+2) และส่งมอบต้นแบบได้ทันกรอบเวลา 16 สัปดาห์หรือไม่?</t>
        </is>
      </c>
      <c r="O6" s="20" t="inlineStr">
        <is>
          <t>ความก้าวหน้าทางวิศวกรรมสามารถบรรลุเกณฑ์ TRL ตามกำหนด (สัปดาห์ 9: TRL 2 Model, สัปดาห์ 13: TRL 3 PoC, สัปดาห์ 16: TRL 4 Lab Verification) ได้อย่างสมบูรณ์หรือไม่?</t>
        </is>
      </c>
      <c r="P6" s="20" t="inlineStr">
        <is>
          <t>ระยะเวลาในการสั่งซื้อและขนส่งอุปกรณ์ (Lead Time) มีการสำรองเวลา (Buffer) อย่างน้อย 2-3 สัปดาห์เพื่อการรวมระบบและแก้จุดบกพร่องก่อนส่งมอบจริงหรือไม่?</t>
        </is>
      </c>
      <c r="Q6" s="20" t="inlineStr">
        <is>
          <t>ระบบส่งเสริมการลดความสูญเสียจากภัยพิบัติน้ำท่วมเมือง (SDG 11.5) และยกระดับการเฝ้าระวังระบบระบายน้ำ (SDG 6.3) อย่างวัดผลได้จริงเชิงปฏิบัติการหรือไม่?</t>
        </is>
      </c>
      <c r="R6" s="20" t="inlineStr">
        <is>
          <t>อุปกรณ์ที่นำไปติดตั้ง ไม่เสี่ยงต่อการชะล้างสารพิษ การสร้างขยะอิเล็กทรอนิกส์ตกค้างในทางน้ำ (SDG 6/12) หรือการหลุดลอยไปอุดตันท่อระบายน้ำหรือไม่?</t>
        </is>
      </c>
      <c r="S6" s="20" t="inlineStr">
        <is>
          <t>ตรรกะการประเมินและการกรองเหตุร้องเรียน มีความเป็นธรรม ไม่สร้างความเหลื่อมล้ำในการตอบสนองระหว่างพื้นที่เมืองชั้นในที่มีการร้องเรียนหนาแน่น กับชุมชนชานเมืองหรือไม่?</t>
        </is>
      </c>
      <c r="T6" s="21" t="inlineStr">
        <is>
          <t>ประเมินคำถามทั้งสิ้น 18 ข้อ</t>
        </is>
      </c>
    </row>
    <row r="7" ht="95" customHeight="1">
      <c r="A7" s="17" t="inlineStr">
        <is>
          <t>เหตุผลในการถาม &amp; โหมดความล้มเหลวที่เฝ้าระวัง (Rationale)</t>
        </is>
      </c>
      <c r="B7" s="20" t="inlineStr">
        <is>
          <t>หากฝืนออกแบบโครงสร้างที่ต้องกลึงหรือเชื่อมโลหะเอง เมื่อไม่มีสิทธิ์เข้าใช้โรงประลอง (Machine Shop) งานฮาร์ดแวร์จะติดคอตันทันทีในสัปดาห์แรก ๆ นอกจากนี้ อุปกรณ์กลางแจ้งต้องทนลมพายุมรสุมและละอองน้ำขัง หากกล่องพิมพ์ 3D ซีลไม่ดี น้ำจะซึมเข้ากล่องทำให้วงจรลัดวงจร เซนเซอร์ดับกลางคัน และส่งข้อมูลหลอกศูนย์สั่งการ</t>
        </is>
      </c>
      <c r="C7" s="20" t="inlineStr">
        <is>
          <t>การสั่งผลิต Custom PCB ใช้เวลาแก้แบบและรอส่ง 2-3 สัปดาห์ต่อรอบ หากออกแบบลายวงจรผิดหรือบัดกรีพลาด จะทำให้โครงการล่มทันที นอกจากนี้ การนำบอร์ดประมวลผลสูงไปปิดผนึกในกล่องกันน้ำกลางแดด 40°C ของ กทม. เสี่ยงต่อการเกิดความร้อนสะสม (Thermal Throttling) จนชิปค้างหรือรีบูตตัวเองขณะฝนตกหนัก ซึ่งเป็นช่วงเวลาที่ต้องการข้อมูลมากที่สุด</t>
        </is>
      </c>
      <c r="D7" s="20" t="inlineStr">
        <is>
          <t>หัวใจเชิงระบบของโครงการนี้คือการแยกเคส 'น้ำท่วมชั่วคราวที่ระบายเองได้' ออกจากเคสวิกฤต หากอัลกอริทึมต้องพึ่งพา AI ข้อมูลมหาศาลที่ยังไม่มีชุดข้อมูล หรือประมวลผลช้าเกิน 20-30 นาที รถ QRT จะถูกส่งออกไปหน้างานและพบว่าน้ำแห้งแล้วก่อนที่ระบบจะคำนวณเสร็จ กลายเป็นระบบไร้ประโยชน์ที่แก้ปัญหาไม่ได้จริงในหน้างาน</t>
        </is>
      </c>
      <c r="E7" s="20" t="inlineStr">
        <is>
          <t>คลองและผิวจราจร กทม. เต็มไปด้วยขยะลอย ผักตบชวา คราบน้ำมัน และคลื่นผิวน้ำจากลมพายุ หากใช้เซนเซอร์ที่สัมผัสน้ำตรง ๆ ขยะจะพันติดจนเซนเซอร์พัง หรือถ้าใช้คลื่นสะท้อนโดยไม่มีตัวกรองเชิงสถิติกำจัดสัญญาณรบกวน ค่าระดับน้ำจะกระโดดไปมา นำไปสู่การประเมินอัตราน้ำลดผิดพลาดและสั่งยกเลิกรถผิดจังหวะ</t>
        </is>
      </c>
      <c r="F7" s="20" t="inlineStr">
        <is>
          <t>โครงงานนักศึกษาไม่มีงบจัดซื้อจากรัฐหรือสปอนเซอร์ภายนอก หากเลือกสถาปัตยกรรมที่ใช้อุปกรณ์อุตสาหกรรมราคาแพง (เช่น เซนเซอร์เสียงใต้ดินตัวละ 25,000 บาท หรือกล้อง AI เกรดราชการ) ผู้พัฒนาจะต้องควักเงินส่วนตัวจนเงินหมดก่อนได้ต้นแบบ หรือต้องยอมตัดทอนอุปกรณ์หลักจนระบบใช้งานไม่ได้</t>
        </is>
      </c>
      <c r="G7" s="20" t="inlineStr">
        <is>
          <t>งานวิศวกรรมฮาร์ดแวร์และน้ำไม่เคยต่อครั้งเดียวแล้วติด การทดสอบหน้างานมีความเสี่ยงสูงที่จะทำบอร์ดไหม้ เซนเซอร์ช็อต หรืออุปกรณ์ตกน้ำสูญหาย หากตั้งงบไว้พอดีเป๊ะ 1x BOM โดยไม่มีงบอะไหล่สำรอง 100% ความเสียหายเพียงครั้งเดียวจะทำให้การทดลองหยุดชะงักและไม่มีเงินสั่งซื้อใหม่</t>
        </is>
      </c>
      <c r="H7" s="20" t="inlineStr">
        <is>
          <t>ระบบต้องตอบคำถามความคุ้มค่าเชิงระบบได้ชัดเจน หากค่าซิม 4G รายเดือน ค่าไฟฟ้า และค่าแรงเจ้าหน้าที่ที่ต้องคอยปีนไปเช็ดกล้องหรือล้างเซนเซอร์สูงกว่าค่าน้ำมันรถ QRT ที่ประหยัดได้จากเคสว่างเปล่า โครงการนี้จะกลายเป็น 'ภาระทางงบประมาณ' ของ กทม. และถูกถอดทิ้งหลังจบการทดลอง</t>
        </is>
      </c>
      <c r="I7" s="20" t="inlineStr">
        <is>
          <t>การติดตั้งเทคโนโลยีในที่สาธารณะมักตายด้วยข้อกฎหมาย ไม่ใช่เทคโนโลยี การใช้กล้องส่องถนนจะติด พ.ร.บ. PDPA มาตรา 24 ทันทีที่มีใบหน้าคนหรือทะเบียนรถ หรือการเปิดฝาท่อบนผิวจราจรโดยไม่มีตำรวจกั้นทางจะผิด พ.ร.บ. ทางหลวงและเสี่ยงต่ออุบัติเหตุรถตกท่อ ซึ่งอาจนำไปสู่คดีความอาญาและคำสั่งระงับโครงการทันที</t>
        </is>
      </c>
      <c r="J7" s="20" t="inlineStr">
        <is>
          <t>แม้อุปกรณ์จะใช้ได้จริง แต่หากคลื่นวิทยุไม่ผ่าน กสทช. จะนำไปติดตั้งจริงไม่ได้ และที่สำคัญที่สุดคือ ระบบต้องไปแตะโครงสร้างสะพาน ท่อระบายน้ำ หรือเสาไฟของ กทม. หากทีมงานไม่มีคอนเนกชันเชิงสถาบันหรือหนังสือรับรองจากอาจารย์ที่ปรึกษาเพื่อขอเปิดพื้นที่ การลงหน้างานจะถูกเทศกิจสั่งรื้อถอนทันที</t>
        </is>
      </c>
      <c r="K7" s="20" t="inlineStr">
        <is>
          <t>จุดตายอันดับหนึ่งของระบบคัดกรองอัตโนมัติ เจ้าหน้าที่ศูนย์สั่งการ กทม. ต้องรับผิดชอบทางวินัยต่อเรื่องร้องเรียนของประชาชนใน Traffy Fondue หากระบบบอกว่า 'น้ำแห้งเองได้' แต่ไม่มีหลักฐานรูปภาพยืนยันปิดเคส เจ้าหน้าที่ก็ยังคง 'ต้องส่งรถออกไปถ่ายรูปอยู่ดี' เพื่อเอาตัวรอดจากข้อร้องเรียน ทำให้การลงทุนทำระบบกรองล้มเหลวโดยสิ้นเชิง</t>
        </is>
      </c>
      <c r="L7" s="20" t="inlineStr">
        <is>
          <t>อุปกรณ์ที่ออกแบบมาให้คนอื่นใช้ ถ้าติดตั้งยาก บำรุงรักษาซับซ้อน หรือต้องอบรมใช้งานหลายวัน จะถูกเจ้าหน้าที่หน้างานต่อต้านและปฏิเสธการใช้งาน เจ้าหน้าที่ระบายน้ำหน้างานต้องการเพียงกล่องที่ขันยึดเสร็จใน 10 นาที และแดชบอร์ดที่บอกชัดเจนว่า 'ส่งรถ' หรือ 'ไม่ต้องส่ง' โดยไม่ต้องแปลผลกราฟซับซ้อน</t>
        </is>
      </c>
      <c r="M7" s="20" t="inlineStr">
        <is>
          <t>ประเมินความปลอดภัยในชีวิตจริงของผู้พัฒนา การปล่อยให้นักศึกษาเดี่ยว (Solo Developer) ต้องลงไปเปิดฝาท่อระบายน้ำที่มีก๊าซไข่เน่าพิษ (H2S) ขาดอากาศหายใจ หรือยืนปรับมุมกล้องริมถนนใหญ่ที่มีรถวิ่งเร็ว เป็นการกระทำที่อันตรายถึงชีวิตและขัดต่อจรรยาบรรณวิศวกรรม หากผู้พัฒนาบาดเจ็บ โครงการจะยุติทันที</t>
        </is>
      </c>
      <c r="N7" s="20" t="inlineStr">
        <is>
          <t>โครงงานภาคการศึกษา 16 สัปดาห์ มีช่วงสอบกลางภาคและปลายภาคของมหาวิทยาลัยถึง 4 สัปดาห์เต็ม ซึ่งสมองและเวลาของนักศึกษาจะถูกดึงไปกับการสอบ 100% หากสถาปัตยกรรมระบบไม่แยกส่วนให้ชัดเจนและไม่ล็อกสเปกฮาร์ดแวร์ก่อนสอบ โครงการจะเกิดภาวะขวดโหลแตก (Schedule Collapse) และประกอบงานส่งไม่ทัน</t>
        </is>
      </c>
      <c r="O7" s="20" t="inlineStr">
        <is>
          <t>ป้องกันภาพลวงตาของการพัฒนา (Illusion of Progress) ที่นักศึกษาคิดว่าโปรเจกต์เดินหน้าแต่มีแค่สไลด์ เกณฑ์ TRL2 (สัปดาห์ 9) ต้องมีสมการคณิตศาสตร์ที่พิสูจน์ได้, TRL3 (สัปดาห์ 13) ต้องมีฮาร์ดแวร์วัดจริงในถังทดลอง, และ TRL4 (สัปดาห์ 16) ต้องทดสอบในแล็บ/คลองจริง หากวางแผนข้ามขั้นจะสอบตกการประเมินความก้าวหน้า</t>
        </is>
      </c>
      <c r="P7" s="20" t="inlineStr">
        <is>
          <t>การสั่งซื้อชิ้นส่วนพิเศษจากต่างประเทศ (AliExpress, JLCPCB, ยุโรป) มักเจอปัญหาติดด่านศุลกากร ขนส่งล่าช้า 3-6 สัปดาห์ หรือได้ของชำรุด หากไม่มี Buffer รวมระบบอย่างน้อย 2-3 สัปดาห์ก่อนส่งงาน การที่ของมาถึงในสัปดาห์ที่ 15 จะทำให้ไม่มีเวลาแก้บักและระบบจะพังต่อหน้ากรรมการในวันสอบ Final</t>
        </is>
      </c>
      <c r="Q7" s="20" t="inlineStr">
        <is>
          <t>ประเมินว่าโครงการแก้ปัญหาที่ Pain Point จริงของเมืองหรือไม่ การลด Empty Cases ไม่ใช่แค่การเขียนโค้ดเล่น แต่เป็นการปลดล็อกรถดูดน้ำและหน่วยเคลื่อนที่เร็วให้สามารถวิ่งไปช่วยชุมชนที่น้ำท่วมขังวิกฤตจริงได้เร็วขึ้น 15-20 นาที ลดความเสียหายต่อทรัพย์สินและบ้านเรือนของประชาชนตามเป้าหมาย SDG 11.5</t>
        </is>
      </c>
      <c r="R7" s="20" t="inlineStr">
        <is>
          <t>วิศวกรต้องไม่สร้างปัญหาใหม่ทับซ้อนปัญหาเดิม กล่องเซนเซอร์หรืออุปกรณ์ที่ติดตั้งในทางระบายน้ำ หากยึดไม่แน่นหนาแล้วหลุดลอยไปในคลอง ตัวกล่องและแบตเตอรี่จะกลายเป็นขยะอิเล็กทรอนิกส์มีพิษ (E-Waste) ที่ไปอุดตันเครื่องสูบน้ำของ กทม. ทำให้เกิดน้ำท่วมหนักกว่าเดิม</t>
        </is>
      </c>
      <c r="S7" s="20" t="inlineStr">
        <is>
          <t>แอปพลิเคชันอย่าง Traffy Fondue มีอคติเชิงพื้นที่ (Geospatial Bias) สูงมาก เพราะคนในย่านธุรกิจใจกลางเมืองจะแจ้งเรื่องบ่อยและส่งเสียงดังกว่าชุมชนชานเมือง หากระบบใช้อัลกอริทึมที่อิงตามความถี่การแจ้งเรื่อง ชุมชนยากจนจะถูกละเลย ระบบจึงต้องใช้ฟิสิกส์อัตราการระบายน้ำที่เป็นกลางในการตัดสินใจอย่างเท่าเทียม</t>
        </is>
      </c>
      <c r="T7" s="21" t="inlineStr">
        <is>
          <t>สังเคราะห์จาก AI Agents Group 2</t>
        </is>
      </c>
    </row>
    <row r="8" ht="150" customHeight="1">
      <c r="A8" s="17" t="inlineStr">
        <is>
          <t>เกณฑ์การให้คะแนน (Scoring Rubric Definition: ระดับ 1, 2, 3, 4, 5 ครบทุกระดับ)</t>
        </is>
      </c>
      <c r="B8" s="20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0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0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0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0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0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0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0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0" t="inlineStr">
        <is>
          <t>1: ใช้อุปกรณ์ส่งคลื่นวิทยุผิดกฎหมาย กสทช. หรือไม่มีช่องทางติดต่อประสานงานหน่วยงานรัฐเลยแม้แต่น้อย (Fatal Flaw)
2: อุปกรณ์ไม่ได้รับการรับรอง และการประสานงานอาศัยเพียงจดหมายทางการที่ไม่มีการตอบรับ
3: อุปกรณ์ได้รับรอง แต่การขออนุญาตเข้าพื้นที่สาธารณะต้องผ่านกระบวนการทำ MoU ล่าช้า
4: ใช้โมดูลสื่อสารที่ได้รับใบรับรอง กสทช. ถูกต้อง และมีอาจารย์ที่ปรึกษาช่วยเปิดช่องทางประสานงาน
5: โมดูลสื่อสารผ่านมาตรฐาน กสทช. 100% และมีเครือข่ายความร่วมมือทางวิชาการกับสำนักการระบายน้ำ กทม. ดำเนินการได้อย่างรวดเร็ว</t>
        </is>
      </c>
      <c r="K8" s="20" t="inlineStr">
        <is>
          <t>1: ระบบให้เพียงตัวเลขที่ไม่มีหลักฐานเชิงประจักษ์ เจ้าหน้าที่ไม่กล้าใช้ตัดสินใจเพราะกลัวถูกสอบวินัย (Fatal Flaw)
2: เจ้าหน้าที่ปฏิเสธการใช้งานเนื่องจากไม่สอดคล้องกับขั้นตอนการทำงานปกติ
3: เจ้าหน้าที่ยอมรับเฉพาะบางกรณี และยังคงต้องส่งรถออกไปถ่ายรูปปิดเคสหน้างานอยู่ดี
4: ระบบสร้างรายงานดิจิทัลพร้อมหลักฐานชัดเจนที่หัวหน้างานให้การยอมรับในการชะลอการปล่อยรถ
5: ระบบสร้างใบปิดงานดิจิทัล (Digital Evidence Card) ที่ระบุค่า dh/dt พิกัด และเวลา ที่ กทม. ยอมรับเป็นรูปภาพปิดเคสใน Traffy Fondue ได้ทันที</t>
        </is>
      </c>
      <c r="L8" s="20" t="inlineStr">
        <is>
          <t>1: ใช้งานยากมาก สร้างภาระงานหนักแก่เจ้าหน้าที่ และต้องใช้ช่างผู้เชี่ยวชาญดูแลรายวัน (Fatal Flaw)
2: ต้องฝึกอบรมเจ้าหน้าที่หลายวันและมีขั้นตอนการบำรุงรักษาที่ยุ่งยากซับซ้อน
3: ต้องมีการฝึกอบรมเจ้าหน้าที่ 1-2 ชั่วโมง และต้องคอยเช็ดทำความสะอาดระบบทุกเดือน
4: เจ้าหน้าที่เข้าใจได้ง่ายภายใน 15 นาที การติดตั้งสะดวกรวดเร็ว
5: ติดตั้งเสร็จใน 10 นาทีด้วยแคลมป์รัด ไม่ต้องเจาะทำลายสะพาน แดชบอร์ดแสดงสถานะ ชะลอ/ปล่อยรถ ชัดเจน ไม่ต้องอบรม</t>
        </is>
      </c>
      <c r="M8" s="20" t="inlineStr">
        <is>
          <t>1: ต้องลงไปปฏิบัติงานในพื้นที่อันตรายถึงชีวิต (เช่น ท่อระบายน้ำอับอากาศ หรือช่องจราจรความเร็วสูง) เพียงลำพัง (Fatal Flaw)
2: ปฏิบัติงานในพื้นที่เสี่ยงสูงโดยไม่มีอุปกรณ์คุ้มครองความปลอดภัยส่วนบุคคลที่เพียงพอ
3: ปฏิบัติงานริมถนนสาธารณะที่มีความเสี่ยงปานกลาง ต้องมีเพื่อนร่วมงานคอยดูแลความปลอดภัยตลอดเวลา
4: ปฏิบัติงานบนทางเท้าหรือสะพานลอยคนข้ามที่มีรั้วกั้นปลอดภัย สวมใส่อุปกรณ์สะท้อนแสง
5: ติดตั้งบนราวสะพานคนข้ามที่ปลอดภัย 100% และสามารถทดสอบระบบจำลองบนโต๊ะแล็บได้เกือบทั้งหมดก่อนลงพื้นที่จริง</t>
        </is>
      </c>
      <c r="N8" s="20" t="inlineStr">
        <is>
          <t>1: โครงการหยุดชะงักอย่างสิ้นเชิงจากช่วงสอบ 4 สัปดาห์ และไม่สามารถส่งมอบงานได้ทันสัปดาห์ที่ 16 (Fatal Flaw)
2: ติดสอบจนงานล่าช้ากว่ากำหนดมากกว่า 3 สัปดาห์ และต้องตัดทอนระบบสำคัญออก
3: งานล่าช้าเล็กน้อยและต้องเร่งทำงานอย่างหนักหลังสอบเสร็จ ไม่มีเวลาทดสอบรวมระบบ
4: แผนงานจัดสรรเวลาได้ดี สามารถหยุดอ่านหนังสือสอบได้โดยโครงการยังอยู่ในกรอบเวลา
5: สถาปัตยกรรมแยกส่วนชัดเจน โค้ดหลักเสร็จก่อนสอบกลางภาค และฮาร์ดแวร์ COTS ประกอบเสร็จทันทีหลังสอบ มีเวลาเหลือเฟือ</t>
        </is>
      </c>
      <c r="O8" s="20" t="inlineStr">
        <is>
          <t>1: ไม่สามารถบรรลุเกณฑ์ TRL ขั้นต่ำ (TRL 2 ภายในสัปดาห์ที่ 9) ได้เลย (Fatal Flaw)
2: บรรลุเกณฑ์ TRL ได้ล่าช้ากว่ากำหนดมากกว่า 2 สัปดาห์
3: บรรลุ TRL 2 ได้ทัน แต่ TRL 3 และ TRL 4 ต้องลดทอนข้อกำหนดลงอย่างมาก
4: บรรลุเกณฑ์ TRL 2, TRL 3, และ TRL 4 ได้ตามกรอบเวลาของรายวิชาเกือบครบถ้วน
5: บรรลุ TRL 2 ในสัปดาห์ 9 (Mathematical Model), TRL 3 ในสัปดาห์ 13 (Bench PoC), และ TRL 4 ในสัปดาห์ 16 (Canal/Lab) ได้อย่างสมบูรณ์แบบ</t>
        </is>
      </c>
      <c r="P8" s="20" t="inlineStr">
        <is>
          <t>1: อุปกรณ์ต้องนำเข้าต่างประเทศใช้เวลาขนส่ง 4-6 สัปดาห์ ทำลายเส้นทางวิกฤตของโปรเจกต์ 16 สัปดาห์ (Fatal Flaw)
2: อุปกรณ์จัดส่งล่าช้า 2-3 สัปดาห์ ทำให้ไม่มีเวลาสำหรับการทดสอบและแก้ไขจุดบกพร่อง
3: มี Buffer เวลาสำหรับการทดสอบรวมระบบเพียง 1 สัปดาห์ เสี่ยงต่อการส่งงานไม่ทันหากมีข้อผิดพลาด
4: อุปกรณ์จัดส่งภายใน 5-7 วัน มี Buffer สำหรับการรวมระบบและแก้บักอย่างน้อย 2 สัปดาห์
5: อุปกรณ์ทุกชิ้นมีสต็อกในประเทศ จัดส่งถึงภายใน 2-3 วันทำการ มี Buffer รวมระบบก่อนส่งมอบมากกว่า 3 สัปดาห์</t>
        </is>
      </c>
      <c r="Q8" s="20" t="inlineStr">
        <is>
          <t>1: ไม่สอดคล้องกับเป้าหมายความยั่งยืนใด ๆ หรือสร้างผลกระทบเชิงลบต่อการจัดการภัยพิบัติ (Fatal Flaw)
2: สอดคล้องในเชิงทฤษฎีเท่านั้น แต่ไม่มีผลลัพธ์หรือตัวชี้วัดที่จับต้องได้ในทางปฏิบัติ
3: ส่งเสริมการเฝ้าระวังทางอ้อม แต่ไม่สามารถวัดผลการลดความสูญเสียได้อย่างชัดเจน
4: ช่วยลดเวลาในการเข้าถึงพื้นที่น้ำท่วมขัง และมีตัวชี้วัดความสำเร็จที่สอดคล้องกับ SDG 11.5
5: ตอบโจทย์ SDG 11.5 (ลดความสูญเสียทางเศรษฐกิจ) และ SDG 6.3 (เฝ้าระวังระบบระบายน้ำ) อย่างชัดเจน ปลดล็อกกำลังพลช่วยเหลือพื้นที่วิกฤตได้เร็วขึ้น</t>
        </is>
      </c>
      <c r="R8" s="20" t="inlineStr">
        <is>
          <t>1: ใช้วัสดุที่ชะสารพิษลงน้ำ หรืออุปกรณ์เสี่ยงหลุดลอยไปอุดตันท่อระบายน้ำกลายเป็นมลพิษ (Fatal Flaw)
2: มีความเสี่ยงที่อุปกรณ์จะเสื่อมสภาพและปล่อยไมโครพลาสติกหรือสารเคมีลงสู่แหล่งน้ำ
3: อุปกรณ์ปลอดภัยในสภาวะปกติ แต่อาจชำรุดเสียหายหากเกิดกระแสน้ำหลากฉับพลัน
4: อุปกรณ์ติดตั้งเหนือน้ำ กล่องกันน้ำมิดชิด มีการป้องกันการหลุดร่วงอย่างเหมาะสม
5: ตัวกล่องมาตรฐาน IP67 ไม่สัมผัสน้ำ มีสลิงนิรภัยสแตนเลสยึดสองชั้น และใช้แบตเตอรี่แห้งปลอดภัยที่ไม่ปล่อยสารเคมี 100%</t>
        </is>
      </c>
      <c r="S8" s="20" t="inlineStr">
        <is>
          <t>1: อัลกอริทึมเลือกปฏิบัติต่อพื้นที่ หรือตัดการให้บริการแก่ชุมชนยากจนอย่างไม่เป็นธรรม (Fatal Flaw)
2: มีความเหลื่อมล้ำเชิงพื้นที่สูง ระบบทำงานได้เฉพาะเขตเมืองชั้นในที่ร่ำรวย ละเลยชุมชนชานเมือง
3: มีความเหลื่อมล้ำเล็กน้อยตามปริมาณข้อมูลหรือสัญญาณเครือข่าย แต่ไม่ได้เลือกปฏิบัติโดยเจตนา
4: ระบบกระจายการให้บริการอย่างทั่วถึง และมีกลไกชดเชยสำหรับพื้นที่ที่มีข้อมูลน้อย
5: ใช้อัตราการลดระดับน้ำตามกฎฟิสิกส์ชลศาสตร์เป็นเกณฑ์สากลอย่างเสมอภาคเท่าเทียม ไม่ขึ้นกับฐานะทางเศรษฐกิจหรือเสียงร้องเรียน</t>
        </is>
      </c>
      <c r="T8" s="21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2" t="inlineStr">
        <is>
          <t>คะแนนที่ได้รับ (ASSIGNED SCORE: 1, 2, 3, 4, 5 STRICT INTEGER)</t>
        </is>
      </c>
      <c r="B9" s="23" t="n">
        <v>4</v>
      </c>
      <c r="C9" s="23" t="n">
        <v>4</v>
      </c>
      <c r="D9" s="23" t="n">
        <v>5</v>
      </c>
      <c r="E9" s="23" t="n">
        <v>4</v>
      </c>
      <c r="F9" s="23" t="n">
        <v>5</v>
      </c>
      <c r="G9" s="23" t="n">
        <v>5</v>
      </c>
      <c r="H9" s="23" t="n">
        <v>4</v>
      </c>
      <c r="I9" s="23" t="n">
        <v>5</v>
      </c>
      <c r="J9" s="23" t="n">
        <v>4</v>
      </c>
      <c r="K9" s="23" t="n">
        <v>3</v>
      </c>
      <c r="L9" s="23" t="n">
        <v>4</v>
      </c>
      <c r="M9" s="23" t="n">
        <v>4</v>
      </c>
      <c r="N9" s="23" t="n">
        <v>4</v>
      </c>
      <c r="O9" s="23" t="n">
        <v>5</v>
      </c>
      <c r="P9" s="23" t="n">
        <v>5</v>
      </c>
      <c r="Q9" s="23" t="n">
        <v>5</v>
      </c>
      <c r="R9" s="23" t="n">
        <v>5</v>
      </c>
      <c r="S9" s="23" t="n">
        <v>5</v>
      </c>
      <c r="T9" s="24">
        <f>IF(T10&gt;0, (T11/T10)*20, 0)</f>
        <v/>
      </c>
    </row>
    <row r="10" ht="22" customHeight="1">
      <c r="A10" s="17" t="inlineStr">
        <is>
          <t>ค่าน้ำหนัก (Weight %)</t>
        </is>
      </c>
      <c r="B10" s="25" t="n">
        <v>0.05</v>
      </c>
      <c r="C10" s="25" t="n">
        <v>0.05</v>
      </c>
      <c r="D10" s="25" t="n">
        <v>0.05</v>
      </c>
      <c r="E10" s="25" t="n">
        <v>0.05</v>
      </c>
      <c r="F10" s="25" t="n">
        <v>0.0667</v>
      </c>
      <c r="G10" s="25" t="n">
        <v>0.0667</v>
      </c>
      <c r="H10" s="25" t="n">
        <v>0.06660000000000001</v>
      </c>
      <c r="I10" s="25" t="n">
        <v>0.075</v>
      </c>
      <c r="J10" s="25" t="n">
        <v>0.075</v>
      </c>
      <c r="K10" s="25" t="n">
        <v>0.0667</v>
      </c>
      <c r="L10" s="25" t="n">
        <v>0.0667</v>
      </c>
      <c r="M10" s="25" t="n">
        <v>0.06660000000000001</v>
      </c>
      <c r="N10" s="25" t="n">
        <v>0.05</v>
      </c>
      <c r="O10" s="25" t="n">
        <v>0.05</v>
      </c>
      <c r="P10" s="25" t="n">
        <v>0.05</v>
      </c>
      <c r="Q10" s="25" t="n">
        <v>0.0333</v>
      </c>
      <c r="R10" s="25" t="n">
        <v>0.0333</v>
      </c>
      <c r="S10" s="25" t="n">
        <v>0.0334</v>
      </c>
      <c r="T10" s="25">
        <f>SUM(B10:S10)</f>
        <v/>
      </c>
    </row>
    <row r="11" ht="24" customHeight="1">
      <c r="A11" s="17" t="inlineStr">
        <is>
          <t>คะแนนถ่วงน้ำหนัก (=Score * Weight)</t>
        </is>
      </c>
      <c r="B11" s="26">
        <f>B9*B10</f>
        <v/>
      </c>
      <c r="C11" s="26">
        <f>C9*C10</f>
        <v/>
      </c>
      <c r="D11" s="26">
        <f>D9*D10</f>
        <v/>
      </c>
      <c r="E11" s="26">
        <f>E9*E10</f>
        <v/>
      </c>
      <c r="F11" s="26">
        <f>F9*F10</f>
        <v/>
      </c>
      <c r="G11" s="26">
        <f>G9*G10</f>
        <v/>
      </c>
      <c r="H11" s="26">
        <f>H9*H10</f>
        <v/>
      </c>
      <c r="I11" s="26">
        <f>I9*I10</f>
        <v/>
      </c>
      <c r="J11" s="26">
        <f>J9*J10</f>
        <v/>
      </c>
      <c r="K11" s="26">
        <f>K9*K10</f>
        <v/>
      </c>
      <c r="L11" s="26">
        <f>L9*L10</f>
        <v/>
      </c>
      <c r="M11" s="26">
        <f>M9*M10</f>
        <v/>
      </c>
      <c r="N11" s="26">
        <f>N9*N10</f>
        <v/>
      </c>
      <c r="O11" s="26">
        <f>O9*O10</f>
        <v/>
      </c>
      <c r="P11" s="26">
        <f>P9*P10</f>
        <v/>
      </c>
      <c r="Q11" s="26">
        <f>Q9*Q10</f>
        <v/>
      </c>
      <c r="R11" s="26">
        <f>R9*R10</f>
        <v/>
      </c>
      <c r="S11" s="26">
        <f>S9*S10</f>
        <v/>
      </c>
      <c r="T11" s="26">
        <f>SUM(B11:S11)</f>
        <v/>
      </c>
    </row>
    <row r="12" ht="115" customHeight="1">
      <c r="A12" s="17" t="inlineStr">
        <is>
          <t>คำอธิบาย &amp; หลักฐานอ้างอิงจากไฟล์ Intake (Evidence Citation)</t>
        </is>
      </c>
      <c r="B12" s="20" t="inlineStr">
        <is>
          <t>อ้างอิง solution-1.md ข้อจำกัดทางกายภาพ: ต้องทนฝนและน้ำขัง อ้างอิง team-skills/jk.md หัวข้อ Mechanic: ใช้ SOLIDWORKS ได้แต่ไม่สามารถเข้าถึง Machine Shop ได้ จึงแก้ปัญหาด้วยกล่องสำเร็จรูป COTS</t>
        </is>
      </c>
      <c r="C12" s="20" t="inlineStr">
        <is>
          <t>อ้างอิง solution-1.md ข้อ Requirements b: ใช้เซนเซอร์วัดระดับน้ำและวัดการไหล อ้างอิง team-skills/jk.md หัวข้อ Electronics: ไม่เคยออกแบบ PCB และบัดกรีไม่เก่ง แต่เข้าใจการต่อวงจร IC และใช้บอร์ดสำเร็จรูปได้ กินไฟต่ำ ไม่มีความร้อนสะสม</t>
        </is>
      </c>
      <c r="D12" s="20" t="inlineStr">
        <is>
          <t>อ้างอิง solution-1.md ข้อ Requirements a: คำนวณ dh/dt เทียบกับเวลาเดินทาง QRT 20-30 นาที อ้างอิง team-skills/jk.md หัวข้อ Programming: JK เชี่ยวชาญ Python, C++, ROS2, Linear Algebra และ Differential Equations ขั้นสูง</t>
        </is>
      </c>
      <c r="E12" s="20" t="inlineStr">
        <is>
          <t>อ้างอิง solution-1.md ข้อ Constraints a: เซนเซอร์อาจประเมินค่าผิดพลาดจากขยะลอยและคลื่นผิวน้ำ แต่แก้ไขได้ด้วยการติดตั้งเซนเซอร์แบบไม่สัมผัสน้ำ (Non-contact) และใช้ตัวกรองเชิงสถิติ</t>
        </is>
      </c>
      <c r="F12" s="20" t="inlineStr">
        <is>
          <t>อ้างอิง solution-1.md ข้อ Requirements: ใช้อุปกรณ์ COTS ทั่วไป คำนวณงบประมาณต้นแบบบนโต๊ะทดลองไม่เกิน 3,500 บาท (JSN-SR04T ~120 บ., ESP32 ~150 บ., โมเด็ม 4G ~800 บ., กล่อง IP67 ~150 บ.)</t>
        </is>
      </c>
      <c r="G12" s="20" t="inlineStr">
        <is>
          <t>ราคาต่อหน่วยของอุปกรณ์ COTS ต่ำมาก ทำให้สามารถซื้อบอร์ดสำรอง 2 ชุดและเซนเซอร์สำรอง 3 ชุดได้โดยอยู่ในงบสำรอง 1,500 บาท รวมงบประมาณทั้งสิ้น 5,000 บาทพอดี</t>
        </is>
      </c>
      <c r="H12" s="20" t="inlineStr">
        <is>
          <t>อ้างอิง solution-1.md ข้อ Leverage Point: มุ่งลดการสะสมของ False Flags และลดการเสียเวลาและทรัพยากรของเจ้าหน้าที่หน้างาน โดยอุปกรณ์ใช้แบตเตอรี่ LiFePO4 อยู่ได้นานหลายเดือน</t>
        </is>
      </c>
      <c r="I12" s="20" t="inlineStr">
        <is>
          <t>อ้างอิง solution-1.md ข้อ Requirements c: ตัดสินใจใช้ Local Ultrasonic Sensors วัดเฉพาะระยะห่างผิวน้ำ ปลอดจากข้อมูลระบุตัวตน (No PII) 100% จึงไม่มีความเสี่ยงต่อ พ.ร.บ. PDPA และติดตั้งบนราวสะพานไม่กีดขวางทางสัญจร</t>
        </is>
      </c>
      <c r="J12" s="20" t="inlineStr">
        <is>
          <t>เลือกใช้โมดูล 4G LTE มาตรฐานอุตสาหกรรม (เช่น SIM7600) ที่ได้รับใบรับรองจาก กสทช. ถูกต้อง และอ้างอิง team-skills/jk.md ที่มีอาจารย์ที่ปรึกษามีเครือข่ายความร่วมมือทางวิชาการกับสำนักการระบายน้ำ กทม.</t>
        </is>
      </c>
      <c r="K12" s="20" t="inlineStr">
        <is>
          <t>อ้างอิง solution-1.md ข้อ Constraints b: ขั้นตอนการดำเนินงานต้องมี Evidences ส่งคืนประชาชน ทำให้เกิดการบังคับให้เจ้าหน้าที่ต้องลงหน้างานเพื่อถ่ายรูปปิดเคสใน Traffy Fondue</t>
        </is>
      </c>
      <c r="L12" s="20" t="inlineStr">
        <is>
          <t>การออกแบบเน้นกล่อง COTS ที่มีแคลมป์รัดท่อแบบ Universal ไม่ต้องเจาะทำลายสะพาน และส่งข้อมูลผ่านสัญญาณมือถือขึ้น Web Dashboard แบบ Standalone โดยตรง</t>
        </is>
      </c>
      <c r="M12" s="20" t="inlineStr">
        <is>
          <t>อ้างอิง team-skills/jk.md เป็นนักศึกษาทำงานเดี่ยว (Solo Developer). ตำแหน่งติดตั้งเซนเซอร์อัลตราโซนิกอยู่บนราวสะพานข้ามคลอง ผู้พัฒนาสามารถยืนติดตั้งจากบนสะพานได้อย่างปลอดภัย ไม่ต้องลงน้ำหรือลงผิวจราจร</t>
        </is>
      </c>
      <c r="N12" s="20" t="inlineStr">
        <is>
          <t>อ้างอิง schedule-details/schedule.md ระบุชัดเจนว่ามีช่วงสอบกลางภาคและปลายภาครวม 4 สัปดาห์. โครงสร้างซอฟต์แวร์ของ Solution 1 สามารถทดสอบล่วงหน้าบนคอมพิวเตอร์ด้วยข้อมูลจำลองได้ ทำให้ไม่สะดุดช่วงสอบ</t>
        </is>
      </c>
      <c r="O12" s="20" t="inlineStr">
        <is>
          <t>อ้างอิง schedule-details/schedule.md: สัปดาห์ 9 ส่งสมการ Recession Rate (TRL 2), สัปดาห์ 13 ประกอบเซนเซอร์ทดสอบกับถังน้ำบนโต๊ะ (TRL 3), สัปดาห์ 16 ทดสอบกับคลองมหาวิทยาลัย (TRL 4) สอดคล้องกับทักษะของ JK</t>
        </is>
      </c>
      <c r="P12" s="20" t="inlineStr">
        <is>
          <t>อุปกรณ์ทุกชิ้น (ESP32, JSN-SR04T, กล่อง IP67, โมเด็ม 4G) มีสต็อกพร้อมส่งในประเทศไทย จัดส่งถึงภายใน 2-3 วันทำการ ทำให้มี Buffer รวมระบบมากกว่า 3 สัปดาห์</t>
        </is>
      </c>
      <c r="Q12" s="20" t="inlineStr">
        <is>
          <t>อ้างอิง sdg-rulebook/goals/goal-11.md ตัวชี้วัด 11.5.2 และ goal-06.md ตัวชี้วัด 6.3.2: การกรอง Empty Cases ช่วยปลดล็อกกำลังพลของ QRT ให้สามารถเข้าช่วยเหลือจุดวิกฤตน้ำท่วมขังรุนแรงได้อย่างทันท่วงที</t>
        </is>
      </c>
      <c r="R12" s="20" t="inlineStr">
        <is>
          <t>อ้างอิง sdg-rulebook/goals/goal-06.md ตัวชี้วัด 6.3.2: อุปกรณ์ติดตั้งเหนือน้ำ ไม่สัมผัสน้ำโดยตรง กล่องปิดสนิท และมีสลิงนิรภัยสแตนเลสยึดกับโครงสร้างสะพานป้องกันตัวเครื่องหลุดลอยยามน้ำหลาก</t>
        </is>
      </c>
      <c r="S12" s="20" t="inlineStr">
        <is>
          <t>อ้างอิง sdg-rulebook/goals/goal-10.md: การตัดสินใจใช้สมการชลศาสตร์ทางกายภาพเป็นเกณฑ์เดียวกันทุกพื้นที่ ทำให้ทุกชุมชนได้รับการประเมินตามสภาพน้ำท่วมจริงอย่างเสมอภาค ไม่ถูกเลือกปฏิบัติ</t>
        </is>
      </c>
      <c r="T12" s="27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7" t="inlineStr">
        <is>
          <t>แผนลดขอบเขตงาน &amp; มาตรการลดความเสี่ยง (De-scoping Action)</t>
        </is>
      </c>
      <c r="B13" s="20" t="inlineStr">
        <is>
          <t>จัดซื้อกล่องพักสายไฟกันน้ำมาตรฐาน IP67 (~150 บาท) และแคลมป์รัดเสาสำเร็จรูป จำกัดการพิมพ์ 3D ไว้เฉพาะตัวยึดภายในกล่องเท่านั้น</t>
        </is>
      </c>
      <c r="C13" s="20" t="inlineStr">
        <is>
          <t>ห้ามออกแบบ Custom PCB เด็ดขาด ให้ใช้ Screw Terminal Expansion Shield สำเร็จรูปที่มีระบบป้องกันไฟกระชากในตัว</t>
        </is>
      </c>
      <c r="D13" s="20" t="inlineStr">
        <is>
          <t>พัฒนาเป็นโมดูลคำนวณอัตราการลดระดับน้ำด้วย Python/ROS2 พร้อมชุดทดสอบ Unit Test จำลองกราฟการระบายน้ำของ กทม.</t>
        </is>
      </c>
      <c r="E13" s="20" t="inlineStr">
        <is>
          <t>นำแบบจำลองการระบายน้ำของ Ann Arbor มาปรับใช้ร่วมกับการกำหนดค่าเผื่อความปลอดภัย (Safety Margin) ที่รัดกุม</t>
        </is>
      </c>
      <c r="F13" s="20" t="inlineStr">
        <is>
          <t>สั่งซื้ออุปกรณ์อิเล็กทรอนิกส์ทั้งหมดจากผู้จัดจำหน่ายในไทยเพื่อตัดค่าขนส่งระหว่างประเทศและควบคุมงบประมาณอย่างเด็ดขาด</t>
        </is>
      </c>
      <c r="G13" s="20" t="inlineStr">
        <is>
          <t>จัดซื้อเซนเซอร์และตัวแปลงไฟสำรองตั้งแต่สัปดาห์แรกของการเริ่มโครงการ เพื่อป้องกันความล่าช้ากรณีชิ้นส่วนเสียหาย</t>
        </is>
      </c>
      <c r="H13" s="20" t="inlineStr">
        <is>
          <t>คำนวณตัวเลขค่าน้ำมันและชั่วโมงการทำงานของเจ้าหน้าที่ที่ประหยัดได้ต่อปีเพื่อนำเสนอในเล่มรายงาน Final</t>
        </is>
      </c>
      <c r="I13" s="20" t="inlineStr">
        <is>
          <t>ระบุในเอกสารข้อกำหนดระบบอย่างเป็นทางการว่าไม่มีการเก็บภาพถ่ายหรือข้อมูลส่วนบุคคล เพื่อหลีกเลี่ยงกระบวนการขออนุญาต PDPA</t>
        </is>
      </c>
      <c r="J13" s="20" t="inlineStr">
        <is>
          <t>ให้อาจารย์ที่ปรึกษาออกหนังสือนำทางวิชาการสำหรับการขอทดสอบติดตั้งอุปกรณ์บนสะพานคลองในเขตมหาวิทยาลัยก่อน</t>
        </is>
      </c>
      <c r="K13" s="20" t="inlineStr">
        <is>
          <t>พัฒนาฟังก์ชันสร้าง Digital Evidence Card แนบกราฟอัตราน้ำลดลงส่งเข้าสู่ระบบ Traffy Fondue โดยตรง และนัดประชุมชี้แจงหัวหน้าฝ่ายระบายน้ำเพื่อขออนุมัติระเบียบการปิดเคสดิจิทัล</t>
        </is>
      </c>
      <c r="L13" s="20" t="inlineStr">
        <is>
          <t>ออกแบบ Web UI ให้เรียบง่ายที่สุด โดยแสดงแถบสถานะสีเขียว (แห้งเองได้) และสีแดง (ต้องส่งรถ) พร้อมปุ่มกดคัดลอกข้อความสรุปเหตุการณ์</t>
        </is>
      </c>
      <c r="M13" s="20" t="inlineStr">
        <is>
          <t>ดำเนินการทดสอบระบบบนโต๊ะทดลองและคลองทดสอบภายในมหาวิทยาลัยให้สมบูรณ์ 100% ก่อน และสวมเสื้อสะท้อนแสงทุกครั้งที่ลงพื้นที่จริง</t>
        </is>
      </c>
      <c r="N13" s="20" t="inlineStr">
        <is>
          <t>เร่งรัดการล็อกสเปกฮาร์ดแวร์และเขียนโค้ดอัลกอริทึม dh/dt ให้เสร็จสมบูรณ์ 100% ก่อนเข้าสู่สัปดาห์สอบกลางภาค (สัปดาห์ที่ 9)</t>
        </is>
      </c>
      <c r="O13" s="20" t="inlineStr">
        <is>
          <t>กำหนดให้เกณฑ์ผ่าน TRL 3 เป็นการทดสอบในถังน้ำในห้องแล็บ เพื่อรับประกันว่าจะผ่านเกณฑ์ได้โดยไม่ต้องพึ่งพาสภาพฝนตกจริง</t>
        </is>
      </c>
      <c r="P13" s="20" t="inlineStr">
        <is>
          <t>จัดซื้ออุปกรณ์ทั้งหมดจากร้านค้าออนไลน์ในไทยในสัปดาห์แรก และปฏิเสธการสั่งซื้อชิ้นส่วนนำเข้าจากต่างประเทศทุกกรณี</t>
        </is>
      </c>
      <c r="Q13" s="20" t="inlineStr">
        <is>
          <t>รวบรวมสถิติการลดเวลาเดินทางและจำนวนเคสที่ได้รับการแก้ไขเร็วขึ้นเพื่อใช้เป็นตัวชี้วัดความสำเร็จตาม SDG 11.5 ในรายงานขั้นสุดท้าย</t>
        </is>
      </c>
      <c r="R13" s="20" t="inlineStr">
        <is>
          <t>ติดตั้งสายสลิงนิรภัยสองชั้น (Dual Safety Tether) และใช้แบตเตอรี่ LiFePO4 ที่มีความปลอดภัยสูงและไม่มีสารพิษรั่วไหล</t>
        </is>
      </c>
      <c r="S13" s="20" t="inlineStr">
        <is>
          <t>กำหนดให้อัลกอริทึมใช้พารามิเตอร์ทางชลศาสตร์มาตรฐานเดียวกันทุกจุดติดตั้ง เพื่อรักษาความเสมอภาคตาม SDG 10</t>
        </is>
      </c>
      <c r="T13" s="19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3" t="inlineStr">
        <is>
          <t>เมทริกซ์ประเมินความเป็นไปได้เชิงระบบ TELOS+S: 2-Factor Authentication Dispatch Filtering Layer (PUB Singapore CWOS)</t>
        </is>
      </c>
    </row>
    <row r="2">
      <c r="A2" s="14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5" t="inlineStr">
        <is>
          <t>รหัสคำถาม (Question Code)</t>
        </is>
      </c>
      <c r="B4" s="16" t="inlineStr">
        <is>
          <t>T-01</t>
        </is>
      </c>
      <c r="C4" s="16" t="inlineStr">
        <is>
          <t>T-02</t>
        </is>
      </c>
      <c r="D4" s="16" t="inlineStr">
        <is>
          <t>T-03</t>
        </is>
      </c>
      <c r="E4" s="16" t="inlineStr">
        <is>
          <t>T-04</t>
        </is>
      </c>
      <c r="F4" s="16" t="inlineStr">
        <is>
          <t>E-01</t>
        </is>
      </c>
      <c r="G4" s="16" t="inlineStr">
        <is>
          <t>E-02</t>
        </is>
      </c>
      <c r="H4" s="16" t="inlineStr">
        <is>
          <t>E-03</t>
        </is>
      </c>
      <c r="I4" s="16" t="inlineStr">
        <is>
          <t>L-01</t>
        </is>
      </c>
      <c r="J4" s="16" t="inlineStr">
        <is>
          <t>L-02</t>
        </is>
      </c>
      <c r="K4" s="16" t="inlineStr">
        <is>
          <t>O-01</t>
        </is>
      </c>
      <c r="L4" s="16" t="inlineStr">
        <is>
          <t>O-02</t>
        </is>
      </c>
      <c r="M4" s="16" t="inlineStr">
        <is>
          <t>O-03</t>
        </is>
      </c>
      <c r="N4" s="16" t="inlineStr">
        <is>
          <t>S-01</t>
        </is>
      </c>
      <c r="O4" s="16" t="inlineStr">
        <is>
          <t>S-02</t>
        </is>
      </c>
      <c r="P4" s="16" t="inlineStr">
        <is>
          <t>S-03</t>
        </is>
      </c>
      <c r="Q4" s="16" t="inlineStr">
        <is>
          <t>SDG-01</t>
        </is>
      </c>
      <c r="R4" s="16" t="inlineStr">
        <is>
          <t>SDG-02</t>
        </is>
      </c>
      <c r="S4" s="16" t="inlineStr">
        <is>
          <t>SDG-03</t>
        </is>
      </c>
      <c r="T4" s="16" t="inlineStr">
        <is>
          <t>สรุปภาพรวม (SUMMARY)</t>
        </is>
      </c>
    </row>
    <row r="5" ht="24" customHeight="1">
      <c r="A5" s="17" t="inlineStr">
        <is>
          <t>มิติการประเมิน (TELOS+S Pillar)</t>
        </is>
      </c>
      <c r="B5" s="18" t="inlineStr">
        <is>
          <t>ด้านเทคนิค (Technical 2.2)</t>
        </is>
      </c>
      <c r="C5" s="18" t="inlineStr">
        <is>
          <t>ด้านเทคนิค (Technical 2.2)</t>
        </is>
      </c>
      <c r="D5" s="18" t="inlineStr">
        <is>
          <t>ด้านเทคนิค (Technical 2.2)</t>
        </is>
      </c>
      <c r="E5" s="18" t="inlineStr">
        <is>
          <t>ด้านเทคนิค (Technical 2.2)</t>
        </is>
      </c>
      <c r="F5" s="18" t="inlineStr">
        <is>
          <t>ด้านเศรษฐศาสตร์ (Economic 2.3)</t>
        </is>
      </c>
      <c r="G5" s="18" t="inlineStr">
        <is>
          <t>ด้านเศรษฐศาสตร์ (Economic 2.3)</t>
        </is>
      </c>
      <c r="H5" s="18" t="inlineStr">
        <is>
          <t>ด้านเศรษฐศาสตร์ (Economic 2.3)</t>
        </is>
      </c>
      <c r="I5" s="18" t="inlineStr">
        <is>
          <t>ด้านกฎหมายและหน่วยงาน (Legal 2.4)</t>
        </is>
      </c>
      <c r="J5" s="18" t="inlineStr">
        <is>
          <t>ด้านกฎหมายและหน่วยงาน (Legal 2.4)</t>
        </is>
      </c>
      <c r="K5" s="18" t="inlineStr">
        <is>
          <t>ด้านการปฏิบัติการและผู้ใช้ (Operational 2.5)</t>
        </is>
      </c>
      <c r="L5" s="18" t="inlineStr">
        <is>
          <t>ด้านการปฏิบัติการและผู้ใช้ (Operational 2.5)</t>
        </is>
      </c>
      <c r="M5" s="18" t="inlineStr">
        <is>
          <t>ด้านการปฏิบัติการและผู้ใช้ (Operational 2.5)</t>
        </is>
      </c>
      <c r="N5" s="18" t="inlineStr">
        <is>
          <t>ด้านเวลาและแผนงาน (Schedule 2.6)</t>
        </is>
      </c>
      <c r="O5" s="18" t="inlineStr">
        <is>
          <t>ด้านเวลาและแผนงาน (Schedule 2.6)</t>
        </is>
      </c>
      <c r="P5" s="18" t="inlineStr">
        <is>
          <t>ด้านเวลาและแผนงาน (Schedule 2.6)</t>
        </is>
      </c>
      <c r="Q5" s="18" t="inlineStr">
        <is>
          <t>ด้านความยั่งยืน (SDGs 2.7)</t>
        </is>
      </c>
      <c r="R5" s="18" t="inlineStr">
        <is>
          <t>ด้านความยั่งยืน (SDGs 2.7)</t>
        </is>
      </c>
      <c r="S5" s="18" t="inlineStr">
        <is>
          <t>ด้านความยั่งยืน (SDGs 2.7)</t>
        </is>
      </c>
      <c r="T5" s="19" t="inlineStr">
        <is>
          <t>ผลรวมทุกมิติ (All Pillars)</t>
        </is>
      </c>
    </row>
    <row r="6" ht="80" customHeight="1">
      <c r="A6" s="17" t="inlineStr">
        <is>
          <t>คำถามทดสอบความเสี่ยงจริง (Stress-Test Question)</t>
        </is>
      </c>
      <c r="B6" s="20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0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0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0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0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0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0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0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0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0" t="inlineStr">
        <is>
          <t>ระบบสามารถสร้างหลักฐานยืนยันที่สอดคล้องกับระเบียบการปิดงาน (Proof of Work) ของ กทม./Traffy Fondue โดยไม่ต้องบังคับให้เจ้าหน้าที่ต้องเดินทางไปถ่ายรูปซ้ำซ้อนหรือไม่?</t>
        </is>
      </c>
      <c r="L6" s="20" t="inlineStr">
        <is>
          <t>ความซับซ้อนในการติดตั้ง การบำรุงรักษา และการใช้งานโดยเจ้าหน้าที่หน้างาน (Usability &amp; Maintainability) อยู่ในระดับที่เหมาะสมและไม่สร้างภาระงานเพิ่มเติมหรือไม่?</t>
        </is>
      </c>
      <c r="M6" s="20" t="inlineStr">
        <is>
          <t>การทดสอบและติดตั้งระบบจริงหน้างาน สามารถกระทำได้อย่างปลอดภัยโดยไม่เสี่ยงต่อชีวิตของผู้พัฒนาหรือประชาชนผู้ใช้ทางหรือไม่?</t>
        </is>
      </c>
      <c r="N6" s="20" t="inlineStr">
        <is>
          <t>แผนงานและสถาปัตยกรรมระบบสามารถดูดซับช่วงสอบกลางภาค/ปลายภาคของมหาวิทยาลัย (Buffer Time 4 สัปดาห์) โดยโครงการไม่ล่าช้ากว่ากำหนดหรือไม่?</t>
        </is>
      </c>
      <c r="O6" s="20" t="inlineStr">
        <is>
          <t>ความก้าวหน้าทางวิศวกรรมสามารถบรรลุเกณฑ์การทำงานได้จริง (Working Prototype) ภายในสัปดาห์ที่ 9 ก่อนการประเมินความก้าวหน้าหลักหรือไม่?</t>
        </is>
      </c>
      <c r="P6" s="20" t="inlineStr">
        <is>
          <t>ระยะเวลาในการสั่งซื้อและขนส่งอุปกรณ์ (Lead Time) สอดคล้องกับกรอบเวลาของภาคการศึกษา โดยชิ้นส่วนหลักทั้งหมดมาถึงภายใน 14 วันหรือไม่?</t>
        </is>
      </c>
      <c r="Q6" s="20" t="inlineStr">
        <is>
          <t>ระบบส่งเสริมการลดความสูญเสียจากภัยพิบัติและสนับสนุนเมืองที่มีความยืดหยุ่นและยั่งยืน (สอดคล้องกับ SDG 11.5 และ SDG 13.1) หรือไม่?</t>
        </is>
      </c>
      <c r="R6" s="20" t="inlineStr">
        <is>
          <t>อุปกรณ์ที่นำไปติดตั้ง ไม่เสี่ยงต่อการชะล้างกลายเป็นขยะในท่อระบายน้ำ และใช้วัสดุที่ทนทาน ปลอดสารอันตราย และเป็นมิตรต่อสิ่งแวดล้อม (สอดคล้องกับ SDG 6.3 และ SDG 12.4/12.5) หรือไม่?</t>
        </is>
      </c>
      <c r="S6" s="20" t="inlineStr">
        <is>
          <t>ตรรกะการประเมินและการกรองเหตุร้องเรียน มีความโปร่งใส ตรวจสอบย้อนกลับได้ และไม่สร้างความเหลื่อมล้ำในการให้บริการของรัฐต่อประชาชนทุกกลุ่มอย่างเป็นธรรม (สอดคล้องกับ SDG 10.2 และ SDG 16.6) หรือไม่?</t>
        </is>
      </c>
      <c r="T6" s="21" t="inlineStr">
        <is>
          <t>ประเมินคำถามทั้งสิ้น 18 ข้อ</t>
        </is>
      </c>
    </row>
    <row r="7" ht="95" customHeight="1">
      <c r="A7" s="17" t="inlineStr">
        <is>
          <t>เหตุผลในการถาม &amp; โหมดความล้มเหลวที่เฝ้าระวัง (Rationale)</t>
        </is>
      </c>
      <c r="B7" s="20" t="inlineStr">
        <is>
          <t>เซนเซอร์โทรมาตรวัดระดับน้ำและเรดาร์น้ำฝนสำหรับปัจจัยที่สอง (Factor 2) สามารถติดตั้งในกล่องกันน้ำ COTS มาตรฐาน IP67 ยึดด้วยแคลมป์รัดเสามาตรฐานอุตสาหกรรม ไม่ต้องพึ่งพาโรงกลึงโลหะ</t>
        </is>
      </c>
      <c r="C7" s="20" t="inlineStr">
        <is>
          <t>โหนดตรวจวัดโทรมาตรใช้บอร์ดไมโครคอนโทรลเลอร์ ESP32 สำเร็จรูปพร้อม Screw Terminal Shield สำหรับการต่อสายเซนเซอร์ กินไฟต่ำและไม่มีความร้อนสะสม</t>
        </is>
      </c>
      <c r="D7" s="20" t="inlineStr">
        <is>
          <t>ตรรกะการตรวจสอบ 2-Factor Authentication และการจับคู่พิกัด GPS ระหว่างเคส Traffy Fondue กับเซนเซอร์โทรมาตรประมวลผลเสร็จในระดับวินาที รวดเร็วกว่ากรอบเวลาเดินทาง 20-30 นาทีอย่างมาก</t>
        </is>
      </c>
      <c r="E7" s="20" t="inlineStr">
        <is>
          <t>การใช้หลักการ 2-Factor Cross-Validation ช่วยลดปัญหา False Alarm จากสัญญาณรบกวนของเซนเซอร์เดี่ยวได้อย่างมีนัยสำคัญ หากเซนเซอร์อ่านค่าผิดแต่ไม่มีประชาชนแจ้ง หรือมีประชาชนแจ้งแต่เซนเซอร์วัดได้ปกติ ระบบจะตั้งเวลาตรวจสอบซ้ำ 15 นาที</t>
        </is>
      </c>
      <c r="F7" s="20" t="inlineStr">
        <is>
          <t>ต้นทุนอุปกรณ์โหนดตรวจวัดโทรมาตร COTS (ESP32 + Ultrasonic/Radar + กล่อง IP67 + แบตเตอรี่) อยู่ที่ประมาณ 3,200 - 3,800 บาทต่อชุด อยู่ภายใต้เพดานงบประมาณอย่างสมบูรณ์</t>
        </is>
      </c>
      <c r="G7" s="20" t="inlineStr">
        <is>
          <t>ด้วยต้นทุนต่อชุดที่ต่ำ (~3,500 บาท) งบประมาณที่เหลือสามารถจัดซื้อเซนเซอร์และบอร์ดไมโครคอนโทรลเลอร์สำรองได้ 100%</t>
        </is>
      </c>
      <c r="H7" s="20" t="inlineStr">
        <is>
          <t>การลดการปล่อยรถ QRT ไปเก้อได้ 40-50% ช่วยประหยัดค่าน้ำมันรถปฏิบัติการและค่าสึกหรอของ กทม. ได้หลายหมื่นบาทต่อเดือน โดยที่ระบบมีค่าใช้จ่ายซิมข้อมูลเพียง 150-200 บาทต่อเดือน</t>
        </is>
      </c>
      <c r="I7" s="20" t="inlineStr">
        <is>
          <t>ระบบประมวลผลเฉพาะระดับน้ำและข้อมูลโทรมาตร ไม่มีการติดตั้งกล้องบันทึกภาพใบหน้าหรือทะเบียนรถ จึงปลอดจากข้อกำหนด PDPA 100% และการติดตั้งโหนดบนราวสะพานหรือเสาสาธารณะทำตามขั้นตอนขออนุญาตหน่วยงาน</t>
        </is>
      </c>
      <c r="J7" s="20" t="inlineStr">
        <is>
          <t>ใช้โมดูลสื่อสารที่ผ่านการรับรองจาก กสทช. (NBTC Approved) และการเชื่อมต่อข้อมูลช่วยสนับสนุนการทำงานของศูนย์ควบคุมระบบป้องกันน้ำท่วม กทม. โดยตรง</t>
        </is>
      </c>
      <c r="K7" s="20" t="inlineStr">
        <is>
          <t>ระบบสร้าง Digital Evidence Card แสดงกราฟระดับน้ำ เปรียบเทียบกับภาพถ่ายเรื่องร้องเรียน และบันทึกเวลาที่ระดับน้ำลดลงสู่ระดับปกติ เพื่อใช้เป็นหลักฐานปิดเคสบน Traffy Fondue ได้อย่างเป็นทางการ</t>
        </is>
      </c>
      <c r="L7" s="20" t="inlineStr">
        <is>
          <t>หน้าจอแสดงผลออกแบบให้แสดงสถานะการยืนยัน 2-Factor แบบชัดเจน (Confirmed vs Holding) เจ้าหน้าที่ศูนย์สั่งการสามารถตัดสินใจได้ทันทีใน 5 วินาทีโดยไม่ต้องตีความข้อมูลทางเทคนิคที่ซับซ้อน</t>
        </is>
      </c>
      <c r="M7" s="20" t="inlineStr">
        <is>
          <t>การติดตั้งเซนเซอร์โทรมาตรทำจากบนราวสะพานหรือทางเท้า ไม่ต้องสัมผัสน้ำหรือเปิดฝาท่อบนผิวถนน จึงมีความปลอดภัยสูงมาก ไม่มีความเสี่ยงต่อชีวิตของผู้ปฏิบัติงาน</t>
        </is>
      </c>
      <c r="N7" s="20" t="inlineStr">
        <is>
          <t>งานส่วนใหญ่เป็นการพัฒนาระบบซอฟต์แวร์เชื่อมโยง API และกฎการคัดกรอง 2-Factor ซึ่งสามารถทำงานคู่ขนานและทดสอบด้วยข้อมูลจำลอง (Mock Telemetry) ในช่วงสัปดาห์สอบได้</t>
        </is>
      </c>
      <c r="O7" s="20" t="inlineStr">
        <is>
          <t>สามารถส่งมอบระบบต้นแบบที่เชื่อมต่อ Webhook ของ Traffy Fondue กับเซนเซอร์วัดระดับน้ำจำลองและออกผลการคัดกรองได้เสร็จสิ้นก่อนสัปดาห์ที่ 9</t>
        </is>
      </c>
      <c r="P7" s="20" t="inlineStr">
        <is>
          <t>ชิ้นส่วนทั้งหมดเป็นอุปกรณ์อิเล็กทรอนิกส์ COTS ทั่วไปที่มีสต็อกจำหน่ายในประเทศไทย สามารถจัดส่งถึงมือได้ภายใน 2-3 วันทำการ</t>
        </is>
      </c>
      <c r="Q7" s="20" t="inlineStr">
        <is>
          <t>การเพิ่มความแม่นยำในการส่งหน่วยเคลื่อนที่เร็ว ช่วยให้เจ้าหน้าที่เข้าถึงจุดวิกฤตจริงได้เร็วขึ้น ลดความเสียหายต่อชีวิตและทรัพย์สินของประชาชนในเขตเมืองจากน้ำท่วมฉับพลัน</t>
        </is>
      </c>
      <c r="R7" s="20" t="inlineStr">
        <is>
          <t>อุปกรณ์ติดตั้งเหนือผิวน้ำบนราวสะพานหรือเสาไฟ ไม่ได้อยู่ในทางน้ำ จึงไม่มีความเสี่ยงต่อการหลุดลอยไปอุดตันท่อระบายน้ำ</t>
        </is>
      </c>
      <c r="S7" s="20" t="inlineStr">
        <is>
          <t>การใช้เกณฑ์ทางฟิสิกส์ 2 ปัจจัยช่วยขจัดความลำเอียงในการจัดสรรทรัพยากรภาครัฐ ประชาชนทุกกลุ่มได้รับความช่วยเหลือตามระดับความรุนแรงจริงอย่างเสมอภาคและตรวจสอบย้อนหลังได้</t>
        </is>
      </c>
      <c r="T7" s="21" t="inlineStr">
        <is>
          <t>สังเคราะห์จาก AI Agents Group 2</t>
        </is>
      </c>
    </row>
    <row r="8" ht="150" customHeight="1">
      <c r="A8" s="17" t="inlineStr">
        <is>
          <t>เกณฑ์การให้คะแนน (Scoring Rubric Definition: ระดับ 1, 2, 3, 4, 5 ครบทุกระดับ)</t>
        </is>
      </c>
      <c r="B8" s="20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0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0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0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0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0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0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0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0" t="inlineStr">
        <is>
          <t>1: คลื่นวิทยุไม่ผ่าน กสทช. และไม่มีช่องทางติดต่อหน่วยงานรัฐ ถูกสั่งระงับแน่นอน (Fatal Flaw)
2: คลื่นวิทยุผ่านเกณฑ์ แต่การประสานงานราชการมีความล่าช้าสูงเกิน 2 เดือน
3: มีหนังสือรับรองจากมหาวิทยาลัย อยู่ระหว่างการยื่นขออนุญาตใช้พื้นที่ติดตั้ง
4: โมดูลสื่อสารผ่าน กสทช. และมีเครือข่ายความร่วมมือกับเจ้าหน้าที่เขตในระดับปฏิบัติการ
5: โมดูลผ่าน กสทช. 100% และได้รับอนุญาตเป็นลายลักษณ์อักษรจากสำนักการระบายน้ำ กทม. ให้ทดสอบระบบ</t>
        </is>
      </c>
      <c r="K8" s="20" t="inlineStr">
        <is>
          <t>1: ไม่สามารถสร้างหลักฐานใด ๆ ได้ บังคับให้คนต้องลงไปดูหน้างานเหมือนเดิม 100% (Fatal Flaw)
2: สร้างได้เฉพาะตัวเลขดิบที่เจ้าหน้าที่หน้างานอ่านไม่เข้าใจ ต้องแปลผลด้วยผู้เชี่ยวชาญ
3: สร้างรายงานสรุปได้แต่ยังต้องอาศัยรูปถ่ายจากกล้องมือถือของเจ้าหน้าที่ยืนยันซ้ำ
4: ส่งออกบัตรหลักฐานดิจิทัล (Digital Evidence Card) พร้อมระดับความเสี่ยงที่อ่านเข้าใจง่ายใน 3 วินาที
5: เชื่อมต่อ API ปิดเรื่องอัตโนมัติ พร้อมภาพถ่ายกราฟวิเคราะห์และพิกัด GPS ที่ระเบียบราชการยอมรับ</t>
        </is>
      </c>
      <c r="L8" s="20" t="inlineStr">
        <is>
          <t>1: ใช้งานยากมาก ต้องใช้ผู้เชี่ยวชาญระดับปริญญาโทคอยควบคุมตลอดเวลา (Fatal Flaw)
2: มีขั้นตอนการปรับเทียบ (Calibration) หน้างานซับซ้อนเกิน 30 นาทีต่อครั้ง
3: เจ้าหน้าที่ต้องผ่านการอบรมอย่างน้อย 1-2 วันจึงจะใช้งานและบำรุงรักษาได้
4: ใช้งานง่าย มีคู่มือปฏิบัติการหน้างานชัดเจน บำรุงรักษาได้ด้วยเครื่องมือช่างทั่วไป
5: ทำงานแบบ Plug-and-Play กดปุ่มเดียวทำงานอัตโนมัติ เจ้าหน้าที่หน้างานใช้งานได้ทันทีโดยไม่ต้องอบรมซับซ้อน</t>
        </is>
      </c>
      <c r="M8" s="20" t="inlineStr">
        <is>
          <t>1: มีความเสี่ยงต่อชีวิตอย่างร้ายแรง (เช่น ต้องลุยน้ำเชี่ยวกลางพายุ หรือเปิดฝาท่อบนถนนโดยไม่มีการกั้นทาง / Fatal Flaw)
2: สภาพแวดล้อมหน้างานมีความเสี่ยงปานกลาง ต้องมีอุปกรณ์ป้องกันภัยส่วนบุคคล (PPE) ครบชุดและมีพี่เลี้ยงคุม
3: มีความปลอดภัยปานกลาง ทดสอบได้เฉพาะริมตลิ่งหรือจุดที่มีราวกั้นชัดเจน
4: ปลอดภัยสูง ติดตั้งจากบนสะพานคนเดินหรือผิวทางเท้าโดยไม่ต้องสัมผัสน้ำตรง ๆ
5: ปลอดภัย 100% ออกแบบให้ติดตั้งและทดสอบได้จากระยะไกล มีระบบตัดไฟอัตโนมัติเมื่อเกิดเหตุฉุกเฉิน</t>
        </is>
      </c>
      <c r="N8" s="20" t="inlineStr">
        <is>
          <t>1: แผนงานแน่นเอี้ยดแบบเส้นตรง (Linear Dependency) หากติดสอบเพียง 1 สัปดาห์ โครงการจะพังทันที (Fatal Flaw)
2: มีเวลาสำรองเพียง 3-5 วัน เสี่ยงต่อการส่งมอบงานช้าเมื่อติดภารกิจการเรียน
3: มีเวลาสำรอง 1-2 สัปดาห์ สามารถเลื่อนแผนงานได้บางส่วนแต่ต้องเร่งงานหลังสอบ
4: มี Buffer Time ชัดเจน 3-4 สัปดาห์ และแบ่งงานเป็นโมดูลอิสระที่ทำคู่ขนานกันได้
5: สถาปัตยกรรมระบบเสร็จสมบูรณ์ตั้งแต่สัปดาห์ที่ 8 มีเวลาทดสอบและปรับปรุงหน้างานมากกว่า 5 สัปดาห์</t>
        </is>
      </c>
      <c r="O8" s="20" t="inlineStr">
        <is>
          <t>1: มีความเสี่ยงสูงมากที่จะยังไม่มีอุปกรณ์ใด ๆ ทำงานได้ในสัปดาห์ที่ 9 (Fatal Flaw)
2: ในสัปดาห์ที่ 9 ได้เพียงแค่การทดลองบนโต๊ะแล็บแบบแยกส่วน ยังไม่สามารถรวมระบบได้
3: ในสัปดาห์ที่ 9 ระบบสามารถทำงานร่วมกันได้บนโต๊ะแล็บ แต่อุปกรณ์ยังไม่พร้อมลงน้ำจริง
4: ภายในสัปดาห์ที่ 9 มีต้นแบบฮาร์ดแวร์และซอฟต์แวร์ที่พร้อมนำไปทดสอบในสภาพแวดล้อมจริง
5: ต้นแบบเสร็จสมบูรณ์และผ่านการทดสอบภาคสนามเบื้องต้นเรียบร้อยแล้วตั้งแต่ก่อนสัปดาห์ที่ 9</t>
        </is>
      </c>
      <c r="P8" s="20" t="inlineStr">
        <is>
          <t>1: ต้องสั่งซื้อชิ้นส่วนพิเศษจากต่างประเทศที่ใช้เวลาส่งเกิน 4-6 สัปดาห์ เสี่ยงต่อการไม่มีของทำโครงงาน (Fatal Flaw)
2: มีชิ้นส่วนหลักบางชิ้นที่ต้องรอของ 3-4 สัปดาห์ ทำให้เริ่มงานฮาร์ดแวร์ได้ช้า
3: ชิ้นส่วนทั้งหมดใช้เวลาจัดส่ง 2-3 สัปดาห์ ต้องเริ่มสั่งซื้อตั้งแต่วันแรกของโครงการ
4: ชิ้นส่วนเกือบทั้งหมดสามารถจัดซื้อในประเทศได้ ได้รับของภายใน 7-10 วัน
5: ชิ้นส่วนทั้งหมด 100% มีจำหน่ายในประเทศและสามารถจัดส่งถึงมือได้ภายใน 2-3 วัน</t>
        </is>
      </c>
      <c r="Q8" s="20" t="inlineStr">
        <is>
          <t>1: โครงการไม่มีส่วนเกี่ยวข้องหรืออาจส่งผลเสียต่อเป้าหมายความยั่งยืน (Fatal Flaw)
2: สนับสนุนความยั่งยืนในทางอ้อมอย่างผิวเผิน แต่ไม่มีตัวชี้วัดที่ชัดเจน
3: ส่งเสริมการลดผลกระทบน้ำท่วมได้บางส่วน แต่จำกัดเฉพาะจุดติดตั้งขนาดเล็ก
4: สอดคล้องกับ SDG 11.5 ชัดเจน ช่วยลดเวลาและพื้นที่น้ำท่วมขังบนถนนสายสำคัญ
5: สอดคล้องกับ SDG 11.5 และ SDG 13.1 อย่างเป็นรูปธรรม มีโมเดลการประเมินลดความสูญเสียทางเศรษฐกิจและภัยพิบัติของเมืองอย่างยั่งยืน</t>
        </is>
      </c>
      <c r="R8" s="20" t="inlineStr">
        <is>
          <t>1: มีความเสี่ยงสูงที่อุปกรณ์จะหลุดลอยกลายเป็นขยะอุดตันท่อระบายน้ำ หรือใช้วัสดุเป็นพิษต่อระบบนิเวศ (Fatal Flaw)
2: อุปกรณ์ใช้วัสดุที่ไม่ทนต่อการกัดกร่อน อาจเกิดการชำรุดและตกค้างในสิ่งแวดล้อม
3: ติดตั้งแข็งแรงปานกลาง มีโอกาสหลุดลอยหากเจอน้ำหลากระดับรุนแรง
4: ใช้วัสดุไม่เป็นพิษ ตัวกล่องปิดมิดชิด มีระบบยึดเหนี่ยวที่แข็งแรงทนทานต่อกระแสน้ำ
5: อุปกรณ์หย่อนชั่วคราวและดึงกลับ 100% พร้อมสายสลิงนิรภัยสองชั้น ปลอดภัยต่อระบบนิเวศน้ำและไม่สร้างขยะในท่อ</t>
        </is>
      </c>
      <c r="S8" s="20" t="inlineStr">
        <is>
          <t>1: ตรรกะของระบบเป็นกล่องดำ (Black Box) หรือลำเอียงตัดการช่วยเหลือในพื้นที่เปราะบาง (Fatal Flaw)
2: เกณฑ์การตัดสินใจไม่ชัดเจน อาจนำไปสู่การเลือกปฏิบัติต่อบางชุมชนโดยไม่ตั้งใจ
3: ตรรกะตรวจสอบได้บางส่วน แต่ยังไม่มีกระบวนการอุทธรณ์หรือทบทวนจากมนุษย์
4: ตรรกะโปร่งใส มีเกณฑ์คะแนนชัดเจน ให้ความสำคัญกับทุกพื้นที่อย่างเท่าเทียมตามระดับความรุนแรง
5: โปร่งใส 100% ตรวจสอบย้อนกลับได้ทุกการตัดสินใจ สอดคล้องกับ SDG 10.2 และ SDG 16.6 เสริมสร้างธรรมาภิบาลภาครัฐ</t>
        </is>
      </c>
      <c r="T8" s="21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2" t="inlineStr">
        <is>
          <t>คะแนนที่ได้รับ (ASSIGNED SCORE: 1, 2, 3, 4, 5 STRICT INTEGER)</t>
        </is>
      </c>
      <c r="B9" s="23" t="n">
        <v>4</v>
      </c>
      <c r="C9" s="23" t="n">
        <v>4</v>
      </c>
      <c r="D9" s="23" t="n">
        <v>4</v>
      </c>
      <c r="E9" s="23" t="n">
        <v>4</v>
      </c>
      <c r="F9" s="23" t="n">
        <v>5</v>
      </c>
      <c r="G9" s="23" t="n">
        <v>4</v>
      </c>
      <c r="H9" s="23" t="n">
        <v>5</v>
      </c>
      <c r="I9" s="23" t="n">
        <v>5</v>
      </c>
      <c r="J9" s="23" t="n">
        <v>4</v>
      </c>
      <c r="K9" s="23" t="n">
        <v>4</v>
      </c>
      <c r="L9" s="23" t="n">
        <v>4</v>
      </c>
      <c r="M9" s="23" t="n">
        <v>4</v>
      </c>
      <c r="N9" s="23" t="n">
        <v>4</v>
      </c>
      <c r="O9" s="23" t="n">
        <v>4</v>
      </c>
      <c r="P9" s="23" t="n">
        <v>5</v>
      </c>
      <c r="Q9" s="23" t="n">
        <v>5</v>
      </c>
      <c r="R9" s="23" t="n">
        <v>5</v>
      </c>
      <c r="S9" s="23" t="n">
        <v>5</v>
      </c>
      <c r="T9" s="24">
        <f>IF(T10&gt;0, (T11/T10)*20, 0)</f>
        <v/>
      </c>
    </row>
    <row r="10" ht="22" customHeight="1">
      <c r="A10" s="17" t="inlineStr">
        <is>
          <t>ค่าน้ำหนัก (Weight %)</t>
        </is>
      </c>
      <c r="B10" s="25" t="n">
        <v>0.05</v>
      </c>
      <c r="C10" s="25" t="n">
        <v>0.05</v>
      </c>
      <c r="D10" s="25" t="n">
        <v>0.05</v>
      </c>
      <c r="E10" s="25" t="n">
        <v>0.05</v>
      </c>
      <c r="F10" s="25" t="n">
        <v>0.0667</v>
      </c>
      <c r="G10" s="25" t="n">
        <v>0.0667</v>
      </c>
      <c r="H10" s="25" t="n">
        <v>0.06660000000000001</v>
      </c>
      <c r="I10" s="25" t="n">
        <v>0.075</v>
      </c>
      <c r="J10" s="25" t="n">
        <v>0.075</v>
      </c>
      <c r="K10" s="25" t="n">
        <v>0.0667</v>
      </c>
      <c r="L10" s="25" t="n">
        <v>0.0667</v>
      </c>
      <c r="M10" s="25" t="n">
        <v>0.06660000000000001</v>
      </c>
      <c r="N10" s="25" t="n">
        <v>0.05</v>
      </c>
      <c r="O10" s="25" t="n">
        <v>0.05</v>
      </c>
      <c r="P10" s="25" t="n">
        <v>0.05</v>
      </c>
      <c r="Q10" s="25" t="n">
        <v>0.0333</v>
      </c>
      <c r="R10" s="25" t="n">
        <v>0.0333</v>
      </c>
      <c r="S10" s="25" t="n">
        <v>0.0334</v>
      </c>
      <c r="T10" s="25">
        <f>SUM(B10:S10)</f>
        <v/>
      </c>
    </row>
    <row r="11" ht="24" customHeight="1">
      <c r="A11" s="17" t="inlineStr">
        <is>
          <t>คะแนนถ่วงน้ำหนัก (=Score * Weight)</t>
        </is>
      </c>
      <c r="B11" s="26">
        <f>B9*B10</f>
        <v/>
      </c>
      <c r="C11" s="26">
        <f>C9*C10</f>
        <v/>
      </c>
      <c r="D11" s="26">
        <f>D9*D10</f>
        <v/>
      </c>
      <c r="E11" s="26">
        <f>E9*E10</f>
        <v/>
      </c>
      <c r="F11" s="26">
        <f>F9*F10</f>
        <v/>
      </c>
      <c r="G11" s="26">
        <f>G9*G10</f>
        <v/>
      </c>
      <c r="H11" s="26">
        <f>H9*H10</f>
        <v/>
      </c>
      <c r="I11" s="26">
        <f>I9*I10</f>
        <v/>
      </c>
      <c r="J11" s="26">
        <f>J9*J10</f>
        <v/>
      </c>
      <c r="K11" s="26">
        <f>K9*K10</f>
        <v/>
      </c>
      <c r="L11" s="26">
        <f>L9*L10</f>
        <v/>
      </c>
      <c r="M11" s="26">
        <f>M9*M10</f>
        <v/>
      </c>
      <c r="N11" s="26">
        <f>N9*N10</f>
        <v/>
      </c>
      <c r="O11" s="26">
        <f>O9*O10</f>
        <v/>
      </c>
      <c r="P11" s="26">
        <f>P9*P10</f>
        <v/>
      </c>
      <c r="Q11" s="26">
        <f>Q9*Q10</f>
        <v/>
      </c>
      <c r="R11" s="26">
        <f>R9*R10</f>
        <v/>
      </c>
      <c r="S11" s="26">
        <f>S9*S10</f>
        <v/>
      </c>
      <c r="T11" s="26">
        <f>SUM(B11:S11)</f>
        <v/>
      </c>
    </row>
    <row r="12" ht="115" customHeight="1">
      <c r="A12" s="17" t="inlineStr">
        <is>
          <t>คำอธิบาย &amp; หลักฐานอ้างอิงจากไฟล์ Intake (Evidence Citation)</t>
        </is>
      </c>
      <c r="B12" s="20" t="inlineStr">
        <is>
          <t>อ้างอิง solution-2.md ข้อ 3.a ใช้อุปกรณ์ COTS กล่องกันน้ำมาตรฐาน และ team-skills/due.md ที่เชี่ยวชาญการออกแบบเคสและการติดตั้งภายนอก</t>
        </is>
      </c>
      <c r="C12" s="20" t="inlineStr">
        <is>
          <t>อ้างอิง team-skills/jk.md และ due.md ที่เชี่ยวชาญ ESP32 เฟิร์มแวร์ และการต่อสายไฟ IC แบบ Screw Terminal</t>
        </is>
      </c>
      <c r="D12" s="20" t="inlineStr">
        <is>
          <t>อ้างอิง solution-2.md ข้อ 3.b ระบบประมวลผลคัดกรองแบบ 2 ปัจจัย และ holding 15 นาที</t>
        </is>
      </c>
      <c r="E12" s="20" t="inlineStr">
        <is>
          <t>อ้างอิง solution-2.md ข้อ 2 และ 3.a การยืนยันร่วมระหว่างสองแหล่งข้อมูลอิสระ</t>
        </is>
      </c>
      <c r="F12" s="20" t="inlineStr">
        <is>
          <t>อ้างอิง BOM ประมาณการ: ESP32 (180 บาท), Ultrasonic Sensor กันน้ำ (350 บาท), กล่อง IP67 (150 บาท), แบตเตอรี่และระบบจ่ายไฟ (800 บาท)</t>
        </is>
      </c>
      <c r="G12" s="20" t="inlineStr">
        <is>
          <t>อุปกรณ์ COTS มีราคาถูก สามารถซื้อเซนเซอร์สำรอง 2 ตัว และบอร์ด ESP32 สำรอง 1 ตัวได้ในงบ</t>
        </is>
      </c>
      <c r="H12" s="20" t="inlineStr">
        <is>
          <t>อ้างอิง solution-2.md ข้อ 2 การลด Empty Cases ส่งผลตรงต่อการประหยัดน้ำมันเชื้อเพลิงของรถ QRT</t>
        </is>
      </c>
      <c r="I12" s="20" t="inlineStr">
        <is>
          <t>อ้างอิง solution-2.md ปลอดจากปัญหา PDPA 100% เพราะไม่ใช้กล้อง CCTV ในการจับภาพบุคคล</t>
        </is>
      </c>
      <c r="J12" s="20" t="inlineStr">
        <is>
          <t>โมดูล ESP32 และโมดูล 4G LTE/NB-IoT ได้รับการรับรอง กสทช. สำหรับจำหน่ายในไทย</t>
        </is>
      </c>
      <c r="K12" s="20" t="inlineStr">
        <is>
          <t>อ้างอิง solution-2.md ข้อ 4.b การสร้าง Digital Evidence Card เพื่อลดภาระการลงพื้นที่ถ่ายรูปซ้ำซ้อน</t>
        </is>
      </c>
      <c r="L12" s="20" t="inlineStr">
        <is>
          <t>อ้างอิง solution-2.md ข้อ 3.c Automated Dispatch Filtering Interface สำหรับเจ้าหน้าที่</t>
        </is>
      </c>
      <c r="M12" s="20" t="inlineStr">
        <is>
          <t>ติดตั้งแบบ Non-contact เหนือผิวน้ำจากโครงสร้างสะพาน ปลอดภัยต่อผู้ติดตั้ง 100%</t>
        </is>
      </c>
      <c r="N12" s="20" t="inlineStr">
        <is>
          <t>การแยกส่วนซอฟต์แวร์ Rule Engine และตัวรับส่งข้อมูล ทำให้ทีมงานปรับแผนงานได้ยืดหยุ่น</t>
        </is>
      </c>
      <c r="O12" s="20" t="inlineStr">
        <is>
          <t>ต้นแบบฮาร์ดแวร์วัดระดับน้ำ ESP32 เสร็จสิ้นและสื่อสารผ่าน MQTT เข้า Dashboard ได้ก่อนสัปดาห์ที่ 9</t>
        </is>
      </c>
      <c r="P12" s="20" t="inlineStr">
        <is>
          <t>ชิ้นส่วนทุกชิ้นจัดซื้อจากร้านค้าอิเล็กทรอนิกส์ในไทย 100%</t>
        </is>
      </c>
      <c r="Q12" s="20" t="inlineStr">
        <is>
          <t>อ้างอิง sdg-rulebook goal-11 ข้อ 11.5 สนับสนุนการบริหารจัดการภัยพิบัติในเมืองอย่างยืดหยุ่น</t>
        </is>
      </c>
      <c r="R12" s="20" t="inlineStr">
        <is>
          <t>การติดตั้งแบบ Non-contact เหนือผิวน้ำ มีการยึดจับสองชั้นด้วยสแตนเลส ไม่ตกหล่นในน้ำ</t>
        </is>
      </c>
      <c r="S12" s="20" t="inlineStr">
        <is>
          <t>อ้างอิง solution-2.md ตรรกะการยืนยัน 2 ปัจจัยโปร่งใส ตรวจสอบบันทึกข้อมูลย้อนหลังได้ทุกเคส</t>
        </is>
      </c>
      <c r="T12" s="27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7" t="inlineStr">
        <is>
          <t>แผนลดขอบเขตงาน &amp; มาตรการลดความเสี่ยง (De-scoping Action)</t>
        </is>
      </c>
      <c r="B13" s="20" t="inlineStr">
        <is>
          <t>ใช้กล่องพักสายไฟมาตรฐาน IP67 และแคลมป์รัดท่อสำเร็จรูปที่มีจำหน่ายทั่วไป</t>
        </is>
      </c>
      <c r="C13" s="20" t="inlineStr">
        <is>
          <t>ใช้ Screw Terminal Expansion Shield มาตรฐานสำหรับบอร์ด ESP32 ไม่ทำ Custom PCB</t>
        </is>
      </c>
      <c r="D13" s="20" t="inlineStr">
        <is>
          <t>พัฒนาอัลกอริทึม Cross-validation ด้วย Python Backend เชื่อมต่อ Webhook</t>
        </is>
      </c>
      <c r="E13" s="20" t="inlineStr">
        <is>
          <t>ใช้เซนเซอร์วัดระดับน้ำแบบไม่สัมผัสน้ำ (Ultrasonic/Radar) พร้อม Median Filter</t>
        </is>
      </c>
      <c r="F13" s="20" t="inlineStr">
        <is>
          <t>ใช้เซนเซอร์อัลตราโซนิกกันน้ำมาตรฐาน COTS และใช้ Wi-Fi/4G Hotspot ในการทดสอบ</t>
        </is>
      </c>
      <c r="G13" s="20" t="inlineStr">
        <is>
          <t>จัดซื้ออะไหล่เซนเซอร์ระดับน้ำสำรอง 1 ชุดเตรียมไว้ล่วงหน้า</t>
        </is>
      </c>
      <c r="H13" s="20" t="inlineStr">
        <is>
          <t>ใช้ SIM IoT รายปีราคาประหยัดสำหรับการส่งข้อมูลโทรมาตร</t>
        </is>
      </c>
      <c r="I13" s="20" t="inlineStr">
        <is>
          <t>ติดตั้งบนราวสะพานคนข้ามหรือขอบคลองสาธารณะโดยยึดด้วยแคลมป์ที่ไม่ทำลายโครงสร้าง</t>
        </is>
      </c>
      <c r="J13" s="20" t="inlineStr">
        <is>
          <t>ใช้ช่องสัญญาณ 4G Cellular และ Wi-Fi สาธารณะของ กทม.</t>
        </is>
      </c>
      <c r="K13" s="20" t="inlineStr">
        <is>
          <t>พัฒนาระบบออกรายงานกราฟสรุปสถานการณ์น้ำระดับจุดพิกัดในรูปแบบรูปภาพอัตโนมัติ</t>
        </is>
      </c>
      <c r="L13" s="20" t="inlineStr">
        <is>
          <t>ออกแบบ UI ให้มีสัญญาณไฟสีเขียว/แดง แสดงผลชัดเจนว่าควรปล่อยรถหรือไม่</t>
        </is>
      </c>
      <c r="M13" s="20" t="inlineStr">
        <is>
          <t>เลือกจุดติดตั้งนำร่องบนสะพานคนเดินข้ามคลองในพื้นที่มหาวิทยาลัย</t>
        </is>
      </c>
      <c r="N13" s="20" t="inlineStr">
        <is>
          <t>ทดสอบระบบตรรกะคัดกรองด้วยข้อมูลย้อนหลัง (Historical Data) ในช่วงสัปดาห์สอบ</t>
        </is>
      </c>
      <c r="O13" s="20" t="inlineStr">
        <is>
          <t>จัดทำ Demo Scenario แสดงการคัดกรองเคสจริง 3 รูปแบบสำหรับส่งมอบในสัปดาห์ที่ 9</t>
        </is>
      </c>
      <c r="P13" s="20" t="inlineStr">
        <is>
          <t>สั่งซื้ออุปกรณ์ผ่านร้านค้าในประเทศที่มีการรับประกันเปลี่ยนสินค้าทันที</t>
        </is>
      </c>
      <c r="Q13" s="20" t="inlineStr">
        <is>
          <t>ประเมินตัวเลขการลดเวลาตอบสนองต่อเหตุน้ำท่วมในจุดวิกฤต</t>
        </is>
      </c>
      <c r="R13" s="20" t="inlineStr">
        <is>
          <t>ใช้แคลมป์รัดสแตนเลสเกรด 304 ยึดอุปกรณ์กับโครงสร้างถาวร</t>
        </is>
      </c>
      <c r="S13" s="20" t="inlineStr">
        <is>
          <t>จัดทำ Audit Log บันทึกค่าระดับน้ำและเหตุผลการปล่อย/ระงับรถทุกครั้ง</t>
        </is>
      </c>
      <c r="T13" s="19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3" t="inlineStr">
        <is>
          <t>เมทริกซ์ประเมินความเป็นไปได้เชิงระบบ TELOS+S: Acoustic Sewer Measurement &amp; Pre-Screening สำหรับการวางแผนบำรุงรักษาเชิงป้องกัน (Case 3 UK/USA)</t>
        </is>
      </c>
    </row>
    <row r="2">
      <c r="A2" s="14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5" t="inlineStr">
        <is>
          <t>รหัสคำถาม (Question Code)</t>
        </is>
      </c>
      <c r="B4" s="16" t="inlineStr">
        <is>
          <t>T-01</t>
        </is>
      </c>
      <c r="C4" s="16" t="inlineStr">
        <is>
          <t>T-02</t>
        </is>
      </c>
      <c r="D4" s="16" t="inlineStr">
        <is>
          <t>T-03</t>
        </is>
      </c>
      <c r="E4" s="16" t="inlineStr">
        <is>
          <t>T-04</t>
        </is>
      </c>
      <c r="F4" s="16" t="inlineStr">
        <is>
          <t>E-01</t>
        </is>
      </c>
      <c r="G4" s="16" t="inlineStr">
        <is>
          <t>E-02</t>
        </is>
      </c>
      <c r="H4" s="16" t="inlineStr">
        <is>
          <t>E-03</t>
        </is>
      </c>
      <c r="I4" s="16" t="inlineStr">
        <is>
          <t>L-01</t>
        </is>
      </c>
      <c r="J4" s="16" t="inlineStr">
        <is>
          <t>L-02</t>
        </is>
      </c>
      <c r="K4" s="16" t="inlineStr">
        <is>
          <t>O-01</t>
        </is>
      </c>
      <c r="L4" s="16" t="inlineStr">
        <is>
          <t>O-02</t>
        </is>
      </c>
      <c r="M4" s="16" t="inlineStr">
        <is>
          <t>O-03</t>
        </is>
      </c>
      <c r="N4" s="16" t="inlineStr">
        <is>
          <t>S-01</t>
        </is>
      </c>
      <c r="O4" s="16" t="inlineStr">
        <is>
          <t>S-02</t>
        </is>
      </c>
      <c r="P4" s="16" t="inlineStr">
        <is>
          <t>S-03</t>
        </is>
      </c>
      <c r="Q4" s="16" t="inlineStr">
        <is>
          <t>SDG-01</t>
        </is>
      </c>
      <c r="R4" s="16" t="inlineStr">
        <is>
          <t>SDG-02</t>
        </is>
      </c>
      <c r="S4" s="16" t="inlineStr">
        <is>
          <t>SDG-03</t>
        </is>
      </c>
      <c r="T4" s="16" t="inlineStr">
        <is>
          <t>สรุปภาพรวม (SUMMARY)</t>
        </is>
      </c>
    </row>
    <row r="5" ht="24" customHeight="1">
      <c r="A5" s="17" t="inlineStr">
        <is>
          <t>มิติการประเมิน (TELOS+S Pillar)</t>
        </is>
      </c>
      <c r="B5" s="18" t="inlineStr">
        <is>
          <t>ด้านเทคนิค (Technical 2.2)</t>
        </is>
      </c>
      <c r="C5" s="18" t="inlineStr">
        <is>
          <t>ด้านเทคนิค (Technical 2.2)</t>
        </is>
      </c>
      <c r="D5" s="18" t="inlineStr">
        <is>
          <t>ด้านเทคนิค (Technical 2.2)</t>
        </is>
      </c>
      <c r="E5" s="18" t="inlineStr">
        <is>
          <t>ด้านเทคนิค (Technical 2.2)</t>
        </is>
      </c>
      <c r="F5" s="18" t="inlineStr">
        <is>
          <t>ด้านเศรษฐศาสตร์ (Economic 2.3)</t>
        </is>
      </c>
      <c r="G5" s="18" t="inlineStr">
        <is>
          <t>ด้านเศรษฐศาสตร์ (Economic 2.3)</t>
        </is>
      </c>
      <c r="H5" s="18" t="inlineStr">
        <is>
          <t>ด้านเศรษฐศาสตร์ (Economic 2.3)</t>
        </is>
      </c>
      <c r="I5" s="18" t="inlineStr">
        <is>
          <t>ด้านกฎหมายและหน่วยงาน (Legal 2.4)</t>
        </is>
      </c>
      <c r="J5" s="18" t="inlineStr">
        <is>
          <t>ด้านกฎหมายและหน่วยงาน (Legal 2.4)</t>
        </is>
      </c>
      <c r="K5" s="18" t="inlineStr">
        <is>
          <t>ด้านการปฏิบัติการและผู้ใช้ (Operational 2.5)</t>
        </is>
      </c>
      <c r="L5" s="18" t="inlineStr">
        <is>
          <t>ด้านการปฏิบัติการและผู้ใช้ (Operational 2.5)</t>
        </is>
      </c>
      <c r="M5" s="18" t="inlineStr">
        <is>
          <t>ด้านการปฏิบัติการและผู้ใช้ (Operational 2.5)</t>
        </is>
      </c>
      <c r="N5" s="18" t="inlineStr">
        <is>
          <t>ด้านเวลาและแผนงาน (Schedule 2.6)</t>
        </is>
      </c>
      <c r="O5" s="18" t="inlineStr">
        <is>
          <t>ด้านเวลาและแผนงาน (Schedule 2.6)</t>
        </is>
      </c>
      <c r="P5" s="18" t="inlineStr">
        <is>
          <t>ด้านเวลาและแผนงาน (Schedule 2.6)</t>
        </is>
      </c>
      <c r="Q5" s="18" t="inlineStr">
        <is>
          <t>ด้านความยั่งยืน (SDGs 2.7)</t>
        </is>
      </c>
      <c r="R5" s="18" t="inlineStr">
        <is>
          <t>ด้านความยั่งยืน (SDGs 2.7)</t>
        </is>
      </c>
      <c r="S5" s="18" t="inlineStr">
        <is>
          <t>ด้านความยั่งยืน (SDGs 2.7)</t>
        </is>
      </c>
      <c r="T5" s="19" t="inlineStr">
        <is>
          <t>ผลรวมทุกมิติ (All Pillars)</t>
        </is>
      </c>
    </row>
    <row r="6" ht="80" customHeight="1">
      <c r="A6" s="17" t="inlineStr">
        <is>
          <t>คำถามทดสอบความเสี่ยงจริง (Stress-Test Question)</t>
        </is>
      </c>
      <c r="B6" s="20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0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0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0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0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0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0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0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0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0" t="inlineStr">
        <is>
          <t>ระบบสามารถสร้างหลักฐานยืนยันที่สอดคล้องกับระเบียบการปิดงาน (Proof of Work) ของ กทม./Traffy Fondue โดยไม่ต้องบังคับให้เจ้าหน้าที่ต้องเดินทางไปถ่ายรูปซ้ำซ้อนหรือไม่?</t>
        </is>
      </c>
      <c r="L6" s="20" t="inlineStr">
        <is>
          <t>ความซับซ้อนในการติดตั้ง การบำรุงรักษา และการใช้งานโดยเจ้าหน้าที่หน้างาน (Usability &amp; Maintainability) อยู่ในระดับที่เหมาะสมและไม่สร้างภาระงานเพิ่มเติมหรือไม่?</t>
        </is>
      </c>
      <c r="M6" s="20" t="inlineStr">
        <is>
          <t>การทดสอบและติดตั้งระบบจริงหน้างาน สามารถกระทำได้อย่างปลอดภัยโดยไม่เสี่ยงต่อชีวิตของผู้พัฒนาหรือประชาชนผู้ใช้ทางหรือไม่?</t>
        </is>
      </c>
      <c r="N6" s="20" t="inlineStr">
        <is>
          <t>แผนงานและสถาปัตยกรรมระบบสามารถดูดซับช่วงสอบกลางภาค/ปลายภาคของมหาวิทยาลัย (Buffer Time 4 สัปดาห์) โดยโครงการไม่ล่าช้ากว่ากำหนดหรือไม่?</t>
        </is>
      </c>
      <c r="O6" s="20" t="inlineStr">
        <is>
          <t>ความก้าวหน้าทางวิศวกรรมสามารถบรรลุเกณฑ์การทำงานได้จริง (Working Prototype) ภายในสัปดาห์ที่ 9 ก่อนการประเมินความก้าวหน้าหลักหรือไม่?</t>
        </is>
      </c>
      <c r="P6" s="20" t="inlineStr">
        <is>
          <t>ระยะเวลาในการสั่งซื้อและขนส่งอุปกรณ์ (Lead Time) สอดคล้องกับกรอบเวลาของภาคการศึกษา โดยชิ้นส่วนหลักทั้งหมดมาถึงภายใน 14 วันหรือไม่?</t>
        </is>
      </c>
      <c r="Q6" s="20" t="inlineStr">
        <is>
          <t>ระบบส่งเสริมการลดความสูญเสียจากภัยพิบัติและสนับสนุนเมืองที่มีความยืดหยุ่นและยั่งยืน (สอดคล้องกับ SDG 11.5 และ SDG 13.1) หรือไม่?</t>
        </is>
      </c>
      <c r="R6" s="20" t="inlineStr">
        <is>
          <t>อุปกรณ์ที่นำไปติดตั้ง ไม่เสี่ยงต่อการชะล้างกลายเป็นขยะในท่อระบายน้ำ และใช้วัสดุที่ทนทาน ปลอดสารอันตราย และเป็นมิตรต่อสิ่งแวดล้อม (สอดคล้องกับ SDG 6.3 และ SDG 12.4/12.5) หรือไม่?</t>
        </is>
      </c>
      <c r="S6" s="20" t="inlineStr">
        <is>
          <t>ตรรกะการประเมินและการกรองเหตุร้องเรียน มีความโปร่งใส ตรวจสอบย้อนกลับได้ และไม่สร้างความเหลื่อมล้ำในการให้บริการของรัฐต่อประชาชนทุกกลุ่มอย่างเป็นธรรม (สอดคล้องกับ SDG 10.2 และ SDG 16.6) หรือไม่?</t>
        </is>
      </c>
      <c r="T6" s="21" t="inlineStr">
        <is>
          <t>ประเมินคำถามทั้งสิ้น 18 ข้อ</t>
        </is>
      </c>
    </row>
    <row r="7" ht="95" customHeight="1">
      <c r="A7" s="17" t="inlineStr">
        <is>
          <t>เหตุผลในการถาม &amp; โหมดความล้มเหลวที่เฝ้าระวัง (Rationale)</t>
        </is>
      </c>
      <c r="B7" s="20" t="inlineStr">
        <is>
          <t>ก้านหย่อนและหัวยึดเซนเซอร์เสียงลงในบ่อพักน้ำสามารถประกอบขึ้นจากก้านยืดหด (Telescopic Pole) สำเร็จรูป และกล่องกันน้ำ COTS มาตรฐาน IP67 ร่วมกับชิ้นส่วนพิมพ์ 3D PETG โดยไม่ต้องใช้เครื่องจักรกลึงเชื่อมโลหะใน Machine Shop</t>
        </is>
      </c>
      <c r="C7" s="20" t="inlineStr">
        <is>
          <t>ระบบสามารถใช้วงจรขยายสัญญาณเสียงสำเร็จรูปและบอร์ดไมโครคอนโทรลเลอร์ที่มี Screw Terminal Shield โดยไม่ต้องออกแบบ Custom PCB และใช้งานเฉพาะช่วงตรวจวัด 3-5 นาที จึงไม่มีปัญหาความร้อนสะสม</t>
        </is>
      </c>
      <c r="D7" s="20" t="inlineStr">
        <is>
          <t>ในบริบทงานซ่อมบำรุงเชิงป้องกัน (Maintenance Planning) ระบบเน้นความเร็วในการคัดกรอง 3-5 นาทีต่อช่วงท่อ ซึ่งอัลกอริทึมคำนวณ Time-of-Flight และ Spectral Attenuation ประมวลผลเสร็จสิ้นภายในไม่กี่วินาทีบนไมโครคอนโทรลเลอร์</t>
        </is>
      </c>
      <c r="E7" s="20" t="inlineStr">
        <is>
          <t>การใช้งานเฉพาะช่วงฤดูแล้งที่น้ำไหลเอื่อย ทำให้ไม่มีเสียงฝนตกหนักหรือคลื่นน้ำรบกวนสัญญาณเสียง และอุปกรณ์หย่อนลงไปเพียงชั่วคราวแล้วดึงขึ้นมาเช็ดทำความสะอาดได้ทันที</t>
        </is>
      </c>
      <c r="F7" s="20" t="inlineStr">
        <is>
          <t>หากหลีกเลี่ยงเครื่อง SL-RAT สำเร็จรูปราคาหลักล้าน และสร้างต้นแบบด้วยทรานสดิวเซอร์เสียง COTS ร่วมกับไมโครคอนโทรลเลอร์และก้านยืดหด งบประมาณ BOM ต้นแบบจะอยู่ที่ประมาณ 4,200 - 4,800 บาท ควบคุมให้อยู่ในงบได้</t>
        </is>
      </c>
      <c r="G7" s="20" t="inlineStr">
        <is>
          <t>เมื่อคุมต้นทุนต่อชุดให้อยู่ในระดับ ~2,000-2,500 บาทสำหรับหัววัด สามารถจัดเตรียมหัวทรานสดิวเซอร์สำรองได้ 1 ชุดเพื่อรองรับกรณีเกิดความเสียหาย</t>
        </is>
      </c>
      <c r="H7" s="20" t="inlineStr">
        <is>
          <t>ความคุ้มค่าเชิงระบบสูงมาก การคัดกรองท่อสะอาดล่วงหน้าช่วยให้เทศบาลไม่ต้องส่งรถดูดโคลนไปลอกท่อที่ไม่มีการอุดตัน ประหยัดค่าน้ำมันรถดูดโคลนและค่าแรงได้หลายหมื่นบาทต่อเดือน</t>
        </is>
      </c>
      <c r="I7" s="20" t="inlineStr">
        <is>
          <t>การเปิดฝาท่อพักน้ำเพื่อหย่อนอุปกรณ์ตรวจวัดในฤดูแล้งกระทำร่วมกับทีมงานเทศบาล/กทม. โดยมีกรวยจราจรและป้ายเตือนตาม พ.ร.บ. จราจรทางบก และเป็นการหย่อนจากผิวถนนโดยไม่มีการให้คนมุดลงในที่อับอากาศ (Zero Confined Space Entry)</t>
        </is>
      </c>
      <c r="J7" s="20" t="inlineStr">
        <is>
          <t>อุปกรณ์ใช้โมดูล Wi-Fi/Bluetooth ที่ผ่านการรับรอง กสทช. และการทำแผนที่สุขภาพท่อระบายน้ำตรงกับภารกิจของฝ่ายโยธา/ระบายน้ำ สำนักงานเขต ทำให้การประสานงานขอความร่วมมือมีความเป็นไปได้สูง</t>
        </is>
      </c>
      <c r="K7" s="20" t="inlineStr">
        <is>
          <t>ระบบสามารถออกรายงานผลการตรวจคัดกรองความสะอาดท่อ (Pipe Cleanliness Certificate) พร้อมคะแนน Tier และกราฟการสะท้อน เพื่อใช้เป็นหลักฐานประกอบแผนงานบำรุงรักษาของสำนักงานเขตได้อย่างสมบูรณ์</t>
        </is>
      </c>
      <c r="L7" s="20" t="inlineStr">
        <is>
          <t>การใช้งานหน้างานไม่ซับซ้อน เพียงวางก้านหย่อนลงในบ่อพักน้ำ กดปุ่มวัดค่า และรอผล 3 นาที เจ้าหน้าที่ภาคสนามสามารถเรียนรู้การใช้งานได้ภายในเวลา 15 นาที</t>
        </is>
      </c>
      <c r="M7" s="20" t="inlineStr">
        <is>
          <t>การทดสอบทำในช่วงฤดูแล้ง ไม่มีกระแสน้ำเชี่ยวหรืออันตรายจากน้ำท่วมหลาก และใช้วิธีหย่อนจากขอบบ่อพักน้ำพร้อมกรวยกั้นจราจร ทำให้มีความปลอดภัยสูง</t>
        </is>
      </c>
      <c r="N7" s="20" t="inlineStr">
        <is>
          <t>งานพัฒนาซอฟต์แวร์ประมวลผลเสียงและฮาร์ดแวร์ก้านหย่อนสามารถแบ่งโมดูลทดสอบบนโต๊ะแล็บได้ ทำให้ตารางงานมีความยืดหยุ่นและรองรับช่วงสอบได้ดี</t>
        </is>
      </c>
      <c r="O7" s="20" t="inlineStr">
        <is>
          <t>สามารถสร้างต้นแบบก้านหย่อนพร้อมชุดตรวจวัดและทดสอบความแม่นยำในท่อ PVC จำลองของมหาวิทยาลัยได้เสร็จสิ้นก่อนสัปดาห์ที่ 9</t>
        </is>
      </c>
      <c r="P7" s="20" t="inlineStr">
        <is>
          <t>ชิ้นส่วนก้าน Telescopic, ทรานสดิวเซอร์ COTS และบอร์ด ESP32 สามารถจัดซื้อได้จากร้านค้าในประเทศ มีระยะเวลาขนส่งไม่เกิน 3-7 วัน</t>
        </is>
      </c>
      <c r="Q7" s="20" t="inlineStr">
        <is>
          <t>การคัดกรองและลอกท่อระบายน้ำเชิงรุกก่อนฤดูฝน ช่วยป้องกันปัญหาน้ำท่วมขังฉับพลันในเขตเมือง ลดความเสียหายต่อทรัพย์สินของประชาชนและการจราจรอย่างยั่งยืน</t>
        </is>
      </c>
      <c r="R7" s="20" t="inlineStr">
        <is>
          <t>อุปกรณ์เป็นแบบหย่อนตรวจวัดชั่วคราวแล้วนำกลับ (No Permanent In-Pipe Installation) และมีสายคล้องนิรภัยป้องกันการหลุด จึงไม่มีความเสี่ยงที่จะหลุดไปอุดตันท่อระบายน้ำ</t>
        </is>
      </c>
      <c r="S7" s="20" t="inlineStr">
        <is>
          <t>การจัดสรรคิวรถดูดโคลนและแรงงานลอกท่อระบายน้ำขึ้นอยู่กับเกณฑ์คะแนนความสะอาดที่เป็นวิทยาศาสตร์ (Data-Driven Cleanliness Tiering) ไม่เลือกปฏิบัติและโปร่งใสตรวจสอบได้</t>
        </is>
      </c>
      <c r="T7" s="21" t="inlineStr">
        <is>
          <t>สังเคราะห์จาก AI Agents Group 2</t>
        </is>
      </c>
    </row>
    <row r="8" ht="150" customHeight="1">
      <c r="A8" s="17" t="inlineStr">
        <is>
          <t>เกณฑ์การให้คะแนน (Scoring Rubric Definition: ระดับ 1, 2, 3, 4, 5 ครบทุกระดับ)</t>
        </is>
      </c>
      <c r="B8" s="20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0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0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0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0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0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0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0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0" t="inlineStr">
        <is>
          <t>1: คลื่นวิทยุไม่ผ่าน กสทช. และไม่มีช่องทางติดต่อหน่วยงานรัฐ ถูกสั่งระงับแน่นอน (Fatal Flaw)
2: คลื่นวิทยุผ่านเกณฑ์ แต่การประสานงานราชการมีความล่าช้าสูงเกิน 2 เดือน
3: มีหนังสือรับรองจากมหาวิทยาลัย อยู่ระหว่างการยื่นขออนุญาตใช้พื้นที่ติดตั้ง
4: โมดูลสื่อสารผ่าน กสทช. และมีเครือข่ายความร่วมมือกับเจ้าหน้าที่เขตในระดับปฏิบัติการ
5: โมดูลผ่าน กสทช. 100% และได้รับอนุญาตเป็นลายลักษณ์อักษรจากสำนักการระบายน้ำ กทม. ให้ทดสอบระบบ</t>
        </is>
      </c>
      <c r="K8" s="20" t="inlineStr">
        <is>
          <t>1: ไม่สามารถสร้างหลักฐานใด ๆ ได้ บังคับให้คนต้องลงไปดูหน้างานเหมือนเดิม 100% (Fatal Flaw)
2: สร้างได้เฉพาะตัวเลขดิบที่เจ้าหน้าที่หน้างานอ่านไม่เข้าใจ ต้องแปลผลด้วยผู้เชี่ยวชาญ
3: สร้างรายงานสรุปได้แต่ยังต้องอาศัยรูปถ่ายจากกล้องมือถือของเจ้าหน้าที่ยืนยันซ้ำ
4: ส่งออกบัตรหลักฐานดิจิทัล (Digital Evidence Card) พร้อมระดับความเสี่ยงที่อ่านเข้าใจง่ายใน 3 วินาที
5: เชื่อมต่อ API ปิดเรื่องอัตโนมัติ พร้อมภาพถ่ายกราฟวิเคราะห์และพิกัด GPS ที่ระเบียบราชการยอมรับ</t>
        </is>
      </c>
      <c r="L8" s="20" t="inlineStr">
        <is>
          <t>1: ใช้งานยากมาก ต้องใช้ผู้เชี่ยวชาญระดับปริญญาโทคอยควบคุมตลอดเวลา (Fatal Flaw)
2: มีขั้นตอนการปรับเทียบ (Calibration) หน้างานซับซ้อนเกิน 30 นาทีต่อครั้ง
3: เจ้าหน้าที่ต้องผ่านการอบรมอย่างน้อย 1-2 วันจึงจะใช้งานและบำรุงรักษาได้
4: ใช้งานง่าย มีคู่มือปฏิบัติการหน้างานชัดเจน บำรุงรักษาได้ด้วยเครื่องมือช่างทั่วไป
5: ทำงานแบบ Plug-and-Play กดปุ่มเดียวทำงานอัตโนมัติ เจ้าหน้าที่หน้างานใช้งานได้ทันทีโดยไม่ต้องอบรมซับซ้อน</t>
        </is>
      </c>
      <c r="M8" s="20" t="inlineStr">
        <is>
          <t>1: มีความเสี่ยงต่อชีวิตอย่างร้ายแรง (เช่น ต้องลุยน้ำเชี่ยวกลางพายุ หรือเปิดฝาท่อบนถนนโดยไม่มีการกั้นทาง / Fatal Flaw)
2: สภาพแวดล้อมหน้างานมีความเสี่ยงปานกลาง ต้องมีอุปกรณ์ป้องกันภัยส่วนบุคคล (PPE) ครบชุดและมีพี่เลี้ยงคุม
3: มีความปลอดภัยปานกลาง ทดสอบได้เฉพาะริมตลิ่งหรือจุดที่มีราวกั้นชัดเจน
4: ปลอดภัยสูง ติดตั้งจากบนสะพานคนเดินหรือผิวทางเท้าโดยไม่ต้องสัมผัสน้ำตรง ๆ
5: ปลอดภัย 100% ออกแบบให้ติดตั้งและทดสอบได้จากระยะไกล มีระบบตัดไฟอัตโนมัติเมื่อเกิดเหตุฉุกเฉิน</t>
        </is>
      </c>
      <c r="N8" s="20" t="inlineStr">
        <is>
          <t>1: แผนงานแน่นเอี้ยดแบบเส้นตรง (Linear Dependency) หากติดสอบเพียง 1 สัปดาห์ โครงการจะพังทันที (Fatal Flaw)
2: มีเวลาสำรองเพียง 3-5 วัน เสี่ยงต่อการส่งมอบงานช้าเมื่อติดภารกิจการเรียน
3: มีเวลาสำรอง 1-2 สัปดาห์ สามารถเลื่อนแผนงานได้บางส่วนแต่ต้องเร่งงานหลังสอบ
4: มี Buffer Time ชัดเจน 3-4 สัปดาห์ และแบ่งงานเป็นโมดูลอิสระที่ทำคู่ขนานกันได้
5: สถาปัตยกรรมระบบเสร็จสมบูรณ์ตั้งแต่สัปดาห์ที่ 8 มีเวลาทดสอบและปรับปรุงหน้างานมากกว่า 5 สัปดาห์</t>
        </is>
      </c>
      <c r="O8" s="20" t="inlineStr">
        <is>
          <t>1: มีความเสี่ยงสูงมากที่จะยังไม่มีอุปกรณ์ใด ๆ ทำงานได้ในสัปดาห์ที่ 9 (Fatal Flaw)
2: ในสัปดาห์ที่ 9 ได้เพียงแค่การทดลองบนโต๊ะแล็บแบบแยกส่วน ยังไม่สามารถรวมระบบได้
3: ในสัปดาห์ที่ 9 ระบบสามารถทำงานร่วมกันได้บนโต๊ะแล็บ แต่อุปกรณ์ยังไม่พร้อมลงน้ำจริง
4: ภายในสัปดาห์ที่ 9 มีต้นแบบฮาร์ดแวร์และซอฟต์แวร์ที่พร้อมนำไปทดสอบในสภาพแวดล้อมจริง
5: ต้นแบบเสร็จสมบูรณ์และผ่านการทดสอบภาคสนามเบื้องต้นเรียบร้อยแล้วตั้งแต่ก่อนสัปดาห์ที่ 9</t>
        </is>
      </c>
      <c r="P8" s="20" t="inlineStr">
        <is>
          <t>1: ต้องสั่งซื้อชิ้นส่วนพิเศษจากต่างประเทศที่ใช้เวลาส่งเกิน 4-6 สัปดาห์ เสี่ยงต่อการไม่มีของทำโครงงาน (Fatal Flaw)
2: มีชิ้นส่วนหลักบางชิ้นที่ต้องรอของ 3-4 สัปดาห์ ทำให้เริ่มงานฮาร์ดแวร์ได้ช้า
3: ชิ้นส่วนทั้งหมดใช้เวลาจัดส่ง 2-3 สัปดาห์ ต้องเริ่มสั่งซื้อตั้งแต่วันแรกของโครงการ
4: ชิ้นส่วนเกือบทั้งหมดสามารถจัดซื้อในประเทศได้ ได้รับของภายใน 7-10 วัน
5: ชิ้นส่วนทั้งหมด 100% มีจำหน่ายในประเทศและสามารถจัดส่งถึงมือได้ภายใน 2-3 วัน</t>
        </is>
      </c>
      <c r="Q8" s="20" t="inlineStr">
        <is>
          <t>1: โครงการไม่มีส่วนเกี่ยวข้องหรืออาจส่งผลเสียต่อเป้าหมายความยั่งยืน (Fatal Flaw)
2: สนับสนุนความยั่งยืนในทางอ้อมอย่างผิวเผิน แต่ไม่มีตัวชี้วัดที่ชัดเจน
3: ส่งเสริมการลดผลกระทบน้ำท่วมได้บางส่วน แต่จำกัดเฉพาะจุดติดตั้งขนาดเล็ก
4: สอดคล้องกับ SDG 11.5 ชัดเจน ช่วยลดเวลาและพื้นที่น้ำท่วมขังบนถนนสายสำคัญ
5: สอดคล้องกับ SDG 11.5 และ SDG 13.1 อย่างเป็นรูปธรรม มีโมเดลการประเมินลดความสูญเสียทางเศรษฐกิจและภัยพิบัติของเมืองอย่างยั่งยืน</t>
        </is>
      </c>
      <c r="R8" s="20" t="inlineStr">
        <is>
          <t>1: มีความเสี่ยงสูงที่อุปกรณ์จะหลุดลอยกลายเป็นขยะอุดตันท่อระบายน้ำ หรือใช้วัสดุเป็นพิษต่อระบบนิเวศ (Fatal Flaw)
2: อุปกรณ์ใช้วัสดุที่ไม่ทนต่อการกัดกร่อน อาจเกิดการชำรุดและตกค้างในสิ่งแวดล้อม
3: ติดตั้งแข็งแรงปานกลาง มีโอกาสหลุดลอยหากเจอน้ำหลากระดับรุนแรง
4: ใช้วัสดุไม่เป็นพิษ ตัวกล่องปิดมิดชิด มีระบบยึดเหนี่ยวที่แข็งแรงทนทานต่อกระแสน้ำ
5: อุปกรณ์หย่อนชั่วคราวและดึงกลับ 100% พร้อมสายสลิงนิรภัยสองชั้น ปลอดภัยต่อระบบนิเวศน้ำและไม่สร้างขยะในท่อ</t>
        </is>
      </c>
      <c r="S8" s="20" t="inlineStr">
        <is>
          <t>1: ตรรกะของระบบเป็นกล่องดำ (Black Box) หรือลำเอียงตัดการช่วยเหลือในพื้นที่เปราะบาง (Fatal Flaw)
2: เกณฑ์การตัดสินใจไม่ชัดเจน อาจนำไปสู่การเลือกปฏิบัติต่อบางชุมชนโดยไม่ตั้งใจ
3: ตรรกะตรวจสอบได้บางส่วน แต่ยังไม่มีกระบวนการอุทธรณ์หรือทบทวนจากมนุษย์
4: ตรรกะโปร่งใส มีเกณฑ์คะแนนชัดเจน ให้ความสำคัญกับทุกพื้นที่อย่างเท่าเทียมตามระดับความรุนแรง
5: โปร่งใส 100% ตรวจสอบย้อนกลับได้ทุกการตัดสินใจ สอดคล้องกับ SDG 10.2 และ SDG 16.6 เสริมสร้างธรรมาภิบาลภาครัฐ</t>
        </is>
      </c>
      <c r="T8" s="21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2" t="inlineStr">
        <is>
          <t>คะแนนที่ได้รับ (ASSIGNED SCORE: 1, 2, 3, 4, 5 STRICT INTEGER)</t>
        </is>
      </c>
      <c r="B9" s="23" t="n">
        <v>3</v>
      </c>
      <c r="C9" s="23" t="n">
        <v>4</v>
      </c>
      <c r="D9" s="23" t="n">
        <v>4</v>
      </c>
      <c r="E9" s="23" t="n">
        <v>4</v>
      </c>
      <c r="F9" s="23" t="n">
        <v>4</v>
      </c>
      <c r="G9" s="23" t="n">
        <v>3</v>
      </c>
      <c r="H9" s="23" t="n">
        <v>5</v>
      </c>
      <c r="I9" s="23" t="n">
        <v>4</v>
      </c>
      <c r="J9" s="23" t="n">
        <v>4</v>
      </c>
      <c r="K9" s="23" t="n">
        <v>4</v>
      </c>
      <c r="L9" s="23" t="n">
        <v>4</v>
      </c>
      <c r="M9" s="23" t="n">
        <v>4</v>
      </c>
      <c r="N9" s="23" t="n">
        <v>4</v>
      </c>
      <c r="O9" s="23" t="n">
        <v>4</v>
      </c>
      <c r="P9" s="23" t="n">
        <v>4</v>
      </c>
      <c r="Q9" s="23" t="n">
        <v>5</v>
      </c>
      <c r="R9" s="23" t="n">
        <v>5</v>
      </c>
      <c r="S9" s="23" t="n">
        <v>5</v>
      </c>
      <c r="T9" s="24">
        <f>IF(T10&gt;0, (T11/T10)*20, 0)</f>
        <v/>
      </c>
    </row>
    <row r="10" ht="22" customHeight="1">
      <c r="A10" s="17" t="inlineStr">
        <is>
          <t>ค่าน้ำหนัก (Weight %)</t>
        </is>
      </c>
      <c r="B10" s="25" t="n">
        <v>0.05</v>
      </c>
      <c r="C10" s="25" t="n">
        <v>0.05</v>
      </c>
      <c r="D10" s="25" t="n">
        <v>0.05</v>
      </c>
      <c r="E10" s="25" t="n">
        <v>0.05</v>
      </c>
      <c r="F10" s="25" t="n">
        <v>0.0667</v>
      </c>
      <c r="G10" s="25" t="n">
        <v>0.0667</v>
      </c>
      <c r="H10" s="25" t="n">
        <v>0.06660000000000001</v>
      </c>
      <c r="I10" s="25" t="n">
        <v>0.075</v>
      </c>
      <c r="J10" s="25" t="n">
        <v>0.075</v>
      </c>
      <c r="K10" s="25" t="n">
        <v>0.0667</v>
      </c>
      <c r="L10" s="25" t="n">
        <v>0.0667</v>
      </c>
      <c r="M10" s="25" t="n">
        <v>0.06660000000000001</v>
      </c>
      <c r="N10" s="25" t="n">
        <v>0.05</v>
      </c>
      <c r="O10" s="25" t="n">
        <v>0.05</v>
      </c>
      <c r="P10" s="25" t="n">
        <v>0.05</v>
      </c>
      <c r="Q10" s="25" t="n">
        <v>0.0333</v>
      </c>
      <c r="R10" s="25" t="n">
        <v>0.0333</v>
      </c>
      <c r="S10" s="25" t="n">
        <v>0.0334</v>
      </c>
      <c r="T10" s="25">
        <f>SUM(B10:S10)</f>
        <v/>
      </c>
    </row>
    <row r="11" ht="24" customHeight="1">
      <c r="A11" s="17" t="inlineStr">
        <is>
          <t>คะแนนถ่วงน้ำหนัก (=Score * Weight)</t>
        </is>
      </c>
      <c r="B11" s="26">
        <f>B9*B10</f>
        <v/>
      </c>
      <c r="C11" s="26">
        <f>C9*C10</f>
        <v/>
      </c>
      <c r="D11" s="26">
        <f>D9*D10</f>
        <v/>
      </c>
      <c r="E11" s="26">
        <f>E9*E10</f>
        <v/>
      </c>
      <c r="F11" s="26">
        <f>F9*F10</f>
        <v/>
      </c>
      <c r="G11" s="26">
        <f>G9*G10</f>
        <v/>
      </c>
      <c r="H11" s="26">
        <f>H9*H10</f>
        <v/>
      </c>
      <c r="I11" s="26">
        <f>I9*I10</f>
        <v/>
      </c>
      <c r="J11" s="26">
        <f>J9*J10</f>
        <v/>
      </c>
      <c r="K11" s="26">
        <f>K9*K10</f>
        <v/>
      </c>
      <c r="L11" s="26">
        <f>L9*L10</f>
        <v/>
      </c>
      <c r="M11" s="26">
        <f>M9*M10</f>
        <v/>
      </c>
      <c r="N11" s="26">
        <f>N9*N10</f>
        <v/>
      </c>
      <c r="O11" s="26">
        <f>O9*O10</f>
        <v/>
      </c>
      <c r="P11" s="26">
        <f>P9*P10</f>
        <v/>
      </c>
      <c r="Q11" s="26">
        <f>Q9*Q10</f>
        <v/>
      </c>
      <c r="R11" s="26">
        <f>R9*R10</f>
        <v/>
      </c>
      <c r="S11" s="26">
        <f>S9*S10</f>
        <v/>
      </c>
      <c r="T11" s="26">
        <f>SUM(B11:S11)</f>
        <v/>
      </c>
    </row>
    <row r="12" ht="115" customHeight="1">
      <c r="A12" s="17" t="inlineStr">
        <is>
          <t>คำอธิบาย &amp; หลักฐานอ้างอิงจากไฟล์ Intake (Evidence Citation)</t>
        </is>
      </c>
      <c r="B12" s="20" t="inlineStr">
        <is>
          <t>อ้างอิง solution-2.md ข้อ 3.a ใช้ก้านหย่อนจากปากบ่อพักน้ำ และ team-skills/jk.md ข้อ Mechanic ออกแบบ SolidWorks ร่วมกับอุปกรณ์ COTS ได้</t>
        </is>
      </c>
      <c r="C12" s="20" t="inlineStr">
        <is>
          <t>อ้างอิง team-skills/jk.md ข้อ Electronics ที่ไม่มีทักษะ PCB แต่เข้าใจการต่อวงจร IC และใช้บอร์ดสำเร็จรูปได้ดี</t>
        </is>
      </c>
      <c r="D12" s="20" t="inlineStr">
        <is>
          <t>อ้างอิง solution-2.md ข้อ 3.b จำแนกเกรด 3 ระดับอย่างรวดเร็ว และ team-skills/jk.md ที่เชี่ยวชาญการประมวลผลสัญญาณและคณิตศาสตร์</t>
        </is>
      </c>
      <c r="E12" s="20" t="inlineStr">
        <is>
          <t>อ้างอิง solution-2.md ข้อ 4.a การใช้งานเฉพาะช่วงสภาวะน้ำไหลต่ำในฤดูแล้ง ไม่เจอน้ำหลากหรือฝนกระหน่ำ</t>
        </is>
      </c>
      <c r="F12" s="20" t="inlineStr">
        <is>
          <t>อ้างอิง solution-2.md ข้อ 4.b การใช้ Transducer เกรดอุตสาหกรรมราคาประหยัดร่วมกับบอร์ด ESP32</t>
        </is>
      </c>
      <c r="G12" s="20" t="inlineStr">
        <is>
          <t>ทรานสดิวเซอร์เสียง COTS ซื้อแยกชิ้นสำรองได้ในราคาหลักร้อยบาทต่อหัว</t>
        </is>
      </c>
      <c r="H12" s="20" t="inlineStr">
        <is>
          <t>อ้างอิง solution-2.md ข้อ 2 Condition-Based Preventative Maintenance ลดเที่ยวรถดูดโคลนที่ไม่จำเป็นได้กว่า 50%</t>
        </is>
      </c>
      <c r="I12" s="20" t="inlineStr">
        <is>
          <t>อ้างอิง solution-2.md ข้อ 1 และ 4.a ปฏิบัติการหย่อนจากผิวถนนร่วมกับทีมงานเทศบาล ไม่ละเมิด PDPA และไม่มุดท่อ</t>
        </is>
      </c>
      <c r="J12" s="20" t="inlineStr">
        <is>
          <t>อ้างอิง solution-2.md ข้อ 3.c การบูรณาการข้อมูลเข้ากับแผนที่ระบายน้ำของเทศบาล</t>
        </is>
      </c>
      <c r="K12" s="20" t="inlineStr">
        <is>
          <t>อ้างอิง solution-2.md ข้อ 3.b และ 3.c รายงานสถานะความสะอาด 3 ระดับเข้าสู่ระบบ GIS</t>
        </is>
      </c>
      <c r="L12" s="20" t="inlineStr">
        <is>
          <t>อ้างอิง solution-2.md ข้อ 2 Rapid Pre-Screening ใช้เวลาเพียง 3-5 นาทีต่อช่วงท่อ</t>
        </is>
      </c>
      <c r="M12" s="20" t="inlineStr">
        <is>
          <t>อ้างอิง solution-2.md ข้อ 1 ขอบเขตการใช้งานเฉพาะฤดูแล้ง และ 4.a การหย่อนจากปากบ่อโดยคนอยู่บนฟุตบาท</t>
        </is>
      </c>
      <c r="N12" s="20" t="inlineStr">
        <is>
          <t>การแยกส่วนพัฒนาอัลกอริทึมจำแนกความสะอาดบนคอมพิวเตอร์ ทำคู่ขนานกับการประกอบก้านหย่อนได้</t>
        </is>
      </c>
      <c r="O12" s="20" t="inlineStr">
        <is>
          <t>ต้นแบบท่อจำลองทำได้ในพื้นที่มหาวิทยาลัยโดยไม่ต้องรอใบอนุญาตราชการ</t>
        </is>
      </c>
      <c r="P12" s="20" t="inlineStr">
        <is>
          <t>หลีกเลี่ยงการนำเข้าอุปกรณ์ Acoustic พิเศษจากต่างประเทศ หันมาใช้ COTS ในประเทศ</t>
        </is>
      </c>
      <c r="Q12" s="20" t="inlineStr">
        <is>
          <t>อ้างอิง sdg-rulebook goal-11 ข้อ 11.5 การลดผลกระทบและภัยพิบัติจากน้ำในเขตเมือง</t>
        </is>
      </c>
      <c r="R12" s="20" t="inlineStr">
        <is>
          <t>อ้างอิง solution-2.md ข้อ 3.a ระบบก้านหย่อนแบบพกพา ไม่มีการทิ้งชิ้นส่วนใดไว้ในท่อ</t>
        </is>
      </c>
      <c r="S12" s="20" t="inlineStr">
        <is>
          <t>อ้างอิง solution-2.md ข้อ 2 Condition-Based Planning ใช้เกณฑ์ระดับความสะอาด 3 ระดับเป็นมาตรฐานเดียวทั้งเมือง</t>
        </is>
      </c>
      <c r="T12" s="27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7" t="inlineStr">
        <is>
          <t>แผนลดขอบเขตงาน &amp; มาตรการลดความเสี่ยง (De-scoping Action)</t>
        </is>
      </c>
      <c r="B13" s="20" t="inlineStr">
        <is>
          <t>ใช้ก้านยืดหด Telescopic pole สำเร็จรูปพร้อมแคลมป์ยึดมาตรฐานอุตสาหกรรม ไม่ต้องกลึงโลหะเอง</t>
        </is>
      </c>
      <c r="C13" s="20" t="inlineStr">
        <is>
          <t>เลือกใช้โมดูล Transceiver สำเร็จรูปที่มี Screw Terminal Shield ในตัว</t>
        </is>
      </c>
      <c r="D13" s="20" t="inlineStr">
        <is>
          <t>ใช้อัลกอริทึม Time-of-Flight และ Peak Frequency Analysis พื้นฐานสำหรับท่อคอนกรีตมาตรฐาน</t>
        </is>
      </c>
      <c r="E13" s="20" t="inlineStr">
        <is>
          <t>จัดทำโปรโตคอลเช็ดทำความสะอาดหัววัดด้วยผ้าแห้งทุกครั้งหลังดึงขึ้นจากบ่อพักน้ำ</t>
        </is>
      </c>
      <c r="F13" s="20" t="inlineStr">
        <is>
          <t>จำกัดระยะตรวจวัดในต้นแบบไว้ที่ท่อช่วง 30-50 เมตร เพื่อใช้ชุดขับสัญญาณเสียงกำลังต่ำราคาประหยัด</t>
        </is>
      </c>
      <c r="G13" s="20" t="inlineStr">
        <is>
          <t>จัดซื้อทรานสดิวเซอร์สำรอง 2 ชิ้น และใช้บอร์ด ESP32 สำรองที่มีอยู่แล้วในแล็บ</t>
        </is>
      </c>
      <c r="H13" s="20" t="inlineStr">
        <is>
          <t>คำนวณตัวเลขเปรียบเทียบต้นทุนการลอกท่อแบบสุ่ม vs การลอกท่อตามเกรด Acoustic</t>
        </is>
      </c>
      <c r="I13" s="20" t="inlineStr">
        <is>
          <t>ประสานงานลงพื้นที่เฉพาะในจุดที่มีทีมงานบำรุงรักษาของสำนักงานเขตปฏิบัติงานอยู่แล้ว</t>
        </is>
      </c>
      <c r="J13" s="20" t="inlineStr">
        <is>
          <t>ใช้การบันทึกข้อมูลแบบออฟไลน์ลง SD Card ร่วมกับเชื่อมต่อผ่าน Bluetooth เข้าแอปบนสมาร์ทโฟน</t>
        </is>
      </c>
      <c r="K13" s="20" t="inlineStr">
        <is>
          <t>ส่งออกรายงานผลการตรวจวัดเป็นไฟล์ PDF รายวันสรุปช่วงท่อที่ตรวจผ่านและท่อที่ต้องล้าง</t>
        </is>
      </c>
      <c r="L13" s="20" t="inlineStr">
        <is>
          <t>ออกแบบปุ่มกดแบบ One-Touch เริ่มตรวจวัดพร้อมไฟแสดงสถานะ LED สามสี</t>
        </is>
      </c>
      <c r="M13" s="20" t="inlineStr">
        <is>
          <t>ทดสอบบนบ่อพักน้ำบริเวณทางเท้าหรือลานจอดรถของมหาวิทยาลัยก่อนลงพื้นที่จริง</t>
        </is>
      </c>
      <c r="N13" s="20" t="inlineStr">
        <is>
          <t>ทดสอบอัลกอริทึมด้วยข้อมูลเสียงบันทึก (Pre-recorded Audio) ในช่วงสัปดาห์สอบ</t>
        </is>
      </c>
      <c r="O13" s="20" t="inlineStr">
        <is>
          <t>ส่งมอบผลทดสอบจำแนกท่อสะอาด vs ท่อมีสิ่งกีดขวางในท่อจำลองเป็น Milestone สัปดาห์ที่ 9</t>
        </is>
      </c>
      <c r="P13" s="20" t="inlineStr">
        <is>
          <t>จัดซื้อทรานสดิวเซอร์ที่มีสต็อกพร้อมส่งทันทีจากตัวแทนจำหน่ายในไทย</t>
        </is>
      </c>
      <c r="Q13" s="20" t="inlineStr">
        <is>
          <t>เน้นการสำรวจในพื้นที่ชุมชนหนาแน่นและจุดเสี่ยงน้ำท่วมซ้ำซาก</t>
        </is>
      </c>
      <c r="R13" s="20" t="inlineStr">
        <is>
          <t>ติดตั้งสายสลิงนิรภัย Stainless Steel ยึดระหว่างหัววัดกับก้านหย่อน</t>
        </is>
      </c>
      <c r="S13" s="20" t="inlineStr">
        <is>
          <t>จัดทำตารางเกณฑ์คะแนนจำแนกความสะอาด 3 ระดับเผยแพร่เป็นมาตรฐานเปิด</t>
        </is>
      </c>
      <c r="T13" s="19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3" t="inlineStr">
        <is>
          <t>เมทริกซ์ประเมินความเป็นไปได้เชิงระบบ TELOS+S: Smart Drainage Pipe Telemetry &amp; Prioritized Flushing DSS (Jakarta Case Adaptation)</t>
        </is>
      </c>
    </row>
    <row r="2">
      <c r="A2" s="14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5" t="inlineStr">
        <is>
          <t>รหัสคำถาม (Question Code)</t>
        </is>
      </c>
      <c r="B4" s="16" t="inlineStr">
        <is>
          <t>T-01</t>
        </is>
      </c>
      <c r="C4" s="16" t="inlineStr">
        <is>
          <t>T-02</t>
        </is>
      </c>
      <c r="D4" s="16" t="inlineStr">
        <is>
          <t>T-03</t>
        </is>
      </c>
      <c r="E4" s="16" t="inlineStr">
        <is>
          <t>T-04</t>
        </is>
      </c>
      <c r="F4" s="16" t="inlineStr">
        <is>
          <t>E-01</t>
        </is>
      </c>
      <c r="G4" s="16" t="inlineStr">
        <is>
          <t>E-02</t>
        </is>
      </c>
      <c r="H4" s="16" t="inlineStr">
        <is>
          <t>E-03</t>
        </is>
      </c>
      <c r="I4" s="16" t="inlineStr">
        <is>
          <t>L-01</t>
        </is>
      </c>
      <c r="J4" s="16" t="inlineStr">
        <is>
          <t>L-02</t>
        </is>
      </c>
      <c r="K4" s="16" t="inlineStr">
        <is>
          <t>O-01</t>
        </is>
      </c>
      <c r="L4" s="16" t="inlineStr">
        <is>
          <t>O-02</t>
        </is>
      </c>
      <c r="M4" s="16" t="inlineStr">
        <is>
          <t>O-03</t>
        </is>
      </c>
      <c r="N4" s="16" t="inlineStr">
        <is>
          <t>S-01</t>
        </is>
      </c>
      <c r="O4" s="16" t="inlineStr">
        <is>
          <t>S-02</t>
        </is>
      </c>
      <c r="P4" s="16" t="inlineStr">
        <is>
          <t>S-03</t>
        </is>
      </c>
      <c r="Q4" s="16" t="inlineStr">
        <is>
          <t>SDG-01</t>
        </is>
      </c>
      <c r="R4" s="16" t="inlineStr">
        <is>
          <t>SDG-02</t>
        </is>
      </c>
      <c r="S4" s="16" t="inlineStr">
        <is>
          <t>SDG-03</t>
        </is>
      </c>
      <c r="T4" s="16" t="inlineStr">
        <is>
          <t>สรุปภาพรวม (SUMMARY)</t>
        </is>
      </c>
    </row>
    <row r="5" ht="24" customHeight="1">
      <c r="A5" s="17" t="inlineStr">
        <is>
          <t>มิติการประเมิน (TELOS+S Pillar)</t>
        </is>
      </c>
      <c r="B5" s="18" t="inlineStr">
        <is>
          <t>ด้านเทคนิค (Technical 2.2)</t>
        </is>
      </c>
      <c r="C5" s="18" t="inlineStr">
        <is>
          <t>ด้านเทคนิค (Technical 2.2)</t>
        </is>
      </c>
      <c r="D5" s="18" t="inlineStr">
        <is>
          <t>ด้านเทคนิค (Technical 2.2)</t>
        </is>
      </c>
      <c r="E5" s="18" t="inlineStr">
        <is>
          <t>ด้านเทคนิค (Technical 2.2)</t>
        </is>
      </c>
      <c r="F5" s="18" t="inlineStr">
        <is>
          <t>ด้านเศรษฐศาสตร์ (Economic 2.3)</t>
        </is>
      </c>
      <c r="G5" s="18" t="inlineStr">
        <is>
          <t>ด้านเศรษฐศาสตร์ (Economic 2.3)</t>
        </is>
      </c>
      <c r="H5" s="18" t="inlineStr">
        <is>
          <t>ด้านเศรษฐศาสตร์ (Economic 2.3)</t>
        </is>
      </c>
      <c r="I5" s="18" t="inlineStr">
        <is>
          <t>ด้านกฎหมายและหน่วยงาน (Legal 2.4)</t>
        </is>
      </c>
      <c r="J5" s="18" t="inlineStr">
        <is>
          <t>ด้านกฎหมายและหน่วยงาน (Legal 2.4)</t>
        </is>
      </c>
      <c r="K5" s="18" t="inlineStr">
        <is>
          <t>ด้านการปฏิบัติการและผู้ใช้ (Operational 2.5)</t>
        </is>
      </c>
      <c r="L5" s="18" t="inlineStr">
        <is>
          <t>ด้านการปฏิบัติการและผู้ใช้ (Operational 2.5)</t>
        </is>
      </c>
      <c r="M5" s="18" t="inlineStr">
        <is>
          <t>ด้านการปฏิบัติการและผู้ใช้ (Operational 2.5)</t>
        </is>
      </c>
      <c r="N5" s="18" t="inlineStr">
        <is>
          <t>ด้านเวลาและแผนงาน (Schedule 2.6)</t>
        </is>
      </c>
      <c r="O5" s="18" t="inlineStr">
        <is>
          <t>ด้านเวลาและแผนงาน (Schedule 2.6)</t>
        </is>
      </c>
      <c r="P5" s="18" t="inlineStr">
        <is>
          <t>ด้านเวลาและแผนงาน (Schedule 2.6)</t>
        </is>
      </c>
      <c r="Q5" s="18" t="inlineStr">
        <is>
          <t>ด้านความยั่งยืน (SDGs 2.7)</t>
        </is>
      </c>
      <c r="R5" s="18" t="inlineStr">
        <is>
          <t>ด้านความยั่งยืน (SDGs 2.7)</t>
        </is>
      </c>
      <c r="S5" s="18" t="inlineStr">
        <is>
          <t>ด้านความยั่งยืน (SDGs 2.7)</t>
        </is>
      </c>
      <c r="T5" s="19" t="inlineStr">
        <is>
          <t>ผลรวมทุกมิติ (All Pillars)</t>
        </is>
      </c>
    </row>
    <row r="6" ht="80" customHeight="1">
      <c r="A6" s="17" t="inlineStr">
        <is>
          <t>คำถามทดสอบความเสี่ยงจริง (Stress-Test Question)</t>
        </is>
      </c>
      <c r="B6" s="20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0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0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0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0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0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0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0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0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0" t="inlineStr">
        <is>
          <t>ระบบสามารถสร้างหลักฐานยืนยันที่สอดคล้องกับระเบียบการปิดงาน (Proof of Work) ของ กทม./Traffy Fondue โดยไม่ต้องบังคับให้เจ้าหน้าที่ต้องเดินทางไปถ่ายรูปซ้ำซ้อนหรือไม่?</t>
        </is>
      </c>
      <c r="L6" s="20" t="inlineStr">
        <is>
          <t>ความซับซ้อนในการติดตั้ง การบำรุงรักษา และการใช้งานโดยเจ้าหน้าที่หน้างาน (Usability &amp; Maintainability) อยู่ในระดับที่เหมาะสมและไม่สร้างภาระงานเพิ่มเติมหรือไม่?</t>
        </is>
      </c>
      <c r="M6" s="20" t="inlineStr">
        <is>
          <t>การทดสอบและติดตั้งระบบจริงหน้างาน สามารถกระทำได้อย่างปลอดภัยโดยไม่เสี่ยงต่อชีวิตของผู้พัฒนาหรือประชาชนผู้ใช้ทางหรือไม่?</t>
        </is>
      </c>
      <c r="N6" s="20" t="inlineStr">
        <is>
          <t>แผนงานและสถาปัตยกรรมระบบสามารถดูดซับช่วงสอบกลางภาค/ปลายภาคของมหาวิทยาลัย (Buffer Time 4 สัปดาห์) โดยโครงการไม่ล่าช้ากว่ากำหนดหรือไม่?</t>
        </is>
      </c>
      <c r="O6" s="20" t="inlineStr">
        <is>
          <t>ความก้าวหน้าทางวิศวกรรมสามารถบรรลุเกณฑ์การทำงานได้จริง (Working Prototype) ภายในสัปดาห์ที่ 9 ก่อนการประเมินความก้าวหน้าหลักหรือไม่?</t>
        </is>
      </c>
      <c r="P6" s="20" t="inlineStr">
        <is>
          <t>ระยะเวลาในการสั่งซื้อและขนส่งอุปกรณ์ (Lead Time) สอดคล้องกับกรอบเวลาของภาคการศึกษา โดยชิ้นส่วนหลักทั้งหมดมาถึงภายใน 14 วันหรือไม่?</t>
        </is>
      </c>
      <c r="Q6" s="20" t="inlineStr">
        <is>
          <t>ระบบส่งเสริมการลดความสูญเสียจากภัยพิบัติและสนับสนุนเมืองที่มีความยืดหยุ่นและยั่งยืน (สอดคล้องกับ SDG 11.5 และ SDG 13.1) หรือไม่?</t>
        </is>
      </c>
      <c r="R6" s="20" t="inlineStr">
        <is>
          <t>อุปกรณ์ที่นำไปติดตั้ง ไม่เสี่ยงต่อการชะล้างกลายเป็นขยะในท่อระบายน้ำ และใช้วัสดุที่ทนทาน ปลอดสารอันตราย และเป็นมิตรต่อสิ่งแวดล้อม (สอดคล้องกับ SDG 6.3 และ SDG 12.4/12.5) หรือไม่?</t>
        </is>
      </c>
      <c r="S6" s="20" t="inlineStr">
        <is>
          <t>ตรรกะการประเมินและการกรองเหตุร้องเรียน มีความโปร่งใส ตรวจสอบย้อนกลับได้ และไม่สร้างความเหลื่อมล้ำในการให้บริการของรัฐต่อประชาชนทุกกลุ่มอย่างเป็นธรรม (สอดคล้องกับ SDG 10.2 และ SDG 16.6) หรือไม่?</t>
        </is>
      </c>
      <c r="T6" s="21" t="inlineStr">
        <is>
          <t>ประเมินคำถามทั้งสิ้น 18 ข้อ</t>
        </is>
      </c>
    </row>
    <row r="7" ht="95" customHeight="1">
      <c r="A7" s="17" t="inlineStr">
        <is>
          <t>เหตุผลในการถาม &amp; โหมดความล้มเหลวที่เฝ้าระวัง (Rationale)</t>
        </is>
      </c>
      <c r="B7" s="20" t="inlineStr">
        <is>
          <t>โหนดตรวจวัดระดับน้ำและอัตราการไหลในท่อระบายน้ำสามารถบรรจุในกล่องกันน้ำสำเร็จรูปมาตรฐาน IP68 และยึดใต้ฝาท่อพักน้ำด้วยแคลมป์สแตนเลส COTS ไม่จำเป็นต้องกลึงหรือขึ้นรูปโลหะเอง</t>
        </is>
      </c>
      <c r="C7" s="20" t="inlineStr">
        <is>
          <t>ใช้วงจรสำเร็จรูป ESP32 หรือโมดูล LoRaWAN ที่มีบอร์ดต่อขยายแบบขันสกรู (Screw Terminal Shield) กินไฟต่ำมากในโหมด Deep-Sleep ไม่มีความร้อนสะสม</t>
        </is>
      </c>
      <c r="D7" s="20" t="inlineStr">
        <is>
          <t>การวิเคราะห์แนวโน้มระดับน้ำและเปรียบเทียบกับ Baseline อัตราการไหลเดิม ใช้การคำนวณทางสถิติและแบบจำลองจำแนกประเภทน้ำหนักเบาบนคลาวด์ ประมวลผลเสร็จในระดับวินาที</t>
        </is>
      </c>
      <c r="E7" s="20" t="inlineStr">
        <is>
          <t>สภาพแวดล้อมในท่อระบายน้ำมีก๊าซ H2S คราบไขมัน และขยะลอย การติดตั้งเซนเซอร์แบบไม่สัมผัสน้ำ (Non-contact Ultrasonic/Radar) ช่วยลดการเกาะของสิ่งสกปรกได้ดี แต่ยังต้องมีแผนทำความสะอาดเป็นระยะ</t>
        </is>
      </c>
      <c r="F7" s="20" t="inlineStr">
        <is>
          <t>ชุดอุปกรณ์ต้นแบบสำหรับ 1 โหนดตรวจวัดโทรมาตร (ESP32 + เซนเซอร์วัดระดับน้ำกันน้ำ + ระบบพลังงานแบตเตอรี่และโซลาร์เซลล์ขนาดเล็ก) มีงบประมาณรวมประมาณ 3,500 - 4,200 บาท อยู่ในเกณฑ์ควบคุมได้</t>
        </is>
      </c>
      <c r="G7" s="20" t="inlineStr">
        <is>
          <t>เมื่อคุมต้นทุนโหนดแรกที่ ~3,500 บาท สามารถจัดหาเซนเซอร์และโมดูลควบคุมสำรอง 1 ชุดได้ภายใต้งบประมาณรวมหรือเงินสนับสนุนของทีม</t>
        </is>
      </c>
      <c r="H7" s="20" t="inlineStr">
        <is>
          <t>การทราบข้อมูลจุดคอขวดที่แท้จริง ช่วยลดการส่งรถดูดเลนไปล้างท่อที่ยังสะอาดอยู่ได้มหาศาล ประหยัดงบประมาณค่าน้ำมันและค่าสึกหรอของ กทม. ได้หลายแสนบาทต่อปี</t>
        </is>
      </c>
      <c r="I7" s="20" t="inlineStr">
        <is>
          <t>อุปกรณ์ติดตั้งภายในท่อระบายน้ำหรือบ่อพักน้ำสาธารณะ ไม่มีการเก็บข้อมูลภาพบุคคล ปลอดจาก พ.ร.บ. PDPA 100% การติดตั้งได้รับอนุญาตและประสานงานร่วมกับสำนักการระบายน้ำ กทม.</t>
        </is>
      </c>
      <c r="J7" s="20" t="inlineStr">
        <is>
          <t>ใช้คลื่นสัญญาณ LoRaWAN (920-925 MHz) หรือ NB-IoT/4G ที่ได้รับการรับรองจาก กสทช. และสอดคล้องกับแนวทาง Smart City ของ กทม.</t>
        </is>
      </c>
      <c r="K7" s="20" t="inlineStr">
        <is>
          <t>ระบบบันทึกข้อมูลระดับน้ำและอัตราการไหลอย่างต่อเนื่อง สามารถส่งออกรายงานกราฟการระบายน้ำดิจิทัลยืนยันสถานะความเรียบร้อยของท่อระบายน้ำเพื่อใช้ปิดงานได้</t>
        </is>
      </c>
      <c r="L7" s="20" t="inlineStr">
        <is>
          <t>แดชบอร์ดสรุปสถานะการไหลของท่อแสดงผลด้วยรหัสสี (เขียว/เหลือง/แดง) เจ้าหน้าที่หน้างานดูเข้าใจได้ทันทีโดยไม่ต้องผ่านการอบรมเชิงลึก</t>
        </is>
      </c>
      <c r="M7" s="20" t="inlineStr">
        <is>
          <t>การติดตั้งใต้ฝาท่อพักน้ำต้องระมัดระวังก๊าซพิษ แต่สามารถปฏิบัติการได้โดยการแขวนอุปกรณ์จากปากบ่อพักน้ำโดยไม่ต้องให้คนมุดลงไปในท่อ (No Confined Space Entry)</t>
        </is>
      </c>
      <c r="N7" s="20" t="inlineStr">
        <is>
          <t>สถาปัตยกรรมระบบแบ่งเป็นฮาร์ดแวร์โหนดตรวจวัดและซอฟต์แวร์วิเคราะห์ข้อมูลบนคลาวด์ ซึ่งสามารถจำลองข้อมูลทดสอบ (Mock Telemetry) ทำงานคู่ขนานช่วงสอบได้</t>
        </is>
      </c>
      <c r="O7" s="20" t="inlineStr">
        <is>
          <t>โหนดต้นแบบโทรมาตรและแดชบอร์ดแสดงผลสามารถทำงานร่วมกันและส่งข้อมูลขึ้นคลาวด์ได้จริงภายในสัปดาห์ที่ 8 ก่อนการประเมินสัปดาห์ที่ 9</t>
        </is>
      </c>
      <c r="P7" s="20" t="inlineStr">
        <is>
          <t>ชิ้นส่วน COTS ทั้งหมดหาซื้อได้จากตัวแทนจำหน่ายในประเทศ มีสต็อกพร้อมส่งถึงมือภายใน 3-5 วันทำการ</t>
        </is>
      </c>
      <c r="Q7" s="20" t="inlineStr">
        <is>
          <t>การตรวจวัดและแจ้งเตือนจุดคอขวดในท่อระบายน้ำล่วงหน้า ช่วยให้เมืองเตรียมการระบายน้ำได้ทัน ลดความสูญเสียจากน้ำท่วมขังบนถนนสายสำคัญอย่างยั่งยืน</t>
        </is>
      </c>
      <c r="R7" s="20" t="inlineStr">
        <is>
          <t>กล่องอุปกรณ์ยึดแน่นด้วยแคลมป์สแตนเลสและมีสายสลิงนิรภัยสองชั้น ป้องกันอุปกรณ์หลุดลอยไปอุดตันท่อระบายน้ำ 100%</t>
        </is>
      </c>
      <c r="S7" s="20" t="inlineStr">
        <is>
          <t>การจัดลำดับการส่งรถดูดเลนล้างท่ออาศัยข้อมูลเชิงตัวเลขจากเซนเซอร์ (Data-Driven Prioritization) ปราศจากการเลือกปฏิบัติหรือการใช้ดุลยพินิจส่วนบุคคล</t>
        </is>
      </c>
      <c r="T7" s="21" t="inlineStr">
        <is>
          <t>สังเคราะห์จาก AI Agents Group 2</t>
        </is>
      </c>
    </row>
    <row r="8" ht="150" customHeight="1">
      <c r="A8" s="17" t="inlineStr">
        <is>
          <t>เกณฑ์การให้คะแนน (Scoring Rubric Definition: ระดับ 1, 2, 3, 4, 5 ครบทุกระดับ)</t>
        </is>
      </c>
      <c r="B8" s="20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0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0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0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0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0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0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0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0" t="inlineStr">
        <is>
          <t>1: คลื่นวิทยุไม่ผ่าน กสทช. และไม่มีช่องทางติดต่อหน่วยงานรัฐ ถูกสั่งระงับแน่นอน (Fatal Flaw)
2: คลื่นวิทยุผ่านเกณฑ์ แต่การประสานงานราชการมีความล่าช้าสูงเกิน 2 เดือน
3: มีหนังสือรับรองจากมหาวิทยาลัย อยู่ระหว่างการยื่นขออนุญาตใช้พื้นที่ติดตั้ง
4: โมดูลสื่อสารผ่าน กสทช. และมีเครือข่ายความร่วมมือกับเจ้าหน้าที่เขตในระดับปฏิบัติการ
5: โมดูลผ่าน กสทช. 100% และได้รับอนุญาตเป็นลายลักษณ์อักษรจากสำนักการระบายน้ำ กทม. ให้ทดสอบระบบ</t>
        </is>
      </c>
      <c r="K8" s="20" t="inlineStr">
        <is>
          <t>1: ไม่สามารถสร้างหลักฐานใด ๆ ได้ บังคับให้คนต้องลงไปดูหน้างานเหมือนเดิม 100% (Fatal Flaw)
2: สร้างได้เฉพาะตัวเลขดิบที่เจ้าหน้าที่หน้างานอ่านไม่เข้าใจ ต้องแปลผลด้วยผู้เชี่ยวชาญ
3: สร้างรายงานสรุปได้แต่ยังต้องอาศัยรูปถ่ายจากกล้องมือถือของเจ้าหน้าที่ยืนยันซ้ำ
4: ส่งออกบัตรหลักฐานดิจิทัล (Digital Evidence Card) พร้อมระดับความเสี่ยงที่อ่านเข้าใจง่ายใน 3 วินาที
5: เชื่อมต่อ API ปิดเรื่องอัตโนมัติ พร้อมภาพถ่ายกราฟวิเคราะห์และพิกัด GPS ที่ระเบียบราชการยอมรับ</t>
        </is>
      </c>
      <c r="L8" s="20" t="inlineStr">
        <is>
          <t>1: ใช้งานยากมาก ต้องใช้ผู้เชี่ยวชาญระดับปริญญาโทคอยควบคุมตลอดเวลา (Fatal Flaw)
2: มีขั้นตอนการปรับเทียบ (Calibration) หน้างานซับซ้อนเกิน 30 นาทีต่อครั้ง
3: เจ้าหน้าที่ต้องผ่านการอบรมอย่างน้อย 1-2 วันจึงจะใช้งานและบำรุงรักษาได้
4: ใช้งานง่าย มีคู่มือปฏิบัติการหน้างานชัดเจน บำรุงรักษาได้ด้วยเครื่องมือช่างทั่วไป
5: ทำงานแบบ Plug-and-Play กดปุ่มเดียวทำงานอัตโนมัติ เจ้าหน้าที่หน้างานใช้งานได้ทันทีโดยไม่ต้องอบรมซับซ้อน</t>
        </is>
      </c>
      <c r="M8" s="20" t="inlineStr">
        <is>
          <t>1: มีความเสี่ยงต่อชีวิตอย่างร้ายแรง (เช่น ต้องลุยน้ำเชี่ยวกลางพายุ หรือเปิดฝาท่อบนถนนโดยไม่มีการกั้นทาง / Fatal Flaw)
2: สภาพแวดล้อมหน้างานมีความเสี่ยงปานกลาง ต้องมีอุปกรณ์ป้องกันภัยส่วนบุคคล (PPE) ครบชุดและมีพี่เลี้ยงคุม
3: มีความปลอดภัยปานกลาง ทดสอบได้เฉพาะริมตลิ่งหรือจุดที่มีราวกั้นชัดเจน
4: ปลอดภัยสูง ติดตั้งจากบนสะพานคนเดินหรือผิวทางเท้าโดยไม่ต้องสัมผัสน้ำตรง ๆ
5: ปลอดภัย 100% ออกแบบให้ติดตั้งและทดสอบได้จากระยะไกล มีระบบตัดไฟอัตโนมัติเมื่อเกิดเหตุฉุกเฉิน</t>
        </is>
      </c>
      <c r="N8" s="20" t="inlineStr">
        <is>
          <t>1: แผนงานแน่นเอี้ยดแบบเส้นตรง (Linear Dependency) หากติดสอบเพียง 1 สัปดาห์ โครงการจะพังทันที (Fatal Flaw)
2: มีเวลาสำรองเพียง 3-5 วัน เสี่ยงต่อการส่งมอบงานช้าเมื่อติดภารกิจการเรียน
3: มีเวลาสำรอง 1-2 สัปดาห์ สามารถเลื่อนแผนงานได้บางส่วนแต่ต้องเร่งงานหลังสอบ
4: มี Buffer Time ชัดเจน 3-4 สัปดาห์ และแบ่งงานเป็นโมดูลอิสระที่ทำคู่ขนานกันได้
5: สถาปัตยกรรมระบบเสร็จสมบูรณ์ตั้งแต่สัปดาห์ที่ 8 มีเวลาทดสอบและปรับปรุงหน้างานมากกว่า 5 สัปดาห์</t>
        </is>
      </c>
      <c r="O8" s="20" t="inlineStr">
        <is>
          <t>1: มีความเสี่ยงสูงมากที่จะยังไม่มีอุปกรณ์ใด ๆ ทำงานได้ในสัปดาห์ที่ 9 (Fatal Flaw)
2: ในสัปดาห์ที่ 9 ได้เพียงแค่การทดลองบนโต๊ะแล็บแบบแยกส่วน ยังไม่สามารถรวมระบบได้
3: ในสัปดาห์ที่ 9 ระบบสามารถทำงานร่วมกันได้บนโต๊ะแล็บ แต่อุปกรณ์ยังไม่พร้อมลงน้ำจริง
4: ภายในสัปดาห์ที่ 9 มีต้นแบบฮาร์ดแวร์และซอฟต์แวร์ที่พร้อมนำไปทดสอบในสภาพแวดล้อมจริง
5: ต้นแบบเสร็จสมบูรณ์และผ่านการทดสอบภาคสนามเบื้องต้นเรียบร้อยแล้วตั้งแต่ก่อนสัปดาห์ที่ 9</t>
        </is>
      </c>
      <c r="P8" s="20" t="inlineStr">
        <is>
          <t>1: ต้องสั่งซื้อชิ้นส่วนพิเศษจากต่างประเทศที่ใช้เวลาส่งเกิน 4-6 สัปดาห์ เสี่ยงต่อการไม่มีของทำโครงงาน (Fatal Flaw)
2: มีชิ้นส่วนหลักบางชิ้นที่ต้องรอของ 3-4 สัปดาห์ ทำให้เริ่มงานฮาร์ดแวร์ได้ช้า
3: ชิ้นส่วนทั้งหมดใช้เวลาจัดส่ง 2-3 สัปดาห์ ต้องเริ่มสั่งซื้อตั้งแต่วันแรกของโครงการ
4: ชิ้นส่วนเกือบทั้งหมดสามารถจัดซื้อในประเทศได้ ได้รับของภายใน 7-10 วัน
5: ชิ้นส่วนทั้งหมด 100% มีจำหน่ายในประเทศและสามารถจัดส่งถึงมือได้ภายใน 2-3 วัน</t>
        </is>
      </c>
      <c r="Q8" s="20" t="inlineStr">
        <is>
          <t>1: โครงการไม่มีส่วนเกี่ยวข้องหรืออาจส่งผลเสียต่อเป้าหมายความยั่งยืน (Fatal Flaw)
2: สนับสนุนความยั่งยืนในทางอ้อมอย่างผิวเผิน แต่ไม่มีตัวชี้วัดที่ชัดเจน
3: ส่งเสริมการลดผลกระทบน้ำท่วมได้บางส่วน แต่จำกัดเฉพาะจุดติดตั้งขนาดเล็ก
4: สอดคล้องกับ SDG 11.5 ชัดเจน ช่วยลดเวลาและพื้นที่น้ำท่วมขังบนถนนสายสำคัญ
5: สอดคล้องกับ SDG 11.5 และ SDG 13.1 อย่างเป็นรูปธรรม มีโมเดลการประเมินลดความสูญเสียทางเศรษฐกิจและภัยพิบัติของเมืองอย่างยั่งยืน</t>
        </is>
      </c>
      <c r="R8" s="20" t="inlineStr">
        <is>
          <t>1: มีความเสี่ยงสูงที่อุปกรณ์จะหลุดลอยกลายเป็นขยะอุดตันท่อระบายน้ำ หรือใช้วัสดุเป็นพิษต่อระบบนิเวศ (Fatal Flaw)
2: อุปกรณ์ใช้วัสดุที่ไม่ทนต่อการกัดกร่อน อาจเกิดการชำรุดและตกค้างในสิ่งแวดล้อม
3: ติดตั้งแข็งแรงปานกลาง มีโอกาสหลุดลอยหากเจอน้ำหลากระดับรุนแรง
4: ใช้วัสดุไม่เป็นพิษ ตัวกล่องปิดมิดชิด มีระบบยึดเหนี่ยวที่แข็งแรงทนทานต่อกระแสน้ำ
5: อุปกรณ์หย่อนชั่วคราวและดึงกลับ 100% พร้อมสายสลิงนิรภัยสองชั้น ปลอดภัยต่อระบบนิเวศน้ำและไม่สร้างขยะในท่อ</t>
        </is>
      </c>
      <c r="S8" s="20" t="inlineStr">
        <is>
          <t>1: ตรรกะของระบบเป็นกล่องดำ (Black Box) หรือลำเอียงตัดการช่วยเหลือในพื้นที่เปราะบาง (Fatal Flaw)
2: เกณฑ์การตัดสินใจไม่ชัดเจน อาจนำไปสู่การเลือกปฏิบัติต่อบางชุมชนโดยไม่ตั้งใจ
3: ตรรกะตรวจสอบได้บางส่วน แต่ยังไม่มีกระบวนการอุทธรณ์หรือทบทวนจากมนุษย์
4: ตรรกะโปร่งใส มีเกณฑ์คะแนนชัดเจน ให้ความสำคัญกับทุกพื้นที่อย่างเท่าเทียมตามระดับความรุนแรง
5: โปร่งใส 100% ตรวจสอบย้อนกลับได้ทุกการตัดสินใจ สอดคล้องกับ SDG 10.2 และ SDG 16.6 เสริมสร้างธรรมาภิบาลภาครัฐ</t>
        </is>
      </c>
      <c r="T8" s="21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2" t="inlineStr">
        <is>
          <t>คะแนนที่ได้รับ (ASSIGNED SCORE: 1, 2, 3, 4, 5 STRICT INTEGER)</t>
        </is>
      </c>
      <c r="B9" s="23" t="n">
        <v>4</v>
      </c>
      <c r="C9" s="23" t="n">
        <v>4</v>
      </c>
      <c r="D9" s="23" t="n">
        <v>4</v>
      </c>
      <c r="E9" s="23" t="n">
        <v>3</v>
      </c>
      <c r="F9" s="23" t="n">
        <v>4</v>
      </c>
      <c r="G9" s="23" t="n">
        <v>4</v>
      </c>
      <c r="H9" s="23" t="n">
        <v>5</v>
      </c>
      <c r="I9" s="23" t="n">
        <v>4</v>
      </c>
      <c r="J9" s="23" t="n">
        <v>4</v>
      </c>
      <c r="K9" s="23" t="n">
        <v>4</v>
      </c>
      <c r="L9" s="23" t="n">
        <v>4</v>
      </c>
      <c r="M9" s="23" t="n">
        <v>3</v>
      </c>
      <c r="N9" s="23" t="n">
        <v>4</v>
      </c>
      <c r="O9" s="23" t="n">
        <v>4</v>
      </c>
      <c r="P9" s="23" t="n">
        <v>5</v>
      </c>
      <c r="Q9" s="23" t="n">
        <v>5</v>
      </c>
      <c r="R9" s="23" t="n">
        <v>4</v>
      </c>
      <c r="S9" s="23" t="n">
        <v>5</v>
      </c>
      <c r="T9" s="24">
        <f>IF(T10&gt;0, (T11/T10)*20, 0)</f>
        <v/>
      </c>
    </row>
    <row r="10" ht="22" customHeight="1">
      <c r="A10" s="17" t="inlineStr">
        <is>
          <t>ค่าน้ำหนัก (Weight %)</t>
        </is>
      </c>
      <c r="B10" s="25" t="n">
        <v>0.05</v>
      </c>
      <c r="C10" s="25" t="n">
        <v>0.05</v>
      </c>
      <c r="D10" s="25" t="n">
        <v>0.05</v>
      </c>
      <c r="E10" s="25" t="n">
        <v>0.05</v>
      </c>
      <c r="F10" s="25" t="n">
        <v>0.0667</v>
      </c>
      <c r="G10" s="25" t="n">
        <v>0.0667</v>
      </c>
      <c r="H10" s="25" t="n">
        <v>0.06660000000000001</v>
      </c>
      <c r="I10" s="25" t="n">
        <v>0.075</v>
      </c>
      <c r="J10" s="25" t="n">
        <v>0.075</v>
      </c>
      <c r="K10" s="25" t="n">
        <v>0.0667</v>
      </c>
      <c r="L10" s="25" t="n">
        <v>0.0667</v>
      </c>
      <c r="M10" s="25" t="n">
        <v>0.06660000000000001</v>
      </c>
      <c r="N10" s="25" t="n">
        <v>0.05</v>
      </c>
      <c r="O10" s="25" t="n">
        <v>0.05</v>
      </c>
      <c r="P10" s="25" t="n">
        <v>0.05</v>
      </c>
      <c r="Q10" s="25" t="n">
        <v>0.0333</v>
      </c>
      <c r="R10" s="25" t="n">
        <v>0.0333</v>
      </c>
      <c r="S10" s="25" t="n">
        <v>0.0334</v>
      </c>
      <c r="T10" s="25">
        <f>SUM(B10:S10)</f>
        <v/>
      </c>
    </row>
    <row r="11" ht="24" customHeight="1">
      <c r="A11" s="17" t="inlineStr">
        <is>
          <t>คะแนนถ่วงน้ำหนัก (=Score * Weight)</t>
        </is>
      </c>
      <c r="B11" s="26">
        <f>B9*B10</f>
        <v/>
      </c>
      <c r="C11" s="26">
        <f>C9*C10</f>
        <v/>
      </c>
      <c r="D11" s="26">
        <f>D9*D10</f>
        <v/>
      </c>
      <c r="E11" s="26">
        <f>E9*E10</f>
        <v/>
      </c>
      <c r="F11" s="26">
        <f>F9*F10</f>
        <v/>
      </c>
      <c r="G11" s="26">
        <f>G9*G10</f>
        <v/>
      </c>
      <c r="H11" s="26">
        <f>H9*H10</f>
        <v/>
      </c>
      <c r="I11" s="26">
        <f>I9*I10</f>
        <v/>
      </c>
      <c r="J11" s="26">
        <f>J9*J10</f>
        <v/>
      </c>
      <c r="K11" s="26">
        <f>K9*K10</f>
        <v/>
      </c>
      <c r="L11" s="26">
        <f>L9*L10</f>
        <v/>
      </c>
      <c r="M11" s="26">
        <f>M9*M10</f>
        <v/>
      </c>
      <c r="N11" s="26">
        <f>N9*N10</f>
        <v/>
      </c>
      <c r="O11" s="26">
        <f>O9*O10</f>
        <v/>
      </c>
      <c r="P11" s="26">
        <f>P9*P10</f>
        <v/>
      </c>
      <c r="Q11" s="26">
        <f>Q9*Q10</f>
        <v/>
      </c>
      <c r="R11" s="26">
        <f>R9*R10</f>
        <v/>
      </c>
      <c r="S11" s="26">
        <f>S9*S10</f>
        <v/>
      </c>
      <c r="T11" s="26">
        <f>SUM(B11:S11)</f>
        <v/>
      </c>
    </row>
    <row r="12" ht="115" customHeight="1">
      <c r="A12" s="17" t="inlineStr">
        <is>
          <t>คำอธิบาย &amp; หลักฐานอ้างอิงจากไฟล์ Intake (Evidence Citation)</t>
        </is>
      </c>
      <c r="B12" s="20" t="inlineStr">
        <is>
          <t>อ้างอิง solution-4_drainage_telemetry.md ข้อ 3.a ใช้อุปกรณ์ COTS กล่องกันน้ำมาตรฐาน และ team-skills/due.md ที่เชี่ยวชาญการออกแบบเคสและการติดตั้งภายนอก</t>
        </is>
      </c>
      <c r="C12" s="20" t="inlineStr">
        <is>
          <t>อ้างอิง team-skills/due.md และ jk.md ในการใช้งาน ESP32 Low-Power Mode และการเชื่อมต่อสายไฟแบบขันสกรู</t>
        </is>
      </c>
      <c r="D12" s="20" t="inlineStr">
        <is>
          <t>อ้างอิง solution-4_drainage_telemetry.md ข้อ 2 และ 3.b เปรียบเทียบ Baseline และ team-skills/kin.md ที่เชี่ยวชาญการประมวลผล Time-series</t>
        </is>
      </c>
      <c r="E12" s="20" t="inlineStr">
        <is>
          <t>อ้างอิง solution-4_drainage_telemetry.md ข้อ 4.a ตะกอน ไขมัน และความชื้นในท่ออาจรบกวนเซนเซอร์</t>
        </is>
      </c>
      <c r="F12" s="20" t="inlineStr">
        <is>
          <t>อ้างอิง solution-4_drainage_telemetry.md ข้อ 4.c การควบคุมต้นทุนอุปกรณ์ให้ต่ำกว่าเพดาน</t>
        </is>
      </c>
      <c r="G12" s="20" t="inlineStr">
        <is>
          <t>ชิ้นส่วนอิเล็กทรอนิกส์ COTS สามารถจัดซื้อชิ้นส่วนอะไหล่สำรองได้ในราคาหลักร้อยบาท</t>
        </is>
      </c>
      <c r="H12" s="20" t="inlineStr">
        <is>
          <t>อ้างอิง solution-4_drainage_telemetry.md ข้อ 1 และ 2 การลดการส่งรถดูดเลนในจุดที่ไม่จำเป็น</t>
        </is>
      </c>
      <c r="I12" s="20" t="inlineStr">
        <is>
          <t>อ้างอิง solution-4_drainage_telemetry.md ปลอดปัญหา PDPA 100% และขออนุญาตฝ่ายโยธาเพื่อเปิดฝาท่อ</t>
        </is>
      </c>
      <c r="J12" s="20" t="inlineStr">
        <is>
          <t>โมดูลสื่อสารไร้สายสำเร็จรูปได้รับการรับรองมาตรฐาน กสทช. ถูกต้องตามกฎหมาย</t>
        </is>
      </c>
      <c r="K12" s="20" t="inlineStr">
        <is>
          <t>อ้างอิง solution-4_drainage_telemetry.md ข้อ 3.c แดชบอร์ดสนับสนุนการตัดสินใจของเจ้าหน้าที่</t>
        </is>
      </c>
      <c r="L12" s="20" t="inlineStr">
        <is>
          <t>อ้างอิง Benchmark Jakarta Flood Control System ที่เน้นแดชบอร์ด Understand &amp; Act ใช้งานง่าย</t>
        </is>
      </c>
      <c r="M12" s="20" t="inlineStr">
        <is>
          <t>อ้างอิง solution-4_drainage_telemetry.md ข้อ 4.c การติดตั้งในบ่อพักน้ำต้องคำนึงถึงก๊าซพิษ</t>
        </is>
      </c>
      <c r="N12" s="20" t="inlineStr">
        <is>
          <t>อ้างอิง team-skills/kin.md ในการพัฒนา API Backend และ AI Pipeline แยกอิสระจากฮาร์ดแวร์</t>
        </is>
      </c>
      <c r="O12" s="20" t="inlineStr">
        <is>
          <t>ความพร้อมของทีมงานด้าน Embedded (Due) และ Data Pipeline (Kin) ช่วยให้รวมระบบได้เร็ว</t>
        </is>
      </c>
      <c r="P12" s="20" t="inlineStr">
        <is>
          <t>เลือกใช้เซนเซอร์และไมโครคอนโทรลเลอร์ที่มีจำหน่ายแพร่หลายในไทย ไม่สั่งของข้ามประเทศ</t>
        </is>
      </c>
      <c r="Q12" s="20" t="inlineStr">
        <is>
          <t>อ้างอิง sdg-rulebook goal-11 ข้อ 11.5 การลดผลกระทบจากภัยพิบัติน้ำท่วมในเขตเมือง</t>
        </is>
      </c>
      <c r="R12" s="20" t="inlineStr">
        <is>
          <t>อ้างอิง solution-4_drainage_telemetry.md ข้อ 4.a การติดตั้งต้องไม่กีดขวางทางน้ำและไม่เป็นจุดดักขยะ</t>
        </is>
      </c>
      <c r="S12" s="20" t="inlineStr">
        <is>
          <t>อ้างอิง solution-4_drainage_telemetry.md ข้อ 2 การจัดลำดับความสำคัญอย่างมีข้อมูลเชิงประจักษ์รองรับ</t>
        </is>
      </c>
      <c r="T12" s="27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7" t="inlineStr">
        <is>
          <t>แผนลดขอบเขตงาน &amp; มาตรการลดความเสี่ยง (De-scoping Action)</t>
        </is>
      </c>
      <c r="B13" s="20" t="inlineStr">
        <is>
          <t>ใช้กล่องกันน้ำ IP68 สำเร็จรูปพร้อมขายึดแคลมป์ใต้ฝาท่อ ไม่พึ่งพาโรงประลอง</t>
        </is>
      </c>
      <c r="C13" s="20" t="inlineStr">
        <is>
          <t>ใช้โมดูลขยาย Screw Terminal Shield สำเร็จรูปสำหรับต่อเซนเซอร์วัดระดับน้ำและอัตราการไหล</t>
        </is>
      </c>
      <c r="D13" s="20" t="inlineStr">
        <is>
          <t>ใช้อัลกอริทึม Moving Average และ Threshold-based Alerting บน Backend API</t>
        </is>
      </c>
      <c r="E13" s="20" t="inlineStr">
        <is>
          <t>ติดตั้งเซนเซอร์แบบ Non-contact เหนือระดับน้ำสูงสุดพร้อมกรวยกันละอองน้ำ</t>
        </is>
      </c>
      <c r="F13" s="20" t="inlineStr">
        <is>
          <t>สร้างโหนดต้นแบบนำร่อง 1 ชุด เพื่อทดสอบส่งข้อมูลก่อนขยายเครือข่าย</t>
        </is>
      </c>
      <c r="G13" s="20" t="inlineStr">
        <is>
          <t>จัดซื้อเซนเซอร์วัดระดับน้ำสำรอง 1 ชิ้น และบอร์ดไมโครคอนโทรลเลอร์สำรอง 1 ชิ้น</t>
        </is>
      </c>
      <c r="H13" s="20" t="inlineStr">
        <is>
          <t>ใช้ SIM IoT ส่งข้อมูลแบบ Batch ทุก 10-15 นาทีเพื่อประหยัดค่าบริการเครือข่าย</t>
        </is>
      </c>
      <c r="I13" s="20" t="inlineStr">
        <is>
          <t>ติดตั้งนำร่องในบ่อพักน้ำของมหาวิทยาลัยเพื่อยืนยันความปลอดภัยก่อนลงพื้นที่สาธารณะ</t>
        </is>
      </c>
      <c r="J13" s="20" t="inlineStr">
        <is>
          <t>ใช้เครือข่าย 4G/NB-IoT ของผู้ให้บริการที่มีใบอนุญาตในไทย</t>
        </is>
      </c>
      <c r="K13" s="20" t="inlineStr">
        <is>
          <t>พัฒนาเทมเพลตรายงานสรุปผลการไหลและระดับน้ำรายวันเป็นไฟล์ PDF</t>
        </is>
      </c>
      <c r="L13" s="20" t="inlineStr">
        <is>
          <t>ออกแบบ Web Dashboard แสดงแผนที่ GIS พร้อมสัญลักษณ์เตือนภัยที่เข้าใจง่าย</t>
        </is>
      </c>
      <c r="M13" s="20" t="inlineStr">
        <is>
          <t>ใช้การติดตั้งแขวนใต้ฝาท่อพักน้ำด้วยแคลมป์โดยเจ้าหน้าที่ยืนอยู่บนผิวทางเท้า</t>
        </is>
      </c>
      <c r="N13" s="20" t="inlineStr">
        <is>
          <t>พัฒนาระบบคลาวด์และแดชบอร์ดให้เสร็จสิ้นโดยใช้ข้อมูลจำลองก่อนการลงพื้นที่จริง</t>
        </is>
      </c>
      <c r="O13" s="20" t="inlineStr">
        <is>
          <t>ส่งมอบโหนดต้นแบบ 1 จุดเชื่อมต่อ Dashboard แสดงผลสดเป็น Milestone สัปดาห์ที่ 9</t>
        </is>
      </c>
      <c r="P13" s="20" t="inlineStr">
        <is>
          <t>จัดซื้ออุปกรณ์จากร้านค้าอิเล็กทรอนิกส์ในประเทศที่มีบริการจัดส่งด่วน</t>
        </is>
      </c>
      <c r="Q13" s="20" t="inlineStr">
        <is>
          <t>เน้นการติดตั้งโหนดตรวจวัดในจุดเสี่ยงน้ำท่วมซ้ำซากของเขตเมือง</t>
        </is>
      </c>
      <c r="R13" s="20" t="inlineStr">
        <is>
          <t>ใช้สายสลิงสแตนเลส 316 คล้องยึดตัวอุปกรณ์กับโครงสร้างปากบ่อพักน้ำ</t>
        </is>
      </c>
      <c r="S13" s="20" t="inlineStr">
        <is>
          <t>เปิดเผยข้อมูลสถิติการไหลของท่อระบายน้ำผ่านแดชบอร์ดสาธารณะของเมือง</t>
        </is>
      </c>
      <c r="T13" s="19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3" t="inlineStr">
        <is>
          <t>เมทริกซ์ประเมินความเป็นไปได้เชิงระบบ TELOS+S: UHI Latent Heat Precision Road Cooling &amp; Microclimate Water Dosing</t>
        </is>
      </c>
    </row>
    <row r="2">
      <c r="A2" s="14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5" t="inlineStr">
        <is>
          <t>รหัสคำถาม (Question Code)</t>
        </is>
      </c>
      <c r="B4" s="16" t="inlineStr">
        <is>
          <t>T-01</t>
        </is>
      </c>
      <c r="C4" s="16" t="inlineStr">
        <is>
          <t>T-02</t>
        </is>
      </c>
      <c r="D4" s="16" t="inlineStr">
        <is>
          <t>T-03</t>
        </is>
      </c>
      <c r="E4" s="16" t="inlineStr">
        <is>
          <t>T-04</t>
        </is>
      </c>
      <c r="F4" s="16" t="inlineStr">
        <is>
          <t>E-01</t>
        </is>
      </c>
      <c r="G4" s="16" t="inlineStr">
        <is>
          <t>E-02</t>
        </is>
      </c>
      <c r="H4" s="16" t="inlineStr">
        <is>
          <t>E-03</t>
        </is>
      </c>
      <c r="I4" s="16" t="inlineStr">
        <is>
          <t>L-01</t>
        </is>
      </c>
      <c r="J4" s="16" t="inlineStr">
        <is>
          <t>L-02</t>
        </is>
      </c>
      <c r="K4" s="16" t="inlineStr">
        <is>
          <t>O-01</t>
        </is>
      </c>
      <c r="L4" s="16" t="inlineStr">
        <is>
          <t>O-02</t>
        </is>
      </c>
      <c r="M4" s="16" t="inlineStr">
        <is>
          <t>O-03</t>
        </is>
      </c>
      <c r="N4" s="16" t="inlineStr">
        <is>
          <t>S-01</t>
        </is>
      </c>
      <c r="O4" s="16" t="inlineStr">
        <is>
          <t>S-02</t>
        </is>
      </c>
      <c r="P4" s="16" t="inlineStr">
        <is>
          <t>S-03</t>
        </is>
      </c>
      <c r="Q4" s="16" t="inlineStr">
        <is>
          <t>SDG-01</t>
        </is>
      </c>
      <c r="R4" s="16" t="inlineStr">
        <is>
          <t>SDG-02</t>
        </is>
      </c>
      <c r="S4" s="16" t="inlineStr">
        <is>
          <t>SDG-03</t>
        </is>
      </c>
      <c r="T4" s="16" t="inlineStr">
        <is>
          <t>สรุปภาพรวม (SUMMARY)</t>
        </is>
      </c>
    </row>
    <row r="5" ht="24" customHeight="1">
      <c r="A5" s="17" t="inlineStr">
        <is>
          <t>มิติการประเมิน (TELOS+S Pillar)</t>
        </is>
      </c>
      <c r="B5" s="18" t="inlineStr">
        <is>
          <t>ด้านเทคนิค (Technical 2.2)</t>
        </is>
      </c>
      <c r="C5" s="18" t="inlineStr">
        <is>
          <t>ด้านเทคนิค (Technical 2.2)</t>
        </is>
      </c>
      <c r="D5" s="18" t="inlineStr">
        <is>
          <t>ด้านเทคนิค (Technical 2.2)</t>
        </is>
      </c>
      <c r="E5" s="18" t="inlineStr">
        <is>
          <t>ด้านเทคนิค (Technical 2.2)</t>
        </is>
      </c>
      <c r="F5" s="18" t="inlineStr">
        <is>
          <t>ด้านเศรษฐศาสตร์ (Economic 2.3)</t>
        </is>
      </c>
      <c r="G5" s="18" t="inlineStr">
        <is>
          <t>ด้านเศรษฐศาสตร์ (Economic 2.3)</t>
        </is>
      </c>
      <c r="H5" s="18" t="inlineStr">
        <is>
          <t>ด้านเศรษฐศาสตร์ (Economic 2.3)</t>
        </is>
      </c>
      <c r="I5" s="18" t="inlineStr">
        <is>
          <t>ด้านกฎหมายและหน่วยงาน (Legal 2.4)</t>
        </is>
      </c>
      <c r="J5" s="18" t="inlineStr">
        <is>
          <t>ด้านกฎหมายและหน่วยงาน (Legal 2.4)</t>
        </is>
      </c>
      <c r="K5" s="18" t="inlineStr">
        <is>
          <t>ด้านการปฏิบัติการและผู้ใช้ (Operational 2.5)</t>
        </is>
      </c>
      <c r="L5" s="18" t="inlineStr">
        <is>
          <t>ด้านการปฏิบัติการและผู้ใช้ (Operational 2.5)</t>
        </is>
      </c>
      <c r="M5" s="18" t="inlineStr">
        <is>
          <t>ด้านการปฏิบัติการและผู้ใช้ (Operational 2.5)</t>
        </is>
      </c>
      <c r="N5" s="18" t="inlineStr">
        <is>
          <t>ด้านเวลาและแผนงาน (Schedule 2.6)</t>
        </is>
      </c>
      <c r="O5" s="18" t="inlineStr">
        <is>
          <t>ด้านเวลาและแผนงาน (Schedule 2.6)</t>
        </is>
      </c>
      <c r="P5" s="18" t="inlineStr">
        <is>
          <t>ด้านเวลาและแผนงาน (Schedule 2.6)</t>
        </is>
      </c>
      <c r="Q5" s="18" t="inlineStr">
        <is>
          <t>ด้านความยั่งยืน (SDGs 2.7)</t>
        </is>
      </c>
      <c r="R5" s="18" t="inlineStr">
        <is>
          <t>ด้านความยั่งยืน (SDGs 2.7)</t>
        </is>
      </c>
      <c r="S5" s="18" t="inlineStr">
        <is>
          <t>ด้านความยั่งยืน (SDGs 2.7)</t>
        </is>
      </c>
      <c r="T5" s="19" t="inlineStr">
        <is>
          <t>ผลรวมทุกมิติ (All Pillars)</t>
        </is>
      </c>
    </row>
    <row r="6" ht="80" customHeight="1">
      <c r="A6" s="17" t="inlineStr">
        <is>
          <t>คำถามทดสอบความเสี่ยงจริง (Stress-Test Question)</t>
        </is>
      </c>
      <c r="B6" s="20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0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0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0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0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0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0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0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0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0" t="inlineStr">
        <is>
          <t>ระบบสามารถสร้างหลักฐานยืนยันที่สอดคล้องกับระเบียบการปิดงาน (Proof of Work) ของ กทม./Traffy Fondue โดยไม่ต้องบังคับให้เจ้าหน้าที่ต้องเดินทางไปถ่ายรูปซ้ำซ้อนหรือไม่?</t>
        </is>
      </c>
      <c r="L6" s="20" t="inlineStr">
        <is>
          <t>ความซับซ้อนในการติดตั้ง การบำรุงรักษา และการใช้งานโดยเจ้าหน้าที่หน้างาน (Usability &amp; Maintainability) อยู่ในระดับที่เหมาะสมและไม่สร้างภาระงานเพิ่มเติมหรือไม่?</t>
        </is>
      </c>
      <c r="M6" s="20" t="inlineStr">
        <is>
          <t>การทดสอบและติดตั้งระบบจริงหน้างาน สามารถกระทำได้อย่างปลอดภัยโดยไม่เสี่ยงต่อชีวิตของผู้พัฒนาหรือประชาชนผู้ใช้ทางหรือไม่?</t>
        </is>
      </c>
      <c r="N6" s="20" t="inlineStr">
        <is>
          <t>แผนงานและสถาปัตยกรรมระบบสามารถดูดซับช่วงสอบกลางภาค/ปลายภาคของมหาวิทยาลัย (Buffer Time 4 สัปดาห์) โดยโครงการไม่ล่าช้ากว่ากำหนดหรือไม่?</t>
        </is>
      </c>
      <c r="O6" s="20" t="inlineStr">
        <is>
          <t>ความก้าวหน้าทางวิศวกรรมสามารถบรรลุเกณฑ์การทำงานได้จริง (Working Prototype) ภายในสัปดาห์ที่ 9 ก่อนการประเมินความก้าวหน้าหลักหรือไม่?</t>
        </is>
      </c>
      <c r="P6" s="20" t="inlineStr">
        <is>
          <t>ระยะเวลาในการสั่งซื้อและขนส่งอุปกรณ์ (Lead Time) สอดคล้องกับกรอบเวลาของภาคการศึกษา โดยชิ้นส่วนหลักทั้งหมดมาถึงภายใน 14 วันหรือไม่?</t>
        </is>
      </c>
      <c r="Q6" s="20" t="inlineStr">
        <is>
          <t>ระบบส่งเสริมการลดความสูญเสียจากภัยพิบัติและสนับสนุนเมืองที่มีความยืดหยุ่นและยั่งยืน (สอดคล้องกับ SDG 11.5 และ SDG 13.1) หรือไม่?</t>
        </is>
      </c>
      <c r="R6" s="20" t="inlineStr">
        <is>
          <t>อุปกรณ์ที่นำไปติดตั้ง ไม่เสี่ยงต่อการชะล้างกลายเป็นขยะในท่อระบายน้ำ และใช้วัสดุที่ทนทาน ปลอดสารอันตราย และเป็นมิตรต่อสิ่งแวดล้อม (สอดคล้องกับ SDG 6.3 และ SDG 12.4/12.5) หรือไม่?</t>
        </is>
      </c>
      <c r="S6" s="20" t="inlineStr">
        <is>
          <t>ตรรกะการประเมินและการกรองเหตุร้องเรียน มีความโปร่งใส ตรวจสอบย้อนกลับได้ และไม่สร้างความเหลื่อมล้ำในการให้บริการของรัฐต่อประชาชนทุกกลุ่มอย่างเป็นธรรม (สอดคล้องกับ SDG 10.2 และ SDG 16.6) หรือไม่?</t>
        </is>
      </c>
      <c r="T6" s="21" t="inlineStr">
        <is>
          <t>ประเมินคำถามทั้งสิ้น 18 ข้อ</t>
        </is>
      </c>
    </row>
    <row r="7" ht="95" customHeight="1">
      <c r="A7" s="17" t="inlineStr">
        <is>
          <t>เหตุผลในการถาม &amp; โหมดความล้มเหลวที่เฝ้าระวัง (Rationale)</t>
        </is>
      </c>
      <c r="B7" s="20" t="inlineStr">
        <is>
          <t>ระบบหัวฉีดละอองน้ำขอบทาง (In-situ Misting) ปั๊มแรงดันต่ำ และท่อส่งน้ำ PE สามารถประกอบขึ้นจากข้อต่อและหัวพ่นหมอก COTS สำเร็จรูปที่มีขายทั่วไป ไม่ต้องพึ่งพา Machine Shop</t>
        </is>
      </c>
      <c r="C7" s="20" t="inlineStr">
        <is>
          <t>ใช้วงจรสวิตชิ่ง MOSFET/Relay สำเร็จรูปเชื่อมต่อแบบขันสกรู (Screw Terminal) ควบคุมวาล์วจ่ายน้ำ ร่วมกับบอร์ดไมโครคอนโทรลเลอร์สำเร็จรูป ไม่ต้องทำ Custom PCB</t>
        </is>
      </c>
      <c r="D7" s="20" t="inlineStr">
        <is>
          <t>อัลกอริทึมคำนวณอัตราการระเหยจริง (E), ฟลักซ์ความร้อนใต้ดิน (G) และแบบจำลองร่มเงาอาคาร (Urban Canyon Shadow) สามารถคำนวณแบบเรียลไทม์ในระดับมิลลิวินาทีบนไมโครคอนโทรลเลอร์</t>
        </is>
      </c>
      <c r="E7" s="20" t="inlineStr">
        <is>
          <t>ลมกระโชกแรงอาจพัดละอองน้ำออกจากพื้นที่เป้าหมาย และตะกอนในน้ำอาจทำให้หัวฉีดตัน แต่ระบบมี Sauna Effect Guard ตัดการพ่นเมื่อลมสงบ/ความชื้นสูง และมีไส้กรองน้ำในตัว</t>
        </is>
      </c>
      <c r="F7" s="20" t="inlineStr">
        <is>
          <t>อุปกรณ์ชุดทดสอบขนาดเล็ก (ปั๊มน้ำไดอะแฟรม 12V + หัวพ่นหมอก 5 หัว + ท่อ PE + โซลินอยด์วาล์ว + เซนเซอร์วัดอุณหภูมิผิวทาง IR) มีงบประมาณรวมประมาณ 3,200 - 3,800 บาท ควบคุมได้ดี</t>
        </is>
      </c>
      <c r="G7" s="20" t="inlineStr">
        <is>
          <t>หัวพ่นหมอกและข้อต่อท่อมีราคาถูกมาก สามารถซื้อสำรองได้หลายชุด และบอร์ดควบคุมมีงบสำรองเพียงพอ</t>
        </is>
      </c>
      <c r="H7" s="20" t="inlineStr">
        <is>
          <t>การพ่นละอองน้ำฟิล์มบางมาก (0.2-0.4 mm) ประหยัดน้ำกว่ารถฉีดน้ำของเทศบาลถึง 40-50% และประหยัดค่าน้ำมันรถบรรทุกน้ำได้อย่างชัดเจน</t>
        </is>
      </c>
      <c r="I7" s="20" t="inlineStr">
        <is>
          <t>การควบคุมปริมาณน้ำให้อยู่ในระดับฟิล์มบาง (0.2-0.4 mm) ปลอดภัยต่อการลื่นไถลของรถยนต์และมอเตอร์ไซค์ ไม่ละเมิดกฎหมายจราจร และไม่มีกล้องส่องหน้าคนจึงไม่ติด PDPA</t>
        </is>
      </c>
      <c r="J7" s="20" t="inlineStr">
        <is>
          <t>อุปกรณ์ใช้ Wi-Fi/Bluetooth ผ่าน กสทช. และการลดเกาะความร้อนเมืองสอดคล้องกับนโยบายเมืองสีเขียวและสิ่งแวดล้อมของ กทม.</t>
        </is>
      </c>
      <c r="K7" s="20" t="inlineStr">
        <is>
          <t>ระบบสามารถบันทึกกราฟอุณหภูมิผิวถนนก่อนและหลังการพ่นน้ำ พร้อมบันทึกปริมาณน้ำที่ใช้ เพื่อสร้างรายงานดิจิทัลสรุปประสิทธิภาพการระบายความร้อนได้อัตโนมัติ</t>
        </is>
      </c>
      <c r="L7" s="20" t="inlineStr">
        <is>
          <t>ระบบทำงานอัตโนมัติตามเซนเซอร์ตรวจวัด เจ้าหน้าที่เพียงเติมน้ำในถังพักและตรวจเช็กไส้กรองเดือนละครั้ง</t>
        </is>
      </c>
      <c r="M7" s="20" t="inlineStr">
        <is>
          <t>การติดตั้งหัวฉีดละอองน้ำบริเวณริมทางเท้าหรือเกาะกลางถนน มีความปลอดภัยสูง ไม่ต้องลงไปในท่อระบายน้ำหรือพื้นที่เสี่ยงอันตราย</t>
        </is>
      </c>
      <c r="N7" s="20" t="inlineStr">
        <is>
          <t>การคำนวณสมการความร้อนแฝงและการทดสอบหัวฉีดในห้องปฏิบัติการสามารถทำแยกส่วนได้อย่างอิสระ มีความยืดหยุ่นสูงต่อตารางสอบ</t>
        </is>
      </c>
      <c r="O7" s="20" t="inlineStr">
        <is>
          <t>สามารถประกอบชุดพ่นละอองต้นแบบและเซนเซอร์วัดอุณหภูมิให้ทำงานประสานกันได้จริงบนถนนจำลองก่อนสัปดาห์ที่ 9</t>
        </is>
      </c>
      <c r="P7" s="20" t="inlineStr">
        <is>
          <t>หัวพ่นหมอก ปั๊ม 12V ท่อ PE และเซนเซอร์ มีจำหน่ายในประเทศทั้งหมด จัดส่งได้ใน 2-4 วัน</t>
        </is>
      </c>
      <c r="Q7" s="20" t="inlineStr">
        <is>
          <t>ส่งเสริมการรับมือกับวิกฤตการเปลี่ยนแปลงสภาพภูมิอากาศ (SDG 13.1) และลดความเสี่ยงจากคลื่นความร้อนในเมือง (Extreme Heat Events) เพิ่มความน่าอยู่ของเมือง (SDG 11)</t>
        </is>
      </c>
      <c r="R7" s="20" t="inlineStr">
        <is>
          <t>ใช้น้ำในปริมาณฟิล์มบางมาก (Micro-dosing) ทำให้น้ำระเหยหมด ไม่เกิดน้ำเน่าเสียขังบนถนน และหัวฉีดติดตั้งถาวรบนขอบทาง ไม่หลุดลอยเป็นขยะ</t>
        </is>
      </c>
      <c r="S7" s="20" t="inlineStr">
        <is>
          <t>การลดความร้อนในพื้นที่สาธารณะและทางเดินเท้าช่วยคุ้มครองกลุ่มเปราะบาง (คนเดินเท้า ผู้สูงอายุ ผู้ใช้แรงงานกลางแจ้ง) จากโรคลมแดดอย่างเสมอภาค</t>
        </is>
      </c>
      <c r="T7" s="21" t="inlineStr">
        <is>
          <t>สังเคราะห์จาก AI Agents Group 2</t>
        </is>
      </c>
    </row>
    <row r="8" ht="150" customHeight="1">
      <c r="A8" s="17" t="inlineStr">
        <is>
          <t>เกณฑ์การให้คะแนน (Scoring Rubric Definition: ระดับ 1, 2, 3, 4, 5 ครบทุกระดับ)</t>
        </is>
      </c>
      <c r="B8" s="20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0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0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0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0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0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0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0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0" t="inlineStr">
        <is>
          <t>1: คลื่นวิทยุไม่ผ่าน กสทช. และไม่มีช่องทางติดต่อหน่วยงานรัฐ ถูกสั่งระงับแน่นอน (Fatal Flaw)
2: คลื่นวิทยุผ่านเกณฑ์ แต่การประสานงานราชการมีความล่าช้าสูงเกิน 2 เดือน
3: มีหนังสือรับรองจากมหาวิทยาลัย อยู่ระหว่างการยื่นขออนุญาตใช้พื้นที่ติดตั้ง
4: โมดูลสื่อสารผ่าน กสทช. และมีเครือข่ายความร่วมมือกับเจ้าหน้าที่เขตในระดับปฏิบัติการ
5: โมดูลผ่าน กสทช. 100% และได้รับอนุญาตเป็นลายลักษณ์อักษรจากสำนักการระบายน้ำ กทม. ให้ทดสอบระบบ</t>
        </is>
      </c>
      <c r="K8" s="20" t="inlineStr">
        <is>
          <t>1: ไม่สามารถสร้างหลักฐานใด ๆ ได้ บังคับให้คนต้องลงไปดูหน้างานเหมือนเดิม 100% (Fatal Flaw)
2: สร้างได้เฉพาะตัวเลขดิบที่เจ้าหน้าที่หน้างานอ่านไม่เข้าใจ ต้องแปลผลด้วยผู้เชี่ยวชาญ
3: สร้างรายงานสรุปได้แต่ยังต้องอาศัยรูปถ่ายจากกล้องมือถือของเจ้าหน้าที่ยืนยันซ้ำ
4: ส่งออกบัตรหลักฐานดิจิทัล (Digital Evidence Card) พร้อมระดับความเสี่ยงที่อ่านเข้าใจง่ายใน 3 วินาที
5: เชื่อมต่อ API ปิดเรื่องอัตโนมัติ พร้อมภาพถ่ายกราฟวิเคราะห์และพิกัด GPS ที่ระเบียบราชการยอมรับ</t>
        </is>
      </c>
      <c r="L8" s="20" t="inlineStr">
        <is>
          <t>1: ใช้งานยากมาก ต้องใช้ผู้เชี่ยวชาญระดับปริญญาโทคอยควบคุมตลอดเวลา (Fatal Flaw)
2: มีขั้นตอนการปรับเทียบ (Calibration) หน้างานซับซ้อนเกิน 30 นาทีต่อครั้ง
3: เจ้าหน้าที่ต้องผ่านการอบรมอย่างน้อย 1-2 วันจึงจะใช้งานและบำรุงรักษาได้
4: ใช้งานง่าย มีคู่มือปฏิบัติการหน้างานชัดเจน บำรุงรักษาได้ด้วยเครื่องมือช่างทั่วไป
5: ทำงานแบบ Plug-and-Play กดปุ่มเดียวทำงานอัตโนมัติ เจ้าหน้าที่หน้างานใช้งานได้ทันทีโดยไม่ต้องอบรมซับซ้อน</t>
        </is>
      </c>
      <c r="M8" s="20" t="inlineStr">
        <is>
          <t>1: มีความเสี่ยงต่อชีวิตอย่างร้ายแรง (เช่น ต้องลุยน้ำเชี่ยวกลางพายุ หรือเปิดฝาท่อบนถนนโดยไม่มีการกั้นทาง / Fatal Flaw)
2: สภาพแวดล้อมหน้างานมีความเสี่ยงปานกลาง ต้องมีอุปกรณ์ป้องกันภัยส่วนบุคคล (PPE) ครบชุดและมีพี่เลี้ยงคุม
3: มีความปลอดภัยปานกลาง ทดสอบได้เฉพาะริมตลิ่งหรือจุดที่มีราวกั้นชัดเจน
4: ปลอดภัยสูง ติดตั้งจากบนสะพานคนเดินหรือผิวทางเท้าโดยไม่ต้องสัมผัสน้ำตรง ๆ
5: ปลอดภัย 100% ออกแบบให้ติดตั้งและทดสอบได้จากระยะไกล มีระบบตัดไฟอัตโนมัติเมื่อเกิดเหตุฉุกเฉิน</t>
        </is>
      </c>
      <c r="N8" s="20" t="inlineStr">
        <is>
          <t>1: แผนงานแน่นเอี้ยดแบบเส้นตรง (Linear Dependency) หากติดสอบเพียง 1 สัปดาห์ โครงการจะพังทันที (Fatal Flaw)
2: มีเวลาสำรองเพียง 3-5 วัน เสี่ยงต่อการส่งมอบงานช้าเมื่อติดภารกิจการเรียน
3: มีเวลาสำรอง 1-2 สัปดาห์ สามารถเลื่อนแผนงานได้บางส่วนแต่ต้องเร่งงานหลังสอบ
4: มี Buffer Time ชัดเจน 3-4 สัปดาห์ และแบ่งงานเป็นโมดูลอิสระที่ทำคู่ขนานกันได้
5: สถาปัตยกรรมระบบเสร็จสมบูรณ์ตั้งแต่สัปดาห์ที่ 8 มีเวลาทดสอบและปรับปรุงหน้างานมากกว่า 5 สัปดาห์</t>
        </is>
      </c>
      <c r="O8" s="20" t="inlineStr">
        <is>
          <t>1: มีความเสี่ยงสูงมากที่จะยังไม่มีอุปกรณ์ใด ๆ ทำงานได้ในสัปดาห์ที่ 9 (Fatal Flaw)
2: ในสัปดาห์ที่ 9 ได้เพียงแค่การทดลองบนโต๊ะแล็บแบบแยกส่วน ยังไม่สามารถรวมระบบได้
3: ในสัปดาห์ที่ 9 ระบบสามารถทำงานร่วมกันได้บนโต๊ะแล็บ แต่อุปกรณ์ยังไม่พร้อมลงน้ำจริง
4: ภายในสัปดาห์ที่ 9 มีต้นแบบฮาร์ดแวร์และซอฟต์แวร์ที่พร้อมนำไปทดสอบในสภาพแวดล้อมจริง
5: ต้นแบบเสร็จสมบูรณ์และผ่านการทดสอบภาคสนามเบื้องต้นเรียบร้อยแล้วตั้งแต่ก่อนสัปดาห์ที่ 9</t>
        </is>
      </c>
      <c r="P8" s="20" t="inlineStr">
        <is>
          <t>1: ต้องสั่งซื้อชิ้นส่วนพิเศษจากต่างประเทศที่ใช้เวลาส่งเกิน 4-6 สัปดาห์ เสี่ยงต่อการไม่มีของทำโครงงาน (Fatal Flaw)
2: มีชิ้นส่วนหลักบางชิ้นที่ต้องรอของ 3-4 สัปดาห์ ทำให้เริ่มงานฮาร์ดแวร์ได้ช้า
3: ชิ้นส่วนทั้งหมดใช้เวลาจัดส่ง 2-3 สัปดาห์ ต้องเริ่มสั่งซื้อตั้งแต่วันแรกของโครงการ
4: ชิ้นส่วนเกือบทั้งหมดสามารถจัดซื้อในประเทศได้ ได้รับของภายใน 7-10 วัน
5: ชิ้นส่วนทั้งหมด 100% มีจำหน่ายในประเทศและสามารถจัดส่งถึงมือได้ภายใน 2-3 วัน</t>
        </is>
      </c>
      <c r="Q8" s="20" t="inlineStr">
        <is>
          <t>1: โครงการไม่มีส่วนเกี่ยวข้องหรืออาจส่งผลเสียต่อเป้าหมายความยั่งยืน (Fatal Flaw)
2: สนับสนุนความยั่งยืนในทางอ้อมอย่างผิวเผิน แต่ไม่มีตัวชี้วัดที่ชัดเจน
3: ส่งเสริมการลดผลกระทบน้ำท่วมได้บางส่วน แต่จำกัดเฉพาะจุดติดตั้งขนาดเล็ก
4: สอดคล้องกับ SDG 11.5 ชัดเจน ช่วยลดเวลาและพื้นที่น้ำท่วมขังบนถนนสายสำคัญ
5: สอดคล้องกับ SDG 11.5 และ SDG 13.1 อย่างเป็นรูปธรรม มีโมเดลการประเมินลดความสูญเสียทางเศรษฐกิจและภัยพิบัติของเมืองอย่างยั่งยืน</t>
        </is>
      </c>
      <c r="R8" s="20" t="inlineStr">
        <is>
          <t>1: มีความเสี่ยงสูงที่อุปกรณ์จะหลุดลอยกลายเป็นขยะอุดตันท่อระบายน้ำ หรือใช้วัสดุเป็นพิษต่อระบบนิเวศ (Fatal Flaw)
2: อุปกรณ์ใช้วัสดุที่ไม่ทนต่อการกัดกร่อน อาจเกิดการชำรุดและตกค้างในสิ่งแวดล้อม
3: ติดตั้งแข็งแรงปานกลาง มีโอกาสหลุดลอยหากเจอน้ำหลากระดับรุนแรง
4: ใช้วัสดุไม่เป็นพิษ ตัวกล่องปิดมิดชิด มีระบบยึดเหนี่ยวที่แข็งแรงทนทานต่อกระแสน้ำ
5: อุปกรณ์หย่อนชั่วคราวและดึงกลับ 100% พร้อมสายสลิงนิรภัยสองชั้น ปลอดภัยต่อระบบนิเวศน้ำและไม่สร้างขยะในท่อ</t>
        </is>
      </c>
      <c r="S8" s="20" t="inlineStr">
        <is>
          <t>1: ตรรกะของระบบเป็นกล่องดำ (Black Box) หรือลำเอียงตัดการช่วยเหลือในพื้นที่เปราะบาง (Fatal Flaw)
2: เกณฑ์การตัดสินใจไม่ชัดเจน อาจนำไปสู่การเลือกปฏิบัติต่อบางชุมชนโดยไม่ตั้งใจ
3: ตรรกะตรวจสอบได้บางส่วน แต่ยังไม่มีกระบวนการอุทธรณ์หรือทบทวนจากมนุษย์
4: ตรรกะโปร่งใส มีเกณฑ์คะแนนชัดเจน ให้ความสำคัญกับทุกพื้นที่อย่างเท่าเทียมตามระดับความรุนแรง
5: โปร่งใส 100% ตรวจสอบย้อนกลับได้ทุกการตัดสินใจ สอดคล้องกับ SDG 10.2 และ SDG 16.6 เสริมสร้างธรรมาภิบาลภาครัฐ</t>
        </is>
      </c>
      <c r="T8" s="21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2" t="inlineStr">
        <is>
          <t>คะแนนที่ได้รับ (ASSIGNED SCORE: 1, 2, 3, 4, 5 STRICT INTEGER)</t>
        </is>
      </c>
      <c r="B9" s="23" t="n">
        <v>4</v>
      </c>
      <c r="C9" s="23" t="n">
        <v>4</v>
      </c>
      <c r="D9" s="23" t="n">
        <v>5</v>
      </c>
      <c r="E9" s="23" t="n">
        <v>3</v>
      </c>
      <c r="F9" s="23" t="n">
        <v>4</v>
      </c>
      <c r="G9" s="23" t="n">
        <v>4</v>
      </c>
      <c r="H9" s="23" t="n">
        <v>4</v>
      </c>
      <c r="I9" s="23" t="n">
        <v>4</v>
      </c>
      <c r="J9" s="23" t="n">
        <v>4</v>
      </c>
      <c r="K9" s="23" t="n">
        <v>4</v>
      </c>
      <c r="L9" s="23" t="n">
        <v>4</v>
      </c>
      <c r="M9" s="23" t="n">
        <v>4</v>
      </c>
      <c r="N9" s="23" t="n">
        <v>4</v>
      </c>
      <c r="O9" s="23" t="n">
        <v>4</v>
      </c>
      <c r="P9" s="23" t="n">
        <v>5</v>
      </c>
      <c r="Q9" s="23" t="n">
        <v>5</v>
      </c>
      <c r="R9" s="23" t="n">
        <v>5</v>
      </c>
      <c r="S9" s="23" t="n">
        <v>4</v>
      </c>
      <c r="T9" s="24">
        <f>IF(T10&gt;0, (T11/T10)*20, 0)</f>
        <v/>
      </c>
    </row>
    <row r="10" ht="22" customHeight="1">
      <c r="A10" s="17" t="inlineStr">
        <is>
          <t>ค่าน้ำหนัก (Weight %)</t>
        </is>
      </c>
      <c r="B10" s="25" t="n">
        <v>0.05</v>
      </c>
      <c r="C10" s="25" t="n">
        <v>0.05</v>
      </c>
      <c r="D10" s="25" t="n">
        <v>0.05</v>
      </c>
      <c r="E10" s="25" t="n">
        <v>0.05</v>
      </c>
      <c r="F10" s="25" t="n">
        <v>0.0667</v>
      </c>
      <c r="G10" s="25" t="n">
        <v>0.0667</v>
      </c>
      <c r="H10" s="25" t="n">
        <v>0.06660000000000001</v>
      </c>
      <c r="I10" s="25" t="n">
        <v>0.075</v>
      </c>
      <c r="J10" s="25" t="n">
        <v>0.075</v>
      </c>
      <c r="K10" s="25" t="n">
        <v>0.0667</v>
      </c>
      <c r="L10" s="25" t="n">
        <v>0.0667</v>
      </c>
      <c r="M10" s="25" t="n">
        <v>0.06660000000000001</v>
      </c>
      <c r="N10" s="25" t="n">
        <v>0.05</v>
      </c>
      <c r="O10" s="25" t="n">
        <v>0.05</v>
      </c>
      <c r="P10" s="25" t="n">
        <v>0.05</v>
      </c>
      <c r="Q10" s="25" t="n">
        <v>0.0333</v>
      </c>
      <c r="R10" s="25" t="n">
        <v>0.0333</v>
      </c>
      <c r="S10" s="25" t="n">
        <v>0.0334</v>
      </c>
      <c r="T10" s="25">
        <f>SUM(B10:S10)</f>
        <v/>
      </c>
    </row>
    <row r="11" ht="24" customHeight="1">
      <c r="A11" s="17" t="inlineStr">
        <is>
          <t>คะแนนถ่วงน้ำหนัก (=Score * Weight)</t>
        </is>
      </c>
      <c r="B11" s="26">
        <f>B9*B10</f>
        <v/>
      </c>
      <c r="C11" s="26">
        <f>C9*C10</f>
        <v/>
      </c>
      <c r="D11" s="26">
        <f>D9*D10</f>
        <v/>
      </c>
      <c r="E11" s="26">
        <f>E9*E10</f>
        <v/>
      </c>
      <c r="F11" s="26">
        <f>F9*F10</f>
        <v/>
      </c>
      <c r="G11" s="26">
        <f>G9*G10</f>
        <v/>
      </c>
      <c r="H11" s="26">
        <f>H9*H10</f>
        <v/>
      </c>
      <c r="I11" s="26">
        <f>I9*I10</f>
        <v/>
      </c>
      <c r="J11" s="26">
        <f>J9*J10</f>
        <v/>
      </c>
      <c r="K11" s="26">
        <f>K9*K10</f>
        <v/>
      </c>
      <c r="L11" s="26">
        <f>L9*L10</f>
        <v/>
      </c>
      <c r="M11" s="26">
        <f>M9*M10</f>
        <v/>
      </c>
      <c r="N11" s="26">
        <f>N9*N10</f>
        <v/>
      </c>
      <c r="O11" s="26">
        <f>O9*O10</f>
        <v/>
      </c>
      <c r="P11" s="26">
        <f>P9*P10</f>
        <v/>
      </c>
      <c r="Q11" s="26">
        <f>Q9*Q10</f>
        <v/>
      </c>
      <c r="R11" s="26">
        <f>R9*R10</f>
        <v/>
      </c>
      <c r="S11" s="26">
        <f>S9*S10</f>
        <v/>
      </c>
      <c r="T11" s="26">
        <f>SUM(B11:S11)</f>
        <v/>
      </c>
    </row>
    <row r="12" ht="115" customHeight="1">
      <c r="A12" s="17" t="inlineStr">
        <is>
          <t>คำอธิบาย &amp; หลักฐานอ้างอิงจากไฟล์ Intake (Evidence Citation)</t>
        </is>
      </c>
      <c r="B12" s="20" t="inlineStr">
        <is>
          <t>อ้างอิง solution-5_uhi_latent_heat.md ข้อ 3.3 อุปกรณ์หัวพ่นหมอกและปั๊มน้ำสำเร็จรูป COTS</t>
        </is>
      </c>
      <c r="C12" s="20" t="inlineStr">
        <is>
          <t>อ้างอิง team-skills/due.md และ jk.md ในการใช้งานบอร์ดควบคุมและวงจรขับรีเลย์สำเร็จรูป</t>
        </is>
      </c>
      <c r="D12" s="20" t="inlineStr">
        <is>
          <t>อ้างอิง solution-5_uhi_latent_heat.md ข้อ 3.1 แบบจำลองฟลักซ์ความร้อนและร่มเงาอาคาร คำนวณรวดเร็ว</t>
        </is>
      </c>
      <c r="E12" s="20" t="inlineStr">
        <is>
          <t>อ้างอิง solution-5_uhi_latent_heat.md ข้อ 4.1 ลมกระโชกแรงและสิ่งแขวนลอยในน้ำอาจรบกวนการทำงาน</t>
        </is>
      </c>
      <c r="F12" s="20" t="inlineStr">
        <is>
          <t>อ้างอิง BOM ประมาณการ: ปั๊ม 12V (350 บาท), หัวพ่นหมอก (200 บาท), โซลินอยด์วาล์ว (250 บาท), เซนเซอร์ IR MLX90614 (400 บาท), บอร์ด ESP32 (180 บาท)</t>
        </is>
      </c>
      <c r="G12" s="20" t="inlineStr">
        <is>
          <t>อะไหล่หัวพ่นหมอกและท่อมีราคาหลักสิบบาท จัดซื้อสำรองได้ 100%</t>
        </is>
      </c>
      <c r="H12" s="20" t="inlineStr">
        <is>
          <t>อ้างอิง solution-5_uhi_latent_heat.md ข้อ 2 ประหยัดน้ำและลดการวิ่งรถฉีดน้ำได้กว่า 40-50%</t>
        </is>
      </c>
      <c r="I12" s="20" t="inlineStr">
        <is>
          <t>อ้างอิง solution-5_uhi_latent_heat.md ข้อ 3.2 การควบคุมฟิล์มน้ำบางปลอดภัย ไม่ทำให้เกิด Hydroplaning</t>
        </is>
      </c>
      <c r="J12" s="20" t="inlineStr">
        <is>
          <t>โมดูล ESP32 ผ่าน กสทช. และได้รับความสนใจจากฝ่ายสิ่งแวดล้อมสำนักงานเขต</t>
        </is>
      </c>
      <c r="K12" s="20" t="inlineStr">
        <is>
          <t>อ้างอิง solution-5_uhi_latent_heat.md ข้อ 4.2 ระบบบันทึกกราฟอุณหภูมิและฟลักซ์ความร้อน</t>
        </is>
      </c>
      <c r="L12" s="20" t="inlineStr">
        <is>
          <t>อ้างอิง solution-5_uhi_latent_heat.md ข้อ 3.3 ระบบอัตโนมัติแบบ Multi-tier Actuation</t>
        </is>
      </c>
      <c r="M12" s="20" t="inlineStr">
        <is>
          <t>ติดตั้งบนผิวทางเท้า ปลอดภัย 100% ต่อทีมงานและประชาชน</t>
        </is>
      </c>
      <c r="N12" s="20" t="inlineStr">
        <is>
          <t>ทีมงานแบ่งหน้าที่ชัดเจน ฮาร์ดแวร์ท่อส่งน้ำ (Fifa) และระบบควบคุม (Due, JK)</t>
        </is>
      </c>
      <c r="O12" s="20" t="inlineStr">
        <is>
          <t>ชิ้นส่วนประกอบง่าย ไม่ซับซ้อน ทำให้สร้างต้นแบบเสร็จได้เร็ว</t>
        </is>
      </c>
      <c r="P12" s="20" t="inlineStr">
        <is>
          <t>อุปกรณ์ทั้งหมด 100% มีขายในร้านค้าออนไลน์และร้านฮาร์ดแวร์ในประเทศ</t>
        </is>
      </c>
      <c r="Q12" s="20" t="inlineStr">
        <is>
          <t>อ้างอิง sdg-rulebook goal-13 (Climate Action) และ goal-11 (Sustainable Cities)</t>
        </is>
      </c>
      <c r="R12" s="20" t="inlineStr">
        <is>
          <t>อ้างอิง solution-5_uhi_latent_heat.md ข้อ 3.2 ฟิล์มน้ำบางปลอดภัย ระเหยหมด ไม่สร้างน้ำเสีย</t>
        </is>
      </c>
      <c r="S12" s="20" t="inlineStr">
        <is>
          <t>อ้างอิงเป้าหมายการคุ้มครองสุขภาพประชาชนในพื้นที่เมืองหนาแน่นอย่างเท่าเทียม</t>
        </is>
      </c>
      <c r="T12" s="27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7" t="inlineStr">
        <is>
          <t>แผนลดขอบเขตงาน &amp; มาตรการลดความเสี่ยง (De-scoping Action)</t>
        </is>
      </c>
      <c r="B13" s="20" t="inlineStr">
        <is>
          <t>ใช้ชุดหัวพ่นหมอกทองเหลือง COTS สำเร็จรูปพร้อมท่อ PE มาตรฐานงานสวน</t>
        </is>
      </c>
      <c r="C13" s="20" t="inlineStr">
        <is>
          <t>ใช้ Solid State Relay Module แบบ Screw Terminal สำเร็จรูปเพื่อตัดต่อการทำงานของปั๊มน้ำ</t>
        </is>
      </c>
      <c r="D13" s="20" t="inlineStr">
        <is>
          <t>เขียนฟังก์ชันคำนวณฟลักซ์ความร้อนด้วยภาษา C++ บนไมโครคอนโทรลเลอร์</t>
        </is>
      </c>
      <c r="E13" s="20" t="inlineStr">
        <is>
          <t>ติดตั้งไส้กรองน้ำขนาด 100 เมช ดักตะกอนก่อนเข้าหัวฉีด และตัดการทำงานเมื่อลมแรงเกิน 3 m/s</t>
        </is>
      </c>
      <c r="F13" s="20" t="inlineStr">
        <is>
          <t>สร้างชุดทดสอบขนาดความยาว 5 เมตรสำหรับจำลองการพ่นละอองบนโต๊ะทดลอง</t>
        </is>
      </c>
      <c r="G13" s="20" t="inlineStr">
        <is>
          <t>สำรองหัวพ่นหมอก 5 หัว และโซลินอยด์วาล์ว 1 ตัว</t>
        </is>
      </c>
      <c r="H13" s="20" t="inlineStr">
        <is>
          <t>คำนวณปริมาณน้ำที่ประหยัดได้ต่อวันเทียบกับรถบรรทุกน้ำเทศบาล</t>
        </is>
      </c>
      <c r="I13" s="20" t="inlineStr">
        <is>
          <t>ติดตั้งป้ายแจ้งเตือนละอองน้ำระบายความร้อนเพื่อสร้างความเข้าใจแก่ผู้ใช้ทางเท้า</t>
        </is>
      </c>
      <c r="J13" s="20" t="inlineStr">
        <is>
          <t>ประสานงานขอใช้พื้นที่ทางเท้าหน้าคณะวิศวกรรมศาสตร์เพื่อทดสอบระบบ</t>
        </is>
      </c>
      <c r="K13" s="20" t="inlineStr">
        <is>
          <t>สร้างรายงานสรุปอุณหภูมิผิวทางที่ลดลงเป็นรูปภาพส่งเข้าแอปพลิเคชัน</t>
        </is>
      </c>
      <c r="L13" s="20" t="inlineStr">
        <is>
          <t>ออกแบบระบบทำความสะอาดหัวฉีดอัตโนมัติด้วยแรงดันย้อนกลับ</t>
        </is>
      </c>
      <c r="M13" s="20" t="inlineStr">
        <is>
          <t>ทดสอบบนพื้นที่ลานกิจกรรมกลางแจ้งของมหาวิทยาลัย</t>
        </is>
      </c>
      <c r="N13" s="20" t="inlineStr">
        <is>
          <t>จำลองการระเหยของน้ำในคอมพิวเตอร์ช่วงสัปดาห์สอบ</t>
        </is>
      </c>
      <c r="O13" s="20" t="inlineStr">
        <is>
          <t>ส่งมอบผลการลดอุณหภูมิบนแผ่นแอสฟัลต์จำลองเป็น Milestone สัปดาห์ที่ 9</t>
        </is>
      </c>
      <c r="P13" s="20" t="inlineStr">
        <is>
          <t>จัดซื้อผ่านร้านค้าท้องถิ่นที่สามารถรับของได้ทันที</t>
        </is>
      </c>
      <c r="Q13" s="20" t="inlineStr">
        <is>
          <t>วัดค่าอุณหภูมิดัชนีความร้อน (Heat Index) ที่ลดลงในพื้นที่สาธารณะ</t>
        </is>
      </c>
      <c r="R13" s="20" t="inlineStr">
        <is>
          <t>ใช้วัสดุหัวพ่นทองเหลืองไร้สารตะกั่ว ปลอดภัยต่อสิ่งแวดล้อม</t>
        </is>
      </c>
      <c r="S13" s="20" t="inlineStr">
        <is>
          <t>จัดทำตารางเกณฑ์อุณหภูมิและการพ่นน้ำเปิดเผยแก่สาธารณะ</t>
        </is>
      </c>
      <c r="T13" s="19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2026-09-23T08:04:45Z</dcterms:created>
  <dcterms:modified xsi:type="dcterms:W3CDTF">2026-09-23T08:04:45Z</dcterms:modified>
</cp:coreProperties>
</file>