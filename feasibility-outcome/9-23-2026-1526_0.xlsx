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ทุก Solution" sheetId="1" state="visible" r:id="rId1"/>
    <sheet name="Solution-1" sheetId="2" state="visible" r:id="rId2"/>
    <sheet name="Solution-2" sheetId="3" state="visible" r:id="rId3"/>
    <sheet name="Solution-3" sheetId="4" state="visible" r:id="rId4"/>
    <sheet name="Solution-4" sheetId="5" state="visible" r:id="rId5"/>
    <sheet name="Solution-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9">
    <font>
      <name val="Calibri"/>
      <family val="2"/>
      <color theme="1"/>
      <sz val="11"/>
      <scheme val="minor"/>
    </font>
    <font>
      <name val="Segoe UI"/>
      <b val="1"/>
      <color rgb="001F497D"/>
      <sz val="13"/>
    </font>
    <font>
      <name val="Segoe UI"/>
      <i val="1"/>
      <color rgb="00595959"/>
      <sz val="9.5"/>
    </font>
    <font>
      <name val="Segoe UI"/>
      <b val="1"/>
      <color rgb="001F497D"/>
      <sz val="11"/>
    </font>
    <font>
      <name val="Segoe UI"/>
      <b val="1"/>
      <color rgb="00FFFFFF"/>
      <sz val="10"/>
    </font>
    <font>
      <name val="Segoe UI"/>
      <b val="1"/>
      <sz val="9.5"/>
    </font>
    <font>
      <name val="Segoe UI"/>
      <sz val="9"/>
    </font>
    <font>
      <name val="Segoe UI"/>
      <b val="1"/>
      <color rgb="00002060"/>
      <sz val="15"/>
    </font>
    <font>
      <name val="Segoe UI"/>
      <b val="1"/>
      <color rgb="00006100"/>
      <sz val="16"/>
    </font>
    <font>
      <name val="Segoe UI"/>
      <b val="1"/>
      <color rgb="00006100"/>
      <sz val="12"/>
    </font>
    <font>
      <name val="Segoe UI"/>
      <b val="1"/>
      <color rgb="00002060"/>
      <sz val="10"/>
    </font>
    <font>
      <name val="Segoe UI"/>
      <b val="1"/>
      <color rgb="00002060"/>
      <sz val="11"/>
    </font>
    <font>
      <name val="Segoe UI"/>
      <b val="1"/>
      <color rgb="00002060"/>
      <sz val="14"/>
    </font>
    <font>
      <name val="Segoe UI"/>
      <b val="1"/>
      <color rgb="001F497D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006100"/>
      <sz val="13"/>
    </font>
  </fonts>
  <fills count="9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97D"/>
        <bgColor rgb="001F497D"/>
      </patternFill>
    </fill>
    <fill>
      <patternFill patternType="solid">
        <fgColor rgb="00002060"/>
        <bgColor rgb="00002060"/>
      </patternFill>
    </fill>
    <fill>
      <patternFill patternType="solid">
        <fgColor rgb="00DCE6F1"/>
        <bgColor rgb="00DCE6F1"/>
      </patternFill>
    </fill>
    <fill>
      <patternFill patternType="solid">
        <fgColor rgb="00C6EFCE"/>
        <bgColor rgb="00C6EFCE"/>
      </patternFill>
    </fill>
    <fill>
      <patternFill patternType="solid">
        <fgColor rgb="00366092"/>
        <bgColor rgb="00366092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left" vertical="center" wrapText="1"/>
    </xf>
    <xf numFmtId="165" fontId="18" fillId="6" borderId="1" applyAlignment="1" pivotButton="0" quotePrefix="0" xfId="0">
      <alignment horizontal="center" vertical="center"/>
    </xf>
    <xf numFmtId="2" fontId="16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165" fontId="11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2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wrapText="1"/>
    </xf>
    <xf numFmtId="0" fontId="4" fillId="4" borderId="1" applyAlignment="1" pivotButton="0" quotePrefix="0" xfId="0">
      <alignment horizontal="left" vertical="center" wrapText="1"/>
    </xf>
    <xf numFmtId="1" fontId="7" fillId="5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2" fontId="10" fillId="5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2" fontId="11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165" fontId="1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4" customWidth="1" min="3" max="3"/>
    <col width="18" customWidth="1" min="4" max="4"/>
    <col width="14" customWidth="1" min="5" max="5"/>
    <col width="17" customWidth="1" min="6" max="6"/>
    <col width="14" customWidth="1" min="7" max="7"/>
    <col width="16" customWidth="1" min="8" max="8"/>
    <col width="14" customWidth="1" min="9" max="9"/>
    <col width="14" customWidth="1" min="10" max="10"/>
    <col width="28" customWidth="1" min="11" max="11"/>
    <col width="35" customWidth="1" min="12" max="12"/>
    <col width="35" customWidth="1" min="13" max="13"/>
    <col width="35" customWidth="1" min="14" max="14"/>
    <col width="22" customWidth="1" min="15" max="15"/>
    <col width="45" customWidth="1" min="16" max="16"/>
  </cols>
  <sheetData>
    <row r="1">
      <c r="A1" s="1" t="inlineStr">
        <is>
          <t>ตารางเปรียบเทียบความเป็นไปได้ของทุกข้อเสนอ (Multi-Solution Feasibility Summary)</t>
        </is>
      </c>
    </row>
    <row r="2">
      <c r="A2" s="2" t="inlineStr">
        <is>
          <t>วิเคราะห์เปรียบเทียบเชิงระบบ (Systems-Thinking) ตามเกณฑ์ TELOS+S (เต็ม 100) และเมทริกซ์ศักยภาพด้านวิศวกรรมหุ่นยนต์ (เต็ม 10 แยกอิสระ)</t>
        </is>
      </c>
    </row>
    <row r="4" ht="28" customHeight="1">
      <c r="A4" s="3" t="inlineStr">
        <is>
          <t>ลำดับ</t>
        </is>
      </c>
      <c r="B4" s="3" t="inlineStr">
        <is>
          <t>รหัสข้อเสนอ (Solution ID)</t>
        </is>
      </c>
      <c r="C4" s="3" t="inlineStr">
        <is>
          <t>ชื่อแนวทางแก้ปัญหา (Title / Concept)</t>
        </is>
      </c>
      <c r="D4" s="3" t="inlineStr">
        <is>
          <t>คะแนนรวม (เต็ม 100)</t>
        </is>
      </c>
      <c r="E4" s="3" t="inlineStr">
        <is>
          <t>T: เทคนิค (/20)</t>
        </is>
      </c>
      <c r="F4" s="3" t="inlineStr">
        <is>
          <t>E: เศรษฐศาสตร์ (/20)</t>
        </is>
      </c>
      <c r="G4" s="3" t="inlineStr">
        <is>
          <t>L: กฎหมาย (/15)</t>
        </is>
      </c>
      <c r="H4" s="3" t="inlineStr">
        <is>
          <t>O: ปฏิบัติการ (/20)</t>
        </is>
      </c>
      <c r="I4" s="3" t="inlineStr">
        <is>
          <t>S: แผนงาน (/15)</t>
        </is>
      </c>
      <c r="J4" s="3" t="inlineStr">
        <is>
          <t>+S: ยั่งยืน (/10)</t>
        </is>
      </c>
      <c r="K4" s="3" t="inlineStr">
        <is>
          <t>ผลการประเมิน (Verdict)</t>
        </is>
      </c>
      <c r="L4" s="3" t="inlineStr">
        <is>
          <t>จุดแข็งสำคัญ (Key Strengths)</t>
        </is>
      </c>
      <c r="M4" s="3" t="inlineStr">
        <is>
          <t>จุดติดขัดวิกฤต (Critical Bottlenecks)</t>
        </is>
      </c>
      <c r="N4" s="3" t="inlineStr">
        <is>
          <t>คำแนะนำเชิงระบบ (Strategic Advice)</t>
        </is>
      </c>
      <c r="O4" s="4" t="inlineStr">
        <is>
          <t>Robotics Potential (/10)</t>
        </is>
      </c>
      <c r="P4" s="4" t="inlineStr">
        <is>
          <t>เหตุผลความเข้ากันได้ด้านหุ่นยนต์ (Robotics Engineering Rationale)</t>
        </is>
      </c>
    </row>
    <row r="5" ht="55" customHeight="1">
      <c r="A5" s="5" t="n">
        <v>1</v>
      </c>
      <c r="B5" s="6" t="inlineStr">
        <is>
          <t>Solution-1</t>
        </is>
      </c>
      <c r="C5" s="7" t="inlineStr">
        <is>
          <t>Recession Rate (dh/dt) Predictive Filtering for QRT Dispatch (Ann Arbor Case)</t>
        </is>
      </c>
      <c r="D5" s="8">
        <f>'Solution-1'!T9</f>
        <v/>
      </c>
      <c r="E5" s="9">
        <f>'Solution-1'!D17</f>
        <v/>
      </c>
      <c r="F5" s="9">
        <f>'Solution-1'!D18</f>
        <v/>
      </c>
      <c r="G5" s="9">
        <f>'Solution-1'!D19</f>
        <v/>
      </c>
      <c r="H5" s="9">
        <f>'Solution-1'!D20</f>
        <v/>
      </c>
      <c r="I5" s="9">
        <f>'Solution-1'!D21</f>
        <v/>
      </c>
      <c r="J5" s="9">
        <f>'Solution-1'!D22</f>
        <v/>
      </c>
      <c r="K5" s="10">
        <f>'Solution-1'!T12</f>
        <v/>
      </c>
      <c r="L5" s="7" t="inlineStr">
        <is>
          <t>ใช้สมการอนุพันธ์ชลศาสตร์คำนวณอัตราน้ำลด dh/dt เทียบกับเวลาเดินทาง 20-30 นาที ตัด Empty Cases ได้ 40-50% สมาชิกทั้ง 4 คนแบ่งงานชัดเจน ต้นทุนต่ำ (&lt; 3,500 บ.)</t>
        </is>
      </c>
      <c r="M5" s="7" t="inlineStr">
        <is>
          <t>ต้องมีหลักฐาน Digital Evidence Card ประกอบการปิดงานบน Traffy Fondue และต้องล็อกสเปกฮาร์ดแวร์ก่อนสัปดาห์ที่ 9</t>
        </is>
      </c>
      <c r="N5" s="7" t="inlineStr">
        <is>
          <t>พัฒนาโมดูลคำนวณ dh/dt บน Python/ROS 2 ร่วมกับ Screw Terminal Shield และออกรายงานกราฟดิจิทัลอัตโนมัติ</t>
        </is>
      </c>
      <c r="O5" s="11" t="n">
        <v>7.5</v>
      </c>
      <c r="P5" s="7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  <row r="6" ht="55" customHeight="1">
      <c r="A6" s="12" t="n">
        <v>2</v>
      </c>
      <c r="B6" s="13" t="inlineStr">
        <is>
          <t>Solution-2</t>
        </is>
      </c>
      <c r="C6" s="14" t="inlineStr">
        <is>
          <t>2-Factor Authentication Dispatch Filtering Layer (PUB Singapore CWOS)</t>
        </is>
      </c>
      <c r="D6" s="8">
        <f>'Solution-2'!T9</f>
        <v/>
      </c>
      <c r="E6" s="15">
        <f>'Solution-2'!D17</f>
        <v/>
      </c>
      <c r="F6" s="15">
        <f>'Solution-2'!D18</f>
        <v/>
      </c>
      <c r="G6" s="15">
        <f>'Solution-2'!D19</f>
        <v/>
      </c>
      <c r="H6" s="15">
        <f>'Solution-2'!D20</f>
        <v/>
      </c>
      <c r="I6" s="15">
        <f>'Solution-2'!D21</f>
        <v/>
      </c>
      <c r="J6" s="15">
        <f>'Solution-2'!D22</f>
        <v/>
      </c>
      <c r="K6" s="16">
        <f>'Solution-2'!T12</f>
        <v/>
      </c>
      <c r="L6" s="14" t="inlineStr">
        <is>
          <t>ใช้การตรวจสอบยืนยันร่วม 2 ปัจจัย (รายงานประชาชน + โทรมาตรระดับน้ำ/เรดาร์ฝน) ปลอดปัญหา PDPA 100% ต้นทุนต่ำ ตัด Empty Cases ได้มากกว่า 40-50%</t>
        </is>
      </c>
      <c r="M6" s="14" t="inlineStr">
        <is>
          <t>ขึ้นอยู่กับความหนาแน่นของจุดติดตั้งเซนเซอร์โทรมาตร และต้องมีระบบ Digital Evidence Card สำหรับระบบราชการ</t>
        </is>
      </c>
      <c r="N6" s="14" t="inlineStr">
        <is>
          <t>เชื่อมต่อ API เข้ากับ Traffy Fondue และจัดทำเทมเพลต Digital Evidence Card อัตโนมัติ พร้อมทั้งใช้เซนเซอร์ระดับน้ำ COTS แบบ Non-contact</t>
        </is>
      </c>
      <c r="O6" s="11" t="n">
        <v>5</v>
      </c>
      <c r="P6" s="14" t="inlineStr">
        <is>
          <t>สอดคล้องกับแกน Data Pipeline &amp; Ingestion API ของ Kin แต่แก่นแท้เป็นงาน Software Engineering / IT Management ขาดองค์ประกอบหลักด้าน Mechatronics, Embedded Control และ Actuation ของวิศวกรรมหุ่นยนต์</t>
        </is>
      </c>
    </row>
    <row r="7" ht="55" customHeight="1">
      <c r="A7" s="5" t="n">
        <v>3</v>
      </c>
      <c r="B7" s="6" t="inlineStr">
        <is>
          <t>Solution-3</t>
        </is>
      </c>
      <c r="C7" s="7" t="inlineStr">
        <is>
          <t>Acoustic Sewer Measurement &amp; Pre-Screening for Scheduled Maintenance (Case 3 UK/USA)</t>
        </is>
      </c>
      <c r="D7" s="8">
        <f>'Solution-3'!T9</f>
        <v/>
      </c>
      <c r="E7" s="9">
        <f>'Solution-3'!D17</f>
        <v/>
      </c>
      <c r="F7" s="9">
        <f>'Solution-3'!D18</f>
        <v/>
      </c>
      <c r="G7" s="9">
        <f>'Solution-3'!D19</f>
        <v/>
      </c>
      <c r="H7" s="9">
        <f>'Solution-3'!D20</f>
        <v/>
      </c>
      <c r="I7" s="9">
        <f>'Solution-3'!D21</f>
        <v/>
      </c>
      <c r="J7" s="9">
        <f>'Solution-3'!D22</f>
        <v/>
      </c>
      <c r="K7" s="10">
        <f>'Solution-3'!T12</f>
        <v/>
      </c>
      <c r="L7" s="7" t="inlineStr">
        <is>
          <t>เปลี่ยนจากการลอกท่อแบบสุ่มรอบปฏิทินมาเป็น Condition-Based Maintenance ด้วยการตรวจคัดกรองความสะอาดท่อ 3 ระดับ (Tier 1: Action, Tier 2: Queue, Tier 3: Clean) รวดเร็ว 3-5 นาทีต่อช่วงท่อ ประหยัดงบประมาณและทรัพยากรรถดูดโคลนได้มหาศาล</t>
        </is>
      </c>
      <c r="M7" s="7" t="inlineStr">
        <is>
          <t>ต้องหลีกเลี่ยงการจัดซื้ออุปกรณ์นำเข้าราคาแพง (SL-RAT) โดยหันมาสร้างต้นแบบจาก Transducer COTS และต้องประสานงานกับทีมงานเขตเพื่อความปลอดภัยบนผิวจราจร</t>
        </is>
      </c>
      <c r="N7" s="7" t="inlineStr">
        <is>
          <t>พัฒนาชุดก้านหย่อน Telescopic ร่วมกับ Transducer ความถี่กวาดและบอร์ดประมวลผล Time-of-Flight / Attenuation ทดสอบในท่อจำลองก่อนลงพื้นที่ร่วมกับฝ่ายระบายน้ำของเขตในฤดูแล้ง</t>
        </is>
      </c>
      <c r="O7" s="11" t="n">
        <v>8.5</v>
      </c>
      <c r="P7" s="7" t="inlineStr">
        <is>
          <t>เข้ากันได้สูงมากกับองค์ความรู้ Mechatronics, Acoustic Signal Processing, Instrument Design และ Field Robotics Payload ที่สามารถนำไปประกอบกับหุ่นยนต์มุดท่อระบายน้ำได้โดยตรง ตอบโจทย์วิศวกรรมหุ่นยนต์ภาคสนามอย่างยิ่ง</t>
        </is>
      </c>
    </row>
    <row r="8" ht="55" customHeight="1">
      <c r="A8" s="12" t="n">
        <v>4</v>
      </c>
      <c r="B8" s="13" t="inlineStr">
        <is>
          <t>Solution-4</t>
        </is>
      </c>
      <c r="C8" s="14" t="inlineStr">
        <is>
          <t>Smart Drainage Pipe Telemetry &amp; Prioritized Flushing DSS (Jakarta Case Adaptation)</t>
        </is>
      </c>
      <c r="D8" s="8">
        <f>'Solution-4'!T9</f>
        <v/>
      </c>
      <c r="E8" s="15">
        <f>'Solution-4'!D17</f>
        <v/>
      </c>
      <c r="F8" s="15">
        <f>'Solution-4'!D18</f>
        <v/>
      </c>
      <c r="G8" s="15">
        <f>'Solution-4'!D19</f>
        <v/>
      </c>
      <c r="H8" s="15">
        <f>'Solution-4'!D20</f>
        <v/>
      </c>
      <c r="I8" s="15">
        <f>'Solution-4'!D21</f>
        <v/>
      </c>
      <c r="J8" s="15">
        <f>'Solution-4'!D22</f>
        <v/>
      </c>
      <c r="K8" s="16">
        <f>'Solution-4'!T12</f>
        <v/>
      </c>
      <c r="L8" s="14" t="inlineStr">
        <is>
          <t>มอนิเตอร์ระดับน้ำและอัตราการไหลในท่อแบบต่อเนื่องทั้งเมือง ชี้เป้าจุดวิกฤตระบายช้า และจัดลำดับการส่งรถดูดเลนได้อย่างมีข้อมูลเชิงประจักษ์รองรับ (Data-Driven Flushing DSS)</t>
        </is>
      </c>
      <c r="M8" s="14" t="inlineStr">
        <is>
          <t>สภาพแวดล้อมในท่อมีตะกอน คราบไขมัน และก๊าซกัดกร่อน H2S สูง และการติดตั้งต้องคำนึงถึงความปลอดภัยของเจ้าหน้าที่</t>
        </is>
      </c>
      <c r="N8" s="14" t="inlineStr">
        <is>
          <t>ใช้เซนเซอร์วัดระดับน้ำและอัตราการไหลแบบ Non-contact ติดตั้งใต้ฝาท่อพักน้ำ พร้อมสายสลิงนิรภัยยึดสองชั้น และทดสอบในจุดเสี่ยงนำร่อง</t>
        </is>
      </c>
      <c r="O8" s="11" t="n">
        <v>6.5</v>
      </c>
      <c r="P8" s="14" t="inlineStr">
        <is>
          <t>สอดคล้องกับแกน Embedded Systems, Power Electronics &amp; Custom PCB, และ Industrial Sensor Bus แต่ขาด Physical Actuation หรือแขนกล/กลไกการทำความสะอาดอัตโนมัติ (เน้นการเฝ้าระวังมากกว่าการกระทำ)</t>
        </is>
      </c>
    </row>
    <row r="9" ht="55" customHeight="1">
      <c r="A9" s="5" t="n">
        <v>5</v>
      </c>
      <c r="B9" s="6" t="inlineStr">
        <is>
          <t>Solution-5</t>
        </is>
      </c>
      <c r="C9" s="7" t="inlineStr">
        <is>
          <t>UHI Latent Heat Precision Road Cooling &amp; Microclimate Water Dosing</t>
        </is>
      </c>
      <c r="D9" s="8">
        <f>'Solution-5'!T9</f>
        <v/>
      </c>
      <c r="E9" s="9">
        <f>'Solution-5'!D17</f>
        <v/>
      </c>
      <c r="F9" s="9">
        <f>'Solution-5'!D18</f>
        <v/>
      </c>
      <c r="G9" s="9">
        <f>'Solution-5'!D19</f>
        <v/>
      </c>
      <c r="H9" s="9">
        <f>'Solution-5'!D20</f>
        <v/>
      </c>
      <c r="I9" s="9">
        <f>'Solution-5'!D21</f>
        <v/>
      </c>
      <c r="J9" s="9">
        <f>'Solution-5'!D22</f>
        <v/>
      </c>
      <c r="K9" s="10">
        <f>'Solution-5'!T12</f>
        <v/>
      </c>
      <c r="L9" s="7" t="inlineStr">
        <is>
          <t>ใช้ประโยชน์จากความร้อนแฝงของการระเหย พ่นน้ำฟิล์มบางมาก (0.2-0.4 mm) ลด Peak Heat Flux ได้ 100-150 W/m² ไม่ลื่น ไม่เกิด Sauna Effect ประหยัดน้ำกว่ารถฉีดน้ำ 40-50%</t>
        </is>
      </c>
      <c r="M9" s="7" t="inlineStr">
        <is>
          <t>ลมกระโชกแรงอาจพัดละอองน้ำ และต้องมีระบบกรองน้ำป้องกันหัวพ่นหมอกอุดตัน รวมถึงการสร้างความเข้าใจแก่ประชาชนผู้ใช้ทาง</t>
        </is>
      </c>
      <c r="N9" s="7" t="inlineStr">
        <is>
          <t>ติดตั้งหัวฉีดละอองระดับต่ำขอบทางเท้า พร้อม Sauna Effect Guard และวาล์ว Micro-pulsing อัตโนมัติตามเซนเซอร์ IR</t>
        </is>
      </c>
      <c r="O9" s="11" t="n">
        <v>9</v>
      </c>
      <c r="P9" s="7" t="inlineStr">
        <is>
          <t>เป็นระบบ Cyber-Physical Mechatronic System สมบูรณ์แบบที่ผสานครบทั้ง 4 เสาหลักของหุ่นยนต์: Perception (Thermal Sensing), Control (Dynamic Closed-loop Model), Actuation (PWM Fluidic Valves &amp; Pumps) และ Mechatronics Integration สอดคล้องกับวิชาการด้านหุ่นยนต์ของ FIBO อย่างเด่นชัดที่สุด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Recession Rate (dh/dt) Predictive Filtering for QRT Dispatch (Ann Arbor Case)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ด้านกฎหมายและหน่วยงาน (Legal 2.4)</t>
        </is>
      </c>
      <c r="J5" s="22" t="inlineStr">
        <is>
          <t>ด้านกฎหมายและหน่วยงาน (Legal 2.4)</t>
        </is>
      </c>
      <c r="K5" s="22" t="inlineStr">
        <is>
          <t>ด้านการปฏิบัติการและผู้ใช้ (Operational 2.5)</t>
        </is>
      </c>
      <c r="L5" s="22" t="inlineStr">
        <is>
          <t>ด้านการปฏิบัติการและผู้ใช้ (Operational 2.5)</t>
        </is>
      </c>
      <c r="M5" s="22" t="inlineStr">
        <is>
          <t>ด้านการปฏิบัติการและผู้ใช้ (Operational 2.5)</t>
        </is>
      </c>
      <c r="N5" s="22" t="inlineStr">
        <is>
          <t>ด้านเวลาและแผนงาน (Schedule 2.6)</t>
        </is>
      </c>
      <c r="O5" s="22" t="inlineStr">
        <is>
          <t>ด้านเวลาและแผนงาน (Schedule 2.6)</t>
        </is>
      </c>
      <c r="P5" s="22" t="inlineStr">
        <is>
          <t>ด้านเวลาและแผนงาน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4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4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4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4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4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4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4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4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4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4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4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4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4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4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4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4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4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4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4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4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4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4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4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4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4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4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4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4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4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4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4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4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4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4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4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4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4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5</v>
      </c>
      <c r="C9" s="27" t="n">
        <v>4</v>
      </c>
      <c r="D9" s="27" t="n">
        <v>5</v>
      </c>
      <c r="E9" s="27" t="n">
        <v>4</v>
      </c>
      <c r="F9" s="27" t="n">
        <v>5</v>
      </c>
      <c r="G9" s="27" t="n">
        <v>5</v>
      </c>
      <c r="H9" s="27" t="n">
        <v>5</v>
      </c>
      <c r="I9" s="27" t="n">
        <v>5</v>
      </c>
      <c r="J9" s="27" t="n">
        <v>4</v>
      </c>
      <c r="K9" s="27" t="n">
        <v>4</v>
      </c>
      <c r="L9" s="27" t="n">
        <v>4</v>
      </c>
      <c r="M9" s="27" t="n">
        <v>5</v>
      </c>
      <c r="N9" s="27" t="n">
        <v>4</v>
      </c>
      <c r="O9" s="27" t="n">
        <v>4</v>
      </c>
      <c r="P9" s="27" t="n">
        <v>5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0.06660000000000001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0.06660000000000001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0.0334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อ้างอิง solution-1.md ข้อ Requirements: ติดตั้งเซนเซอร์วัดระดับน้ำและอัตราการไหล อ้างอิง team-skills/fifa.md และ due.md ที่เชี่ยวชาญการออกแบบ 3D CAD ขายึด และกล่อง COTS IP67 ยึดด้วยแคลมป์รัดท่อ</t>
        </is>
      </c>
      <c r="C12" s="24" t="inlineStr">
        <is>
          <t>อ้างอิง team-skills/due.md ที่มีประสบการณ์ Custom PCB และ ESP32 Low-power และ team-skills/jk.md ที่เข้าใจฟิสิกส์เซนเซอร์วัดระดับน้ำ วงจรกินไฟต่ำ ไม่มีปัญหาความร้อนสะสม</t>
        </is>
      </c>
      <c r="D12" s="24" t="inlineStr">
        <is>
          <t>อ้างอิง solution-1.md ข้อ Requirements a: คำนวณอัตราน้ำลด dh/dt เทียบกับเวลาเดินทาง 20-30 นาที อ้างอิง team-skills/jk.md เชี่ยวชาญสมการอนุพันธ์ (Differential Equations) และ Python/ROS 2 คำนวณเสร็จในระดับมิลลิวินาที</t>
        </is>
      </c>
      <c r="E12" s="24" t="inlineStr">
        <is>
          <t>อ้างอิง solution-1.md ข้อ Constraints a: มีปัญหาคลื่นน้ำและขยะลอย แก้ไขโดยใช้เซนเซอร์แบบไม่สัมผัสน้ำ (Non-contact Ultrasonic/Radar) พร้อมอัลกอริทึม Median Filter กรองสัญญาณหลอก</t>
        </is>
      </c>
      <c r="F12" s="24" t="inlineStr">
        <is>
          <t>อ้างอิงประมาณการ BOM ต้นแบบ: ESP32 (180 บ.), เซนเซอร์ Ultrasonic/Radar COTS (350-800 บ.), กล่องกันน้ำ IP67 (150 บ.), แบตเตอรี่ (800 บ.) รวม &lt; 3,500 บาท อยู่ในเพดานงบประมาณ 5,000 บ.</t>
        </is>
      </c>
      <c r="G12" s="24" t="inlineStr">
        <is>
          <t>เนื่องจากต้นทุน BOM ต่ำ (~3,000 บ.) สามารถจัดสรรงบสำรองจัดซื้อเซนเซอร์และบอร์ด ESP32 สำรองได้ 100% ภายใต้งบ 5,000 บาท</t>
        </is>
      </c>
      <c r="H12" s="24" t="inlineStr">
        <is>
          <t>อ้างอิง solution-1.md ข้อ Leverage Point: ตัดเคสว่างเปล่า (Empty Cases) ได้ 40-50% ประหยัดค่าน้ำมันรถปฏิบัติการ QRT และค่าแรงเจ้าหน้าที่ได้หลายหมื่นบาทต่อฤดูมรสุม คุ้มค่าสูงมาก</t>
        </is>
      </c>
      <c r="I12" s="24" t="inlineStr">
        <is>
          <t>ระบบตรวจวัดระดับน้ำ ไม่มีการใช้กล้องบันทึกภาพบุคคล ปลอดจาก พ.ร.บ. PDPA 100% และการติดตั้งยึดกับราวสะพานหรือเสาไฟตามมาตรฐานความปลอดภัย</t>
        </is>
      </c>
      <c r="J12" s="24" t="inlineStr">
        <is>
          <t>โมดูล ESP32 และ 4G ผ่าน กสทช. อ้างอิง team-skills/due.md ในการสื่อสารเชิงเทคนิค และ jk.md ในการเข้าพบประสานงานกับฝ่ายระบายน้ำของเขต</t>
        </is>
      </c>
      <c r="K12" s="24" t="inlineStr">
        <is>
          <t>อ้างอิง solution-1.md ข้อ Constraints b: ต้องมีหลักฐานส่งคืนประชาชน ระบบสร้าง Digital Evidence Card พร้อมกราฟ dh/dt และเวลาที่น้ำลดสนิทเพื่อใช้ปิดงานบน Traffy Fondue อัตโนมัติ</t>
        </is>
      </c>
      <c r="L12" s="24" t="inlineStr">
        <is>
          <t>แดชบอร์ดสรุปสถานะการตัดสินใจ (Self-Clearing vs Critical) ด้วยรหัสสีเข้าใจง่าย เจ้าหน้าที่ศูนย์สั่งการตัดสินใจได้ใน 5 วินาที</t>
        </is>
      </c>
      <c r="M12" s="24" t="inlineStr">
        <is>
          <t>ติดตั้งเซนเซอร์จากบนราวสะพานคนข้ามหรือผิวทางเท้า ไม่มีการลงไปในน้ำหรือพื้นที่อับอากาศ ปลอดภัยต่อชีวิตผู้ปฏิบัติงาน 100%</t>
        </is>
      </c>
      <c r="N12" s="24" t="inlineStr">
        <is>
          <t>ทีมงาน 4 คนแบ่งงานชัดเจน: Fifa/Due ดูแลฮาร์ดแวร์, JK ดูแลคณิตศาสตร์ dh/dt, Kin ดูแลการทดสอบข้อมูล มีเวลาสำรอง 3-4 สัปดาห์ดูดซับช่วงสอบได้สบาย</t>
        </is>
      </c>
      <c r="O12" s="24" t="inlineStr">
        <is>
          <t>สามารถส่งมอบระบบจำลองการคำนวณ dh/dt พร้อมโหนดฮาร์ดแวร์ต้นแบบที่ส่งข้อมูลได้จริงก่อนสัปดาห์ที่ 9</t>
        </is>
      </c>
      <c r="P12" s="24" t="inlineStr">
        <is>
          <t>ชิ้นส่วน COTS ทั้งหมดมีสต็อกพร้อมส่งในประเทศ ได้รับของภายใน 3-5 วันทำการ</t>
        </is>
      </c>
      <c r="Q12" s="24" t="inlineStr">
        <is>
          <t>สอดคล้องกับ SDG 11.5 ช่วยให้หน่วย QRT เข้าถึงพื้นที่วิกฤตน้ำท่วมจริงได้เร็วขึ้น ลดความสูญเสียทางเศรษฐกิจและการจราจรของเมือง</t>
        </is>
      </c>
      <c r="R12" s="24" t="inlineStr">
        <is>
          <t>อุปกรณ์ยึดแน่นเหนือผิวน้ำ มีสลิงนิรภัยสองชั้น ไม่ตกหล่นเป็นขยะอุดตันท่อระบายน้ำ</t>
        </is>
      </c>
      <c r="S12" s="24" t="inlineStr">
        <is>
          <t>เกณฑ์การตัดสินใจอิงตามสมการชลศาสตร์ที่เป็นวิทยาศาสตร์ โปร่งใส ตรวจสอบย้อนหลังได้ทุกเคส ไม่เลือกปฏิบัติ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ใช้กล่องพักสายไฟมาตรฐาน IP67 พร้อมขายึดแคลมป์รัดท่อ COTS</t>
        </is>
      </c>
      <c r="C13" s="24" t="inlineStr">
        <is>
          <t>ใช้ Screw Terminal Expansion Shield ป้องกันไฟกระชาก</t>
        </is>
      </c>
      <c r="D13" s="24" t="inlineStr">
        <is>
          <t>ทดสอบสมการ dh/dt ด้วยข้อมูลจำลองน้ำฝนของ กทม.</t>
        </is>
      </c>
      <c r="E13" s="24" t="inlineStr">
        <is>
          <t>ใส่ฮูดกำบังเซนเซอร์และใช้ Median Filter กรองคลื่นผิวน้ำ</t>
        </is>
      </c>
      <c r="F13" s="24" t="inlineStr">
        <is>
          <t>ควบคุมการจัดซื้อเฉพาะอุปกรณ์ COTS มาตรฐาน</t>
        </is>
      </c>
      <c r="G13" s="24" t="inlineStr">
        <is>
          <t>จัดซื้อเซนเซอร์สำรอง 2 ชุดและบอร์ดสำรอง 1 ชุด</t>
        </is>
      </c>
      <c r="H13" s="24" t="inlineStr">
        <is>
          <t>คำนวณตัวเลขค่าน้ำมันที่ประหยัดได้ต่อเที่ยวรถ QRT</t>
        </is>
      </c>
      <c r="I13" s="24" t="inlineStr">
        <is>
          <t>ติดตั้งบนราวสะพานคนข้าม ปลอดภัย 100%</t>
        </is>
      </c>
      <c r="J13" s="24" t="inlineStr">
        <is>
          <t>ยื่นหนังสือรับรองจากมหาวิทยาลัยขออนุญาตติดตั้ง</t>
        </is>
      </c>
      <c r="K13" s="24" t="inlineStr">
        <is>
          <t>ส่งออกรายงานผลการลดระดับน้ำเป็นรูปภาพอัตโนมัติ</t>
        </is>
      </c>
      <c r="L13" s="24" t="inlineStr">
        <is>
          <t>ออกแบบ UI แดชบอร์ดแบบไฟเขียว/แดง</t>
        </is>
      </c>
      <c r="M13" s="24" t="inlineStr">
        <is>
          <t>ติดตั้งจากบนสะพานโดยไม่ต้องลงน้ำ</t>
        </is>
      </c>
      <c r="N13" s="24" t="inlineStr">
        <is>
          <t>จำลองข้อมูลระดับน้ำทดสอบระบบช่วงสัปดาห์สอบ</t>
        </is>
      </c>
      <c r="O13" s="24" t="inlineStr">
        <is>
          <t>ส่งมอบ Demo Scenario การคำนวณในสัปดาห์ที่ 9</t>
        </is>
      </c>
      <c r="P13" s="24" t="inlineStr">
        <is>
          <t>สั่งซื้อจากร้านค้าอิเล็กทรอนิกส์ในประเทศ</t>
        </is>
      </c>
      <c r="Q13" s="24" t="inlineStr">
        <is>
          <t>ประเมินผลการลดเวลาตอบสนองของหน่วย QRT</t>
        </is>
      </c>
      <c r="R13" s="24" t="inlineStr">
        <is>
          <t>ใช้สายสลิงสแตนเลสยึดกล่องอุปกรณ์สองชั้น</t>
        </is>
      </c>
      <c r="S13" s="24" t="inlineStr">
        <is>
          <t>เปิดเผยตรรกะการคำนวณ dh/dt บนระบบเปิด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7.5</v>
      </c>
      <c r="C28" s="24" t="inlineStr">
        <is>
          <t>เซนเซอร์วัดระดับน้ำและอัตราการไหล (Ultrasonic/Pressure) พร้อมอัลกอริทึมกรองสัญญาณคลื่นผิวน้ำ (Low-pass &amp; Median Filter)</t>
        </is>
      </c>
      <c r="D28" s="24" t="inlineStr">
        <is>
          <t>โดดเด่นมากในวิชา Dynamic Systems &amp; Control Theory: การแก้สมการอนุพันธ์ชลศาสตร์ dh/dt, Discrete Time Derivative, State Estimation และ Predictive Time Horizon (เทียบเวลาเดินทาง 20-30 นาที)</t>
        </is>
      </c>
      <c r="E28" s="24" t="inlineStr">
        <is>
          <t>ระดับต่ำ: ไม่มีระบบกลไกเคลื่อนที่ (Manipulator หรือ Mobile Chassis) เป็นระบบตัดสินใจแบบ Cyber-Physical Monitoring &amp; Edge-DSS</t>
        </is>
      </c>
      <c r="F28" s="24" t="inlineStr">
        <is>
          <t>มีความเข้ากันได้สูงในแกนคณิตศาสตร์วิศวกรรม ทฤษฎีระบบควบคุม (Control Theory) และการประมวลผลสัญญาณ (Signal Processing &amp; State Estimation) ของ JK แต่คะแนนอยู่ที่ 7.5 เนื่องจากขาด Physical Actuation และกลไกการเคลื่อนที่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2-Factor Authentication Dispatch Filtering Layer (PUB Singapore CWOS)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ด้านกฎหมายและหน่วยงาน (Legal 2.4)</t>
        </is>
      </c>
      <c r="J5" s="22" t="inlineStr">
        <is>
          <t>ด้านกฎหมายและหน่วยงาน (Legal 2.4)</t>
        </is>
      </c>
      <c r="K5" s="22" t="inlineStr">
        <is>
          <t>ด้านการปฏิบัติการและผู้ใช้ (Operational 2.5)</t>
        </is>
      </c>
      <c r="L5" s="22" t="inlineStr">
        <is>
          <t>ด้านการปฏิบัติการและผู้ใช้ (Operational 2.5)</t>
        </is>
      </c>
      <c r="M5" s="22" t="inlineStr">
        <is>
          <t>ด้านการปฏิบัติการและผู้ใช้ (Operational 2.5)</t>
        </is>
      </c>
      <c r="N5" s="22" t="inlineStr">
        <is>
          <t>ด้านเวลาและแผนงาน (Schedule 2.6)</t>
        </is>
      </c>
      <c r="O5" s="22" t="inlineStr">
        <is>
          <t>ด้านเวลาและแผนงาน (Schedule 2.6)</t>
        </is>
      </c>
      <c r="P5" s="22" t="inlineStr">
        <is>
          <t>ด้านเวลาและแผนงาน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4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4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4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4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4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4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4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4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4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4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4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4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4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4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4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4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4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4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4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4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4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4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4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4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4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4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4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4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4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4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4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4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4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4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4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4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4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5</v>
      </c>
      <c r="C9" s="27" t="n">
        <v>4</v>
      </c>
      <c r="D9" s="27" t="n">
        <v>5</v>
      </c>
      <c r="E9" s="27" t="n">
        <v>5</v>
      </c>
      <c r="F9" s="27" t="n">
        <v>5</v>
      </c>
      <c r="G9" s="27" t="n">
        <v>5</v>
      </c>
      <c r="H9" s="27" t="n">
        <v>5</v>
      </c>
      <c r="I9" s="27" t="n">
        <v>5</v>
      </c>
      <c r="J9" s="27" t="n">
        <v>4</v>
      </c>
      <c r="K9" s="27" t="n">
        <v>5</v>
      </c>
      <c r="L9" s="27" t="n">
        <v>4</v>
      </c>
      <c r="M9" s="27" t="n">
        <v>5</v>
      </c>
      <c r="N9" s="27" t="n">
        <v>4</v>
      </c>
      <c r="O9" s="27" t="n">
        <v>4</v>
      </c>
      <c r="P9" s="27" t="n">
        <v>5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0.06660000000000001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0.06660000000000001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0.0334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อ้างอิง solution-2.md ข้อ 3.a โครงสร้างโหนดโทรมาตรใช้กล่องกันน้ำ COTS IP67 อ้างอิง team-skills/due.md และ fifa.md ที่เชี่ยวชาญการออกแบบเคสและการติดตั้งภายนอก</t>
        </is>
      </c>
      <c r="C12" s="24" t="inlineStr">
        <is>
          <t>ใช้วงจร ESP32 ร่วมกับโมดูล LoRa/4G มีบอร์ด Screw Terminal ที่ Due และ Fifa ประกอบได้ มั่นคง แข็งแรง กินไฟต่ำมาก</t>
        </is>
      </c>
      <c r="D12" s="24" t="inlineStr">
        <is>
          <t>อ้างอิง solution-2.md ข้อ 3.b ตรรกะ 2-Factor Verification และ Holding Queue 15 นาที ประมวลผลแบบ Boolean/Confidence Scoring บนคลาวด์เสร็จในระดับมิลลิวินาที</t>
        </is>
      </c>
      <c r="E12" s="24" t="inlineStr">
        <is>
          <t>การยืนยันร่วม 2 ปัจจัยช่วยลดความผิดพลาดของเซนเซอร์เดี่ยวได้อย่างดีเยี่ยม หากเซนเซอร์อ่านเพี้ยนแต่ไม่มีแจ้งเหตุ หรือมีแจ้งเหตุแต่เซนเซอร์ปกติ ระบบจะหน่วงเวลาตรวจสอบซ้ำ 15 นาที</t>
        </is>
      </c>
      <c r="F12" s="24" t="inlineStr">
        <is>
          <t>ต้นทุนโหนดโทรมาตร COTS ระดับน้ำและเรดาร์ฝน API อยู่ที่ประมาณ 3,200 - 3,800 บาทต่อชุด อยู่ในงบ 5,000 บ. อย่างสมบูรณ์</t>
        </is>
      </c>
      <c r="G12" s="24" t="inlineStr">
        <is>
          <t>ด้วยต้นทุนที่ต่ำ สามารถจัดซื้อเซนเซอร์และบอร์ดสำรองได้ 100% ภายใต้งบประมาณรวม</t>
        </is>
      </c>
      <c r="H12" s="24" t="inlineStr">
        <is>
          <t>ตัด Empty Cases จากการแจ้งเตือนเดี่ยวได้มากกว่า 40-50% ประหยัดค่าน้ำมันและกำลังพลของ กทม. ได้หลายหมื่นบาทต่อเดือน</t>
        </is>
      </c>
      <c r="I12" s="24" t="inlineStr">
        <is>
          <t>ปลอดจากปัญหา PDPA 100% เพราะไม่ใช้กล้อง CCTV ในการจับภาพบุคคล ใช้เพียงระดับน้ำและข้อมูลเรดาร์น้ำฝน</t>
        </is>
      </c>
      <c r="J12" s="24" t="inlineStr">
        <is>
          <t>โมดูลสื่อสารผ่าน กสทช. และสอดคล้องกับระบบตรวจวัดน้ำท่วมของ กทม. อ้างอิงความสามารถในการสื่อสารของ Due และ Fifa</t>
        </is>
      </c>
      <c r="K12" s="24" t="inlineStr">
        <is>
          <t>ออกบัตร Digital Evidence Card บันทึกกราฟระดับน้ำและเวลาปิดเคสอัตโนมัติ แนบในระบบ Traffy Fondue ได้ทันที</t>
        </is>
      </c>
      <c r="L12" s="24" t="inlineStr">
        <is>
          <t>แดชบอร์ดแสดงสถานะ 2-Factor (Confirmed vs Holding) ชัดเจน เจ้าหน้าที่หน้างานเข้าใจได้ใน 5 วินาที</t>
        </is>
      </c>
      <c r="M12" s="24" t="inlineStr">
        <is>
          <t>ติดตั้งบนราวสะพานหรือเสาไฟ ปลอดภัยต่อชีวิตผู้ปฏิบัติงาน 100% ไม่ต้องลงไปในทางน้ำ</t>
        </is>
      </c>
      <c r="N12" s="24" t="inlineStr">
        <is>
          <t>การแยกส่วนพัฒนา Rule Engine บนคลาวด์ (Kin, JK) และฮาร์ดแวร์ (Due, Fifa) ทำให้ดูดซับช่วงสอบได้สบาย</t>
        </is>
      </c>
      <c r="O12" s="24" t="inlineStr">
        <is>
          <t>สามารถส่งมอบระบบเชื่อมต่อ Webhook และเซนเซอร์ต้นแบบได้สมบูรณ์ก่อนสัปดาห์ที่ 9</t>
        </is>
      </c>
      <c r="P12" s="24" t="inlineStr">
        <is>
          <t>อุปกรณ์ทั้งหมดเป็น COTS ในประเทศ จัดส่งได้ภายใน 2-3 วันทำการ</t>
        </is>
      </c>
      <c r="Q12" s="24" t="inlineStr">
        <is>
          <t>สนับสนุนการบริหารจัดการภัยพิบัติเมืองอย่างยืดหยุ่น (SDG 11.5) ลดการกระจายกำลังผิดจุด</t>
        </is>
      </c>
      <c r="R12" s="24" t="inlineStr">
        <is>
          <t>ติดตั้งเหนือผิวน้ำ ไม่สร้างขยะอุดตันท่อ และไม่มีมลพิษ</t>
        </is>
      </c>
      <c r="S12" s="24" t="inlineStr">
        <is>
          <t>เกณฑ์การตรวจสอบ 2 ปัจจัยโปร่งใส ตรวจสอบย้อนหลังได้ทุกเคส ไม่เลือกปฏิบัติ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ใช้กล่องกันน้ำ COTS สำเร็จรูปพร้อมแคลมป์ยึดเสา</t>
        </is>
      </c>
      <c r="C13" s="24" t="inlineStr">
        <is>
          <t>ใช้ Screw Terminal Shield สำเร็จรูป</t>
        </is>
      </c>
      <c r="D13" s="24" t="inlineStr">
        <is>
          <t>เชื่อมต่อ Webhook บน Backend API แบบน้ำหนักเบา</t>
        </is>
      </c>
      <c r="E13" s="24" t="inlineStr">
        <is>
          <t>ใช้เซนเซอร์วัดระดับน้ำแบบไม่สัมผัสผิวน้ำ</t>
        </is>
      </c>
      <c r="F13" s="24" t="inlineStr">
        <is>
          <t>เลือกเซนเซอร์ระดับน้ำ COTS ราคาประหยัด</t>
        </is>
      </c>
      <c r="G13" s="24" t="inlineStr">
        <is>
          <t>ซื้ออะไหล่สำรองเซนเซอร์ 1 ชุด</t>
        </is>
      </c>
      <c r="H13" s="24" t="inlineStr">
        <is>
          <t>คำนวณอัตราการประหยัดน้ำมันเทียบกับรอบการปล่อยรถ</t>
        </is>
      </c>
      <c r="I13" s="24" t="inlineStr">
        <is>
          <t>ยึดอุปกรณ์บนโครงสร้างสะพานอย่างปลอดภัย</t>
        </is>
      </c>
      <c r="J13" s="24" t="inlineStr">
        <is>
          <t>ใช้เครือข่าย 4G/NB-IoT ที่ผ่าน กสทช.</t>
        </is>
      </c>
      <c r="K13" s="24" t="inlineStr">
        <is>
          <t>ส่งออกรายงานผลการตรวจสอบ 2 ปัจจุบันเป็น PDF</t>
        </is>
      </c>
      <c r="L13" s="24" t="inlineStr">
        <is>
          <t>ออกแบบ UI ให้มีสถานะสีเตือนชัดเจน</t>
        </is>
      </c>
      <c r="M13" s="24" t="inlineStr">
        <is>
          <t>ติดตั้งจากบนทางเท้า</t>
        </is>
      </c>
      <c r="N13" s="24" t="inlineStr">
        <is>
          <t>ทดสอบ Rule Engine ด้วย Mock Data ช่วงสอบ</t>
        </is>
      </c>
      <c r="O13" s="24" t="inlineStr">
        <is>
          <t>ส่งมอบ Demo Webhook ในสัปดาห์ที่ 9</t>
        </is>
      </c>
      <c r="P13" s="24" t="inlineStr">
        <is>
          <t>จัดซื้อชิ้นส่วนในประเทศ 100%</t>
        </is>
      </c>
      <c r="Q13" s="24" t="inlineStr">
        <is>
          <t>ประเมินเวลาการลดเที่ยวรถว่างเปล่า</t>
        </is>
      </c>
      <c r="R13" s="24" t="inlineStr">
        <is>
          <t>ใช้สลิงนิรภัยยึดสองชั้น</t>
        </is>
      </c>
      <c r="S13" s="24" t="inlineStr">
        <is>
          <t>เปิดเผย Audit Log การยืนยันเหตุ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5</v>
      </c>
      <c r="C28" s="24" t="inlineStr">
        <is>
          <t>การดึงข้อมูลจากระบบภายนอก (API เรดาร์ตรวจฝนและเกจระดับน้ำ) ขาดการเชื่อมต่อทางฟิสิกส์กับ Hardware Sensor โดยตรง</t>
        </is>
      </c>
      <c r="D28" s="24" t="inlineStr">
        <is>
          <t>ตรรกะแบบ Rule-based Decision Engine และ Cross-correlation สองปัจจัย (ไม่มีวงรอบปิด Closed-loop Feedback Control เชิงฟิสิกส์)</t>
        </is>
      </c>
      <c r="E28" s="24" t="inlineStr">
        <is>
          <t>ไม่มี: เป็นระบบ Pure Software / Cloud Dashboard / Webhook Dispatch</t>
        </is>
      </c>
      <c r="F28" s="24" t="inlineStr">
        <is>
          <t>สอดคล้องกับแกน Data Pipeline &amp; Ingestion API ของ Kin แต่แก่นแท้เป็นงาน Software Engineering / IT Management ขาดองค์ประกอบหลักด้าน Mechatronics, Embedded Control และ Actuation ของวิศวกรรมหุ่นยนต์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Acoustic Sewer Measurement &amp; Pre-Screening for Scheduled Maintenance (Case 3 UK/USA)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ด้านกฎหมายและหน่วยงาน (Legal 2.4)</t>
        </is>
      </c>
      <c r="J5" s="22" t="inlineStr">
        <is>
          <t>ด้านกฎหมายและหน่วยงาน (Legal 2.4)</t>
        </is>
      </c>
      <c r="K5" s="22" t="inlineStr">
        <is>
          <t>ด้านการปฏิบัติการและผู้ใช้ (Operational 2.5)</t>
        </is>
      </c>
      <c r="L5" s="22" t="inlineStr">
        <is>
          <t>ด้านการปฏิบัติการและผู้ใช้ (Operational 2.5)</t>
        </is>
      </c>
      <c r="M5" s="22" t="inlineStr">
        <is>
          <t>ด้านการปฏิบัติการและผู้ใช้ (Operational 2.5)</t>
        </is>
      </c>
      <c r="N5" s="22" t="inlineStr">
        <is>
          <t>ด้านเวลาและแผนงาน (Schedule 2.6)</t>
        </is>
      </c>
      <c r="O5" s="22" t="inlineStr">
        <is>
          <t>ด้านเวลาและแผนงาน (Schedule 2.6)</t>
        </is>
      </c>
      <c r="P5" s="22" t="inlineStr">
        <is>
          <t>ด้านเวลาและแผนงาน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4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4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4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4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4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4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4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4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4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4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4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4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4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4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4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4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4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4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4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4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4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4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4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4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4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4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4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4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4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4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4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4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4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4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4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4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4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4</v>
      </c>
      <c r="C9" s="27" t="n">
        <v>4</v>
      </c>
      <c r="D9" s="27" t="n">
        <v>4</v>
      </c>
      <c r="E9" s="27" t="n">
        <v>4</v>
      </c>
      <c r="F9" s="27" t="n">
        <v>4</v>
      </c>
      <c r="G9" s="27" t="n">
        <v>4</v>
      </c>
      <c r="H9" s="27" t="n">
        <v>5</v>
      </c>
      <c r="I9" s="27" t="n">
        <v>4</v>
      </c>
      <c r="J9" s="27" t="n">
        <v>4</v>
      </c>
      <c r="K9" s="27" t="n">
        <v>5</v>
      </c>
      <c r="L9" s="27" t="n">
        <v>4</v>
      </c>
      <c r="M9" s="27" t="n">
        <v>4</v>
      </c>
      <c r="N9" s="27" t="n">
        <v>4</v>
      </c>
      <c r="O9" s="27" t="n">
        <v>4</v>
      </c>
      <c r="P9" s="27" t="n">
        <v>4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0.06660000000000001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0.06660000000000001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0.0334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อ้างอิง solution-3.md ข้อ 3.a ใช้ก้านยืดหด (Telescopic Pole) สำเร็จรูป และกล่องเซนเซอร์ COTS IP67 อ้างอิง team-skills/fifa.md ที่เชี่ยวชาญการประกอบทางกล และ due.md ที่เชี่ยวชาญ 3D CAD ออกแบบข้อต่อก้านหย่อนได้โดยไม่ต้องใช้ Machine Shop</t>
        </is>
      </c>
      <c r="C12" s="24" t="inlineStr">
        <is>
          <t>อ้างอิง team-skills/due.md ที่เชี่ยวชาญการต่อวงจรและออกแบบ Custom PCB และ jk.md ที่เข้าใจฟิสิกส์คลื่นเสียง ใช้วงจรขยายสัญญาณและ ESP32 ทำงานแบบชั่วคราว 3-5 นาทีต่อบ่อ ไม่มีความร้อนสะสม</t>
        </is>
      </c>
      <c r="D12" s="24" t="inlineStr">
        <is>
          <t>อ้างอิง solution-3.md ข้อ 3.b การวิเคราะห์ Time-of-Flight และ Attenuation เพื่อจัดเกรด 3 ระดับ (0-3, 4-6, 7-10) อ้างอิง team-skills/jk.md เชี่ยวชาญการประมวลผลสัญญาณและคณิตศาสตร์ ประมวลผลเสร็จในระดับวินาที</t>
        </is>
      </c>
      <c r="E12" s="24" t="inlineStr">
        <is>
          <t>ปฏิบัติการเฉพาะช่วงน้ำไหลต่ำในฤดูแล้ง (Dry-weather flow) ไม่มีเสียงฝนหรือน้ำหลากรบกวน ทำให้คลื่นสะท้อนชัดเจน และหัววัดหย่อนเพียงชั่วคราวแล้วดึงขึ้นมาเช็ดได้</t>
        </is>
      </c>
      <c r="F12" s="24" t="inlineStr">
        <is>
          <t>สร้างต้นแบบด้วย Transducer เกรดอุตสาหกรรมราคาประหยัด COTS ร่วมกับบอร์ด ESP32 และก้าน Telescopic รวม ~4,200 - 4,800 บาท ควบคุมให้อยู่ในงบ 5,000 บ. ได้ (หลีกเลี่ยงเครื่อง SL-RAT หลักล้าน)</t>
        </is>
      </c>
      <c r="G12" s="24" t="inlineStr">
        <is>
          <t>จัดซื้อหัวทรานสดิวเซอร์เสียง COTS สำรองได้ 2 ชิ้น และใช้บอร์ดประมวลผลสำรองที่มีในแล็บ</t>
        </is>
      </c>
      <c r="H12" s="24" t="inlineStr">
        <is>
          <t>คุ้มค่ามหาศาลต่อเทศบาล/กทม. การคัดกรองท่อสะอาด (เกรด 7-10) ช่วยให้ไม่ต้องส่งรถดูดโคลนไปลอกท่อที่ไม่ตัน ประหยัดงบประมาณและค่าน้ำมันได้หลายแสนบาทต่อปี</t>
        </is>
      </c>
      <c r="I12" s="24" t="inlineStr">
        <is>
          <t>เปิดฝาท่อเฉพาะช่วงฤดูแล้งร่วมกับทีมงานเทศบาล โดยมีกรวยสะท้อนแสงและป้ายเตือนตาม พ.ร.บ. จราจรทางบก และเป็นการหย่อนจากบนผิวถนนโดยไม่มีการให้คนมุดลงในที่อับอากาศ (Zero Confined Space Entry)</t>
        </is>
      </c>
      <c r="J12" s="24" t="inlineStr">
        <is>
          <t>อุปกรณ์ใช้การเชื่อมต่อ Bluetooth BLE/Wi-Fi ผ่าน กสทช. อ้างอิง team-skills/due.md และ fifa.md ในการประสานงานขอพื้นที่ทดสอบร่วมกับฝ่ายระบายน้ำของเขต</t>
        </is>
      </c>
      <c r="K12" s="24" t="inlineStr">
        <is>
          <t>ออกรายงานสถานะความสะอาดท่อ (Pipe Health Certificate) พร้อมคะแนน 0-10 และกราฟหน้าตัด เพื่อนำไปใช้ออกใบสั่งงาน (Work Order) ของรถดูดโคลนได้ทันที</t>
        </is>
      </c>
      <c r="L12" s="24" t="inlineStr">
        <is>
          <t>เจ้าหน้าที่เพียงหย่อนก้านลงบ่อ กดปุ่มทดสอบ 3 นาที และอ่านผลเกรดสีบนหน้าจอ ใช้งานง่ายตามแบบ Rapid Pre-Screening</t>
        </is>
      </c>
      <c r="M12" s="24" t="inlineStr">
        <is>
          <t>ปฏิบัติการในฤดูแล้งจากบนผิวทางเท้า ไม่เสี่ยงต่อน้ำท่วมหลาก และไม่มุดท่อระบายน้ำ ปลอดภัยต่อชีวิตผู้ปฏิบัติงาน</t>
        </is>
      </c>
      <c r="N12" s="24" t="inlineStr">
        <is>
          <t>งานแบ่งเป็น 2 ส่วน: ก้านหย่อน (Fifa, Due) และโค้ดวิเคราะห์เสียง (JK, Kin) สามารถทดสอบด้วยไฟล์เสียงจำลองช่วงสัปดาห์สอบได้</t>
        </is>
      </c>
      <c r="O12" s="24" t="inlineStr">
        <is>
          <t>สามารถส่งมอบต้นแบบก้านหย่อนและผลการทดสอบจำแนกท่อ 3 ระดับในท่อจำลองของมหาวิทยาลัยได้ก่อนสัปดาห์ที่ 9</t>
        </is>
      </c>
      <c r="P12" s="24" t="inlineStr">
        <is>
          <t>ทรานสดิวเซอร์เสียง COTS และก้าน Telescopic จัดซื้อได้ในประเทศ จัดส่งถึงมือใน 5-7 วัน</t>
        </is>
      </c>
      <c r="Q12" s="24" t="inlineStr">
        <is>
          <t>ส่งเสริมการระบายน้ำของเมืองอย่างยั่งยืน (SDG 11.5) ช่วยขจัดจุดอุดตันก่อนฤดูมรสุม ลดความเสี่ยงน้ำท่วมเมือง</t>
        </is>
      </c>
      <c r="R12" s="24" t="inlineStr">
        <is>
          <t>อุปกรณ์หย่อนชั่วคราวแล้วดึงกลับ 100% มีสายสลิงนิรภัยคล้อง ไม่มีการทิ้งชิ้นส่วนใดไว้ในท่อ ไม่สร้างขยะอุดตัน</t>
        </is>
      </c>
      <c r="S12" s="24" t="inlineStr">
        <is>
          <t>ปรับเปลี่ยนการจัดคิวลอกท่อมาใช้เกณฑ์ตัวเลขวิทยาศาสตร์ (Tier 0-3 ต้องลอกทันที) โปร่งใส เสมอภาค ไม่เลือกปฏิบัติ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ใช้ก้านยืดหด Telescopic pole สำเร็จรูปพร้อมข้อต่อ 3D Print</t>
        </is>
      </c>
      <c r="C13" s="24" t="inlineStr">
        <is>
          <t>ใช้โมดูล Transceiver สำเร็จรูปที่มี Screw Terminal</t>
        </is>
      </c>
      <c r="D13" s="24" t="inlineStr">
        <is>
          <t>ใช้อัลกอริทึม Time-of-Flight และ FFT พื้นฐานจำแนก 3 ระดับ</t>
        </is>
      </c>
      <c r="E13" s="24" t="inlineStr">
        <is>
          <t>เช็ดทำความสะอาดหัววัดด้วยผ้าแห้งทุกครั้งหลังใช้งาน</t>
        </is>
      </c>
      <c r="F13" s="24" t="inlineStr">
        <is>
          <t>จำกัดระยะตรวจวัดในต้นแบบไว้ที่ท่อช่วง 30-50 เมตร</t>
        </is>
      </c>
      <c r="G13" s="24" t="inlineStr">
        <is>
          <t>ซื้อหัวทรานสดิวเซอร์สำรอง 2 ชิ้น</t>
        </is>
      </c>
      <c r="H13" s="24" t="inlineStr">
        <is>
          <t>คำนวณงบประมาณการล้างท่อที่ประหยัดได้เทียบกับการลอกแบบสุ่ม</t>
        </is>
      </c>
      <c r="I13" s="24" t="inlineStr">
        <is>
          <t>ประสานงานทดสอบร่วมกับทีมลอกท่อของสำนักงานเขต</t>
        </is>
      </c>
      <c r="J13" s="24" t="inlineStr">
        <is>
          <t>บันทึกข้อมูลแบบออฟไลน์ลง SD Card และส่งผ่าน Bluetooth</t>
        </is>
      </c>
      <c r="K13" s="24" t="inlineStr">
        <is>
          <t>ส่งออกรายงานสรุปเกรดความสะอาดท่อรายวันเป็น PDF</t>
        </is>
      </c>
      <c r="L13" s="24" t="inlineStr">
        <is>
          <t>ออกแบบหน้าจอ LED สามสีแสดงผลเกรดความสะอาด</t>
        </is>
      </c>
      <c r="M13" s="24" t="inlineStr">
        <is>
          <t>ทดสอบบนบ่อพักน้ำของมหาวิทยาลัยก่อนลงพื้นที่จริง</t>
        </is>
      </c>
      <c r="N13" s="24" t="inlineStr">
        <is>
          <t>ทดสอบอัลกอริทึมด้วยข้อมูลเสียงบันทึกล่วงหน้าช่วงสอบ</t>
        </is>
      </c>
      <c r="O13" s="24" t="inlineStr">
        <is>
          <t>ส่งมอบผลการทดสอบบนท่อจำลอง 3 ระดับในสัปดาห์ที่ 9</t>
        </is>
      </c>
      <c r="P13" s="24" t="inlineStr">
        <is>
          <t>จัดซื้อทรานสดิวเซอร์ที่มีสต็อกพร้อมส่งในไทย</t>
        </is>
      </c>
      <c r="Q13" s="24" t="inlineStr">
        <is>
          <t>เน้นการตรวจคัดกรองในจุดเสี่ยงน้ำท่วมซ้ำซาก</t>
        </is>
      </c>
      <c r="R13" s="24" t="inlineStr">
        <is>
          <t>ใช้สายสลิงสแตนเลสคล้องยึดหัววัดกับก้านหย่อนตลอดเวลา</t>
        </is>
      </c>
      <c r="S13" s="24" t="inlineStr">
        <is>
          <t>จัดทำตารางเกณฑ์คะแนนความสะอาด 3 ระดับเผยแพร่เป็นมาตรฐานเปิด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8.5</v>
      </c>
      <c r="C28" s="24" t="inlineStr">
        <is>
          <t>โดดเด่นมากด้าน Acoustic Sensing: ลำโพงกำเนิดเสียงเฉพาะความถี่, ไมโครโฟนรับคลื่น, การวิเคราะห์การลดทอนของสัญญาณเสียงในท่อ (Sound Attenuation &amp; FFT Analysis)</t>
        </is>
      </c>
      <c r="D28" s="24" t="inlineStr">
        <is>
          <t>การควบคุมเวลาซิงโครไนซ์ส่ง-รับระดับมิลลิวินาที (Microsecond Acoustic Chirp Triggering) และการสกัดคุณลักษณะของสัญญาณ (Edge Feature Extraction)</t>
        </is>
      </c>
      <c r="E28" s="24" t="inlineStr">
        <is>
          <t>การออกแบบกลไกชุดหย่อนหัวตรวจวัดลงท่อ (Deployment Rig, Winch Mechanism, Acoustic Horn Baffle, โครงสร้าง IP67) และพร้อมพัฒนาต่อยอดเป็นหัวเจาะจง (End-Effector Sensor Payload) ให้กับหุ่นยนต์ตรวจท่อ (Pipe Crawler Rover)</t>
        </is>
      </c>
      <c r="F28" s="24" t="inlineStr">
        <is>
          <t>เข้ากันได้สูงมากกับองค์ความรู้ Mechatronics, Acoustic Signal Processing, Instrument Design และ Field Robotics Payload ที่สามารถนำไปประกอบกับหุ่นยนต์มุดท่อระบายน้ำได้โดยตรง ตอบโจทย์วิศวกรรมหุ่นยนต์ภาคสนามอย่างยิ่ง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Smart Drainage Pipe Telemetry &amp; Prioritized Flushing DSS (Jakarta Case Adaptation)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ด้านกฎหมายและหน่วยงาน (Legal 2.4)</t>
        </is>
      </c>
      <c r="J5" s="22" t="inlineStr">
        <is>
          <t>ด้านกฎหมายและหน่วยงาน (Legal 2.4)</t>
        </is>
      </c>
      <c r="K5" s="22" t="inlineStr">
        <is>
          <t>ด้านการปฏิบัติการและผู้ใช้ (Operational 2.5)</t>
        </is>
      </c>
      <c r="L5" s="22" t="inlineStr">
        <is>
          <t>ด้านการปฏิบัติการและผู้ใช้ (Operational 2.5)</t>
        </is>
      </c>
      <c r="M5" s="22" t="inlineStr">
        <is>
          <t>ด้านการปฏิบัติการและผู้ใช้ (Operational 2.5)</t>
        </is>
      </c>
      <c r="N5" s="22" t="inlineStr">
        <is>
          <t>ด้านเวลาและแผนงาน (Schedule 2.6)</t>
        </is>
      </c>
      <c r="O5" s="22" t="inlineStr">
        <is>
          <t>ด้านเวลาและแผนงาน (Schedule 2.6)</t>
        </is>
      </c>
      <c r="P5" s="22" t="inlineStr">
        <is>
          <t>ด้านเวลาและแผนงาน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4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4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4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4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4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4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4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4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4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4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4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4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4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4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4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4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4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4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4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4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4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4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4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4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4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4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4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4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4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4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4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4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4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4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4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4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4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5</v>
      </c>
      <c r="C9" s="27" t="n">
        <v>4</v>
      </c>
      <c r="D9" s="27" t="n">
        <v>4</v>
      </c>
      <c r="E9" s="27" t="n">
        <v>4</v>
      </c>
      <c r="F9" s="27" t="n">
        <v>4</v>
      </c>
      <c r="G9" s="27" t="n">
        <v>4</v>
      </c>
      <c r="H9" s="27" t="n">
        <v>5</v>
      </c>
      <c r="I9" s="27" t="n">
        <v>4</v>
      </c>
      <c r="J9" s="27" t="n">
        <v>4</v>
      </c>
      <c r="K9" s="27" t="n">
        <v>5</v>
      </c>
      <c r="L9" s="27" t="n">
        <v>4</v>
      </c>
      <c r="M9" s="27" t="n">
        <v>4</v>
      </c>
      <c r="N9" s="27" t="n">
        <v>4</v>
      </c>
      <c r="O9" s="27" t="n">
        <v>4</v>
      </c>
      <c r="P9" s="27" t="n">
        <v>5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0.06660000000000001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0.06660000000000001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0.0334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อ้างอิง solution-4_drainage_telemetry.md ข้อ 3.a กล่องโหนดตรวจวัดใช้กล่องกันน้ำ IP68 สำเร็จรูป COTS ยึดใต้ฝาท่อพักน้ำด้วยแคลมป์สแตนเลส อ้างอิง team-skills/fifa.md และ due.md ที่เชี่ยวชาญการออกแบบเคสและการติดตั้งภายนอก</t>
        </is>
      </c>
      <c r="C12" s="24" t="inlineStr">
        <is>
          <t>ใช้บอร์ด ESP32 หรือโมดูล LoRaWAN สำเร็จรูปพร้อม Screw Terminal Shield มีโหมด Deep-Sleep ประหยัดพลังงาน อ้างอิง team-skills/due.md ในการออกแบบวงจร Low-power</t>
        </is>
      </c>
      <c r="D12" s="24" t="inlineStr">
        <is>
          <t>อ้างอิง solution-4_drainage_telemetry.md ข้อ 2 และ 3.b วิเคราะห์ Time-series เทียบกับ Baseline การไหล อ้างอิง team-skills/kin.md ที่เชี่ยวชาญ Data Pipeline และ Time-series ประมวลผลเสร็จในระดับวินาที</t>
        </is>
      </c>
      <c r="E12" s="24" t="inlineStr">
        <is>
          <t>อ้างอิง solution-4_drainage_telemetry.md ข้อ 4.a สภาพในท่อมีตะกอนและความชื้น ออกแบบติดตั้งเซนเซอร์แบบไม่สัมผัสน้ำ (Non-contact Ultrasonic/Radar) เหนือระดับน้ำสูงสุดพร้อมกรวยกันละอองน้ำ</t>
        </is>
      </c>
      <c r="F12" s="24" t="inlineStr">
        <is>
          <t>อุปกรณ์สำหรับ 1 โหนดตรวจวัดโทรมาตร (ESP32 + เซนเซอร์ระดับน้ำกันน้ำ + แบตเตอรี่และโซลาร์เซลล์ขนาดเล็ก) มี BOM รวมประมาณ 3,500 - 4,200 บาท อยู่ในเพดานงบประมาณ 5,000 บ.</t>
        </is>
      </c>
      <c r="G12" s="24" t="inlineStr">
        <is>
          <t>สามารถจัดซื้อเซนเซอร์ระดับน้ำสำรอง 1 ชุด และบอร์ดไมโครคอนโทรลเลอร์สำรอง 1 ชุด ภายใต้งบประมาณรวม</t>
        </is>
      </c>
      <c r="H12" s="24" t="inlineStr">
        <is>
          <t>ชี้เป้าจุดวิกฤตที่ระบายช้าจริง ช่วยลดการส่งรถดูดเลนไปล้างท่อที่ยังสะอาดอยู่ ประหยัดงบประมาณค่าน้ำมันและค่าแรงของ กทม. ได้หลายแสนบาทต่อปี คุ้มค่าสูงมาก</t>
        </is>
      </c>
      <c r="I12" s="24" t="inlineStr">
        <is>
          <t>ติดตั้งใต้ฝาท่อพักน้ำสาธารณะ ไม่มีการบันทึกภาพบุคคล ปลอดจาก พ.ร.บ. PDPA 100% การติดตั้งขออนุญาตฝ่ายโยธา สำนักงานเขต</t>
        </is>
      </c>
      <c r="J12" s="24" t="inlineStr">
        <is>
          <t>ใช้คลื่นความถี่ LoRaWAN 920-925 MHz หรือ NB-IoT ที่ได้รับการรับรองจาก กสทช. อ้างอิงความพร้อมในการประสานงานของทีมงาน</t>
        </is>
      </c>
      <c r="K12" s="24" t="inlineStr">
        <is>
          <t>ส่งออกรายงานประวัติการไหลและระดับน้ำเป็นกราฟดิจิทัล พร้อมพิกัด GPS เพื่อใช้สนับสนุนการปิดงานหรือออกใบสั่งล้างท่อได้</t>
        </is>
      </c>
      <c r="L12" s="24" t="inlineStr">
        <is>
          <t>แดชบอร์ดสรุปสถานะการไหลแสดงผลด้วยรหัสสีตามแบบ Jakarta Flood Control System เจ้าหน้าที่เข้าใจง่ายใน 5 วินาที</t>
        </is>
      </c>
      <c r="M12" s="24" t="inlineStr">
        <is>
          <t>ติดตั้งแขวนใต้ฝาท่อพักน้ำจากบนผิวทางเท้า ไม่มีการให้คนมุดลงไปในท่อระบายน้ำ ปลอดภัยต่อชีวิตผู้ปฏิบัติงาน</t>
        </is>
      </c>
      <c r="N12" s="24" t="inlineStr">
        <is>
          <t>แบ่งงานชัดเจน: Kin พัฒนา Data Pipeline, Due/Fifa ดูแลฮาร์ดแวร์โหนดตรวจวัด สามารถใช้ Mock Telemetry รันระบบช่วงสอบได้</t>
        </is>
      </c>
      <c r="O12" s="24" t="inlineStr">
        <is>
          <t>สามารถส่งมอบโหนดต้นแบบ 1 จุดเชื่อมต่อ Dashboard แสดงผลสดได้ก่อนสัปดาห์ที่ 9</t>
        </is>
      </c>
      <c r="P12" s="24" t="inlineStr">
        <is>
          <t>อุปกรณ์ COTS ทั้งหมดจัดซื้อได้จากตัวแทนจำหน่ายในประเทศ จัดส่งถึงมือใน 3-5 วัน</t>
        </is>
      </c>
      <c r="Q12" s="24" t="inlineStr">
        <is>
          <t>สอดคล้องกับ SDG 11.5 ช่วยให้เมืองตรวจพบจุดระบายช้าล่วงหน้าและป้องกันน้ำท่วมขังบนถนนสายสำคัญ</t>
        </is>
      </c>
      <c r="R12" s="24" t="inlineStr">
        <is>
          <t>กล่องอุปกรณ์ยึดแน่นด้วยแคลมป์สแตนเลสและมีสายสลิงนิรภัยสองชั้น ป้องกันอุปกรณ์หลุดลอยไปอุดตันท่อระบายน้ำ</t>
        </is>
      </c>
      <c r="S12" s="24" t="inlineStr">
        <is>
          <t>จัดลำดับการส่งรถดูดเลนตามข้อมูลตัวเลขเชิงประจักษ์ (Data-Driven Prioritization) โปร่งใส ตรวจสอบได้ ไม่เลือกปฏิบัติ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ใช้กล่องกันน้ำ IP68 สำเร็จรูปพร้อมขายึดแคลมป์ใต้ฝาท่อ</t>
        </is>
      </c>
      <c r="C13" s="24" t="inlineStr">
        <is>
          <t>ใช้ Screw Terminal Expansion Shield ป้องกันไฟกระชาก</t>
        </is>
      </c>
      <c r="D13" s="24" t="inlineStr">
        <is>
          <t>ใช้อัลกอริทึม Moving Average และ Threshold Alerting</t>
        </is>
      </c>
      <c r="E13" s="24" t="inlineStr">
        <is>
          <t>ติดตั้งแบบ Non-contact เหนือระดับน้ำสูงสุดพร้อมกรวยกันละออง</t>
        </is>
      </c>
      <c r="F13" s="24" t="inlineStr">
        <is>
          <t>สร้างโหนดต้นแบบนำร่อง 1 ชุด เพื่อทดสอบส่งข้อมูล</t>
        </is>
      </c>
      <c r="G13" s="24" t="inlineStr">
        <is>
          <t>จัดซื้อเซนเซอร์สำรอง 1 ชุดและบอร์ดสำรอง 1 ชุด</t>
        </is>
      </c>
      <c r="H13" s="24" t="inlineStr">
        <is>
          <t>ใช้ SIM IoT ส่งข้อมูลแบบ Batch ทุก 10-15 นาที</t>
        </is>
      </c>
      <c r="I13" s="24" t="inlineStr">
        <is>
          <t>ติดตั้งนำร่องในบ่อพักน้ำของมหาวิทยาลัยก่อนลงพื้นที่จริง</t>
        </is>
      </c>
      <c r="J13" s="24" t="inlineStr">
        <is>
          <t>ใช้เครือข่าย 4G/NB-IoT ที่ผ่าน กสทช.</t>
        </is>
      </c>
      <c r="K13" s="24" t="inlineStr">
        <is>
          <t>พัฒนาเทมเพลตรายงานสรุปผลการไหลรายวันเป็น PDF</t>
        </is>
      </c>
      <c r="L13" s="24" t="inlineStr">
        <is>
          <t>ออกแบบ Web Dashboard แสดงแผนที่ GIS สัญลักษณ์เตือนภัย</t>
        </is>
      </c>
      <c r="M13" s="24" t="inlineStr">
        <is>
          <t>ติดตั้งจากบนผิวทางเท้า ไม่มุดท่อ</t>
        </is>
      </c>
      <c r="N13" s="24" t="inlineStr">
        <is>
          <t>ทดสอบระบบคลาวด์และแดชบอร์ดด้วยข้อมูลจำลองช่วงสอบ</t>
        </is>
      </c>
      <c r="O13" s="24" t="inlineStr">
        <is>
          <t>ส่งมอบโหนดต้นแบบ 1 จุดเชื่อมต่อ Dashboard ในสัปดาห์ที่ 9</t>
        </is>
      </c>
      <c r="P13" s="24" t="inlineStr">
        <is>
          <t>จัดซื้ออุปกรณ์จากร้านค้าอิเล็กทรอนิกส์ในประเทศ</t>
        </is>
      </c>
      <c r="Q13" s="24" t="inlineStr">
        <is>
          <t>ติดตั้งโหนดนำร่องในจุดเสี่ยงน้ำท่วมซ้ำซาก</t>
        </is>
      </c>
      <c r="R13" s="24" t="inlineStr">
        <is>
          <t>ใช้สายสลิงสแตนเลส 316 คล้องยึดตัวอุปกรณ์สองชั้น</t>
        </is>
      </c>
      <c r="S13" s="24" t="inlineStr">
        <is>
          <t>เปิดเผยข้อมูลสถิติการไหลผ่านแดชบอร์ดสาธารณะ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6.5</v>
      </c>
      <c r="C28" s="24" t="inlineStr">
        <is>
          <t>เซนเซอร์วัดระดับน้ำและอัตราการไหลในท่อระบายน้ำด้วยคลื่นอัลตราโซนิกและแรงดันน้ำ เชื่อมต่อผ่าน RS485/Modbus</t>
        </is>
      </c>
      <c r="D28" s="24" t="inlineStr">
        <is>
          <t>การประมวลผลคำนวณ Hydraulic Gradient บน Edge Node และจัดลำดับความเร่งด่วนของการล้างท่ออัตโนมัติ</t>
        </is>
      </c>
      <c r="E28" s="24" t="inlineStr">
        <is>
          <t>มีระบบพลังงานแสงอาทิตย์ (BMS &amp; MPPT), Custom PCB ของ Due, และขายึดกลไกปรับระดับได้ แต่การล้างท่อหน้างานยังพึ่งพารถดูดโคลนของมนุษย์ (ไม่มีระบบล้างกลไกอัตโนมัติ)</t>
        </is>
      </c>
      <c r="F28" s="24" t="inlineStr">
        <is>
          <t>สอดคล้องกับแกน Embedded Systems, Power Electronics &amp; Custom PCB, และ Industrial Sensor Bus แต่ขาด Physical Actuation หรือแขนกล/กลไกการทำความสะอาดอัตโนมัติ (เน้นการเฝ้าระวังมากกว่าการกระทำ)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  <col width="36" customWidth="1" min="19" max="19"/>
    <col width="36" customWidth="1" min="20" max="20"/>
  </cols>
  <sheetData>
    <row r="1">
      <c r="A1" s="17" t="inlineStr">
        <is>
          <t>เมทริกซ์ประเมินความเป็นไปได้เชิงระบบ TELOS+S: UHI Latent Heat Precision Road Cooling &amp; Microclimate Water Dosing</t>
        </is>
      </c>
    </row>
    <row r="2">
      <c r="A2" s="18" t="inlineStr">
        <is>
          <t>ระบบคะแนนจำนวนเต็มเด็ดขาด: 1, 2, 3, 4, 5 เท่านั้น (ไม่มีจุดทศนิยม / ไม่มี 0.5) | โครงสร้างแบบ Transposed แนวนอน</t>
        </is>
      </c>
    </row>
    <row r="4" ht="24" customHeight="1">
      <c r="A4" s="19" t="inlineStr">
        <is>
          <t>รหัสคำถาม (Question Code)</t>
        </is>
      </c>
      <c r="B4" s="20" t="inlineStr">
        <is>
          <t>T-01</t>
        </is>
      </c>
      <c r="C4" s="20" t="inlineStr">
        <is>
          <t>T-02</t>
        </is>
      </c>
      <c r="D4" s="20" t="inlineStr">
        <is>
          <t>T-03</t>
        </is>
      </c>
      <c r="E4" s="20" t="inlineStr">
        <is>
          <t>T-04</t>
        </is>
      </c>
      <c r="F4" s="20" t="inlineStr">
        <is>
          <t>E-01</t>
        </is>
      </c>
      <c r="G4" s="20" t="inlineStr">
        <is>
          <t>E-02</t>
        </is>
      </c>
      <c r="H4" s="20" t="inlineStr">
        <is>
          <t>E-03</t>
        </is>
      </c>
      <c r="I4" s="20" t="inlineStr">
        <is>
          <t>L-01</t>
        </is>
      </c>
      <c r="J4" s="20" t="inlineStr">
        <is>
          <t>L-02</t>
        </is>
      </c>
      <c r="K4" s="20" t="inlineStr">
        <is>
          <t>O-01</t>
        </is>
      </c>
      <c r="L4" s="20" t="inlineStr">
        <is>
          <t>O-02</t>
        </is>
      </c>
      <c r="M4" s="20" t="inlineStr">
        <is>
          <t>O-03</t>
        </is>
      </c>
      <c r="N4" s="20" t="inlineStr">
        <is>
          <t>S-01</t>
        </is>
      </c>
      <c r="O4" s="20" t="inlineStr">
        <is>
          <t>S-02</t>
        </is>
      </c>
      <c r="P4" s="20" t="inlineStr">
        <is>
          <t>S-03</t>
        </is>
      </c>
      <c r="Q4" s="20" t="inlineStr">
        <is>
          <t>SDG-01</t>
        </is>
      </c>
      <c r="R4" s="20" t="inlineStr">
        <is>
          <t>SDG-02</t>
        </is>
      </c>
      <c r="S4" s="20" t="inlineStr">
        <is>
          <t>SDG-03</t>
        </is>
      </c>
      <c r="T4" s="20" t="inlineStr">
        <is>
          <t>สรุปภาพรวม (SUMMARY)</t>
        </is>
      </c>
    </row>
    <row r="5" ht="24" customHeight="1">
      <c r="A5" s="21" t="inlineStr">
        <is>
          <t>มิติการประเมิน (TELOS+S Pillar)</t>
        </is>
      </c>
      <c r="B5" s="22" t="inlineStr">
        <is>
          <t>ด้านเทคนิค (Technical 2.2)</t>
        </is>
      </c>
      <c r="C5" s="22" t="inlineStr">
        <is>
          <t>ด้านเทคนิค (Technical 2.2)</t>
        </is>
      </c>
      <c r="D5" s="22" t="inlineStr">
        <is>
          <t>ด้านเทคนิค (Technical 2.2)</t>
        </is>
      </c>
      <c r="E5" s="22" t="inlineStr">
        <is>
          <t>ด้านเทคนิค (Technical 2.2)</t>
        </is>
      </c>
      <c r="F5" s="22" t="inlineStr">
        <is>
          <t>ด้านเศรษฐศาสตร์ (Economic 2.3)</t>
        </is>
      </c>
      <c r="G5" s="22" t="inlineStr">
        <is>
          <t>ด้านเศรษฐศาสตร์ (Economic 2.3)</t>
        </is>
      </c>
      <c r="H5" s="22" t="inlineStr">
        <is>
          <t>ด้านเศรษฐศาสตร์ (Economic 2.3)</t>
        </is>
      </c>
      <c r="I5" s="22" t="inlineStr">
        <is>
          <t>ด้านกฎหมายและหน่วยงาน (Legal 2.4)</t>
        </is>
      </c>
      <c r="J5" s="22" t="inlineStr">
        <is>
          <t>ด้านกฎหมายและหน่วยงาน (Legal 2.4)</t>
        </is>
      </c>
      <c r="K5" s="22" t="inlineStr">
        <is>
          <t>ด้านการปฏิบัติการและผู้ใช้ (Operational 2.5)</t>
        </is>
      </c>
      <c r="L5" s="22" t="inlineStr">
        <is>
          <t>ด้านการปฏิบัติการและผู้ใช้ (Operational 2.5)</t>
        </is>
      </c>
      <c r="M5" s="22" t="inlineStr">
        <is>
          <t>ด้านการปฏิบัติการและผู้ใช้ (Operational 2.5)</t>
        </is>
      </c>
      <c r="N5" s="22" t="inlineStr">
        <is>
          <t>ด้านเวลาและแผนงาน (Schedule 2.6)</t>
        </is>
      </c>
      <c r="O5" s="22" t="inlineStr">
        <is>
          <t>ด้านเวลาและแผนงาน (Schedule 2.6)</t>
        </is>
      </c>
      <c r="P5" s="22" t="inlineStr">
        <is>
          <t>ด้านเวลาและแผนงาน (Schedule 2.6)</t>
        </is>
      </c>
      <c r="Q5" s="22" t="inlineStr">
        <is>
          <t>ด้านความยั่งยืน (SDGs 2.7)</t>
        </is>
      </c>
      <c r="R5" s="22" t="inlineStr">
        <is>
          <t>ด้านความยั่งยืน (SDGs 2.7)</t>
        </is>
      </c>
      <c r="S5" s="22" t="inlineStr">
        <is>
          <t>ด้านความยั่งยืน (SDGs 2.7)</t>
        </is>
      </c>
      <c r="T5" s="23" t="inlineStr">
        <is>
          <t>ผลรวมทุกมิติ (All Pillars)</t>
        </is>
      </c>
    </row>
    <row r="6" ht="80" customHeight="1">
      <c r="A6" s="21" t="inlineStr">
        <is>
          <t>คำถามทดสอบความเสี่ยงจริง (Stress-Test Question)</t>
        </is>
      </c>
      <c r="B6" s="24" t="inlineStr">
        <is>
          <t>เมื่อพิจารณาความพร้อมด้านเครื่องจักรกลและทักษะของทีมงาน (Fifa เชี่ยวชาญการออกแบบส่งกำลังและประกอบกลไก, Due เชี่ยวชาญ 3D CAD) โครงสร้างทางกายภาพภายนอกของระบบสามารถออกแบบ ผลิต และประกอบขึ้นได้จริง โดยทนทานต่อสภาวะแวดล้อมหน้างานของ กทม. ได้อย่างสมบูรณ์หรือไม่?</t>
        </is>
      </c>
      <c r="C6" s="24" t="inlineStr">
        <is>
          <t>เมื่อพิจารณาศักยภาพของทีมงาน (Due มีทักษะ Custom PCB และระบบฝังตัว, JK เข้าใจฟิสิกส์ของเซนเซอร์, Fifa เชี่ยวชาญการปรับเทียบเซนเซอร์) สถาปัตยกรรมวงจรอิเล็กทรอนิกส์ การจ่ายพลังงาน และการเชื่อมต่อเซนเซอร์/ตัวกระตุ้น สามารถทำงานได้อย่างมีเสถียรภาพโดยปราศจากความร้อนสะสมหรือสัญญาณรบกวนหรือไม่?</t>
        </is>
      </c>
      <c r="D6" s="24" t="inlineStr">
        <is>
          <t>เมื่อพิจารณาทักษะด้านอัลกอริทึมของทีมงาน (JK เชี่ยวชาญคณิตศาสตร์วิศวกรรม/สมการอนุพันธ์/ROS 2, Kin เชี่ยวชาญการประมวลผลข้อมูล Time-series และ AI Pipeline) โมเดลหรือตรรกะการประมวลผลของระบบสามารถให้ผลลัพธ์ที่ถูกต้องแม่นยำได้ทันภายในกรอบเวลาตัดสินใจเชิงปฏิบัติการของระบบหรือไม่?</t>
        </is>
      </c>
      <c r="E6" s="24" t="inlineStr">
        <is>
          <t>ระบบมีความสามารถในการรักษาระดับความถูกต้องของสัญญาณตรวจวัด (Signal Integrity) และทนทานต่อสิ่งรบกวนในสภาพแวดล้อมจริงของ กทม. (เช่น คราบไขมัน ก๊าซกัดกร่อน ฝุ่นละออง คลื่นผิวน้ำ หรือลมกระโชก) โดยไม่เกิดความล้มเหลวหรือส่งข้อมูลหลอกหรือไม่?</t>
        </is>
      </c>
      <c r="F6" s="24" t="inlineStr">
        <is>
          <t>งบประมาณจัดซื้อวัสดุ อุปกรณ์เซนเซอร์ ตัวกระตุ้น และบอร์ดประมวลผล (BOM) สำหรับสร้างต้นแบบที่ทำงานได้จริง สามารถควบคุมให้อยู่ภายใต้เพดานงบประมาณโครงงานนักศึกษา (&lt; 5,000 บาท) ได้อย่างแท้จริงหรือไม่?</t>
        </is>
      </c>
      <c r="G6" s="24" t="inlineStr">
        <is>
          <t>โครงการมีการจัดสรรงบประมาณสำรองสำหรับชิ้นส่วนอะไหล่ทดแทน (Scrap Allowance) อย่างน้อย 80-100% สำหรับเซนเซอร์และบอร์ดอิเล็กทรอนิกส์หลัก กรณีเกิดความเสียหายจากการทดสอบหน้างานจริงหรือไม่?</t>
        </is>
      </c>
      <c r="H6" s="24" t="inlineStr">
        <is>
          <t>เมื่อระบบถูกนำไปใช้งานจริง สามารถลดการสิ้นเปลืองทรัพยากรของภาครัฐ/เทศบาล (ค่าน้ำมันรถปฏิบัติการ ค่าน้ำ ค่าแรงลอกท่อ หรือค่าสึกหรอของยานพาหนะ) ได้คุ้มค่าเมื่อเทียบกับค่าใช้จ่ายในการบำรุงรักษาระบบ (OpEx) หรือไม่?</t>
        </is>
      </c>
      <c r="I6" s="24" t="inlineStr">
        <is>
          <t>การติดตั้งและปฏิบัติการของระบบ สอดคล้องกับกฎหมายคุ้มครองข้อมูลส่วนบุคคล (PDPA), พ.ร.บ. จราจรทางบก, และระเบียบความปลอดภัยในที่สาธารณะ โดยไม่ก่อให้เกิดความเสี่ยงต่อการถูกดำเนินคดีหรืออุบัติเหตุบนท้องถนนหรือไม่?</t>
        </is>
      </c>
      <c r="J6" s="24" t="inlineStr">
        <is>
          <t>เมื่อพิจารณาความพร้อมด้านการสื่อสารของทีมงาน (Due มีทักษะการถ่ายทอดเทคนิค, Fifa เชี่ยวชาญการคุยโจทย์เชิงพาณิชย์, JK ถนัดการคุยต่อหน้า) อุปกรณ์ไร้สายผ่านการรับรองจาก กสทช. และทีมงานมีความพร้อมในการเข้าพบประสานงานกับหน่วยงานรัฐ (สำนักงานเขต/กทม.) เพื่อขอพื้นที่ทดสอบจริงหรือไม่?</t>
        </is>
      </c>
      <c r="K6" s="24" t="inlineStr">
        <is>
          <t>ระบบสามารถสร้างหลักฐานเชิงประจักษ์ดิจิทัล (Digital Evidence / Audit Trail) เช่น กราฟแนวโน้ม, พิกัด GPS, การบันทึกเวลา และรายงานสรุปสถานะ เพื่อสนับสนุนการปิดงานหรือการตัดสินใจของหน่วยงานโดยไม่สร้างภาระงานซ้ำซ้อนหรือไม่?</t>
        </is>
      </c>
      <c r="L6" s="24" t="inlineStr">
        <is>
          <t>ความซับซ้อนในการติดตั้ง การบำรุงรักษา และการใช้งานโดยเจ้าหน้าที่หน้างาน อยู่ในระดับที่เหมาะสม ไม่สร้างภาระงานเพิ่มเติม และสอดคล้องกับพฤติกรรมการทำงานจริงของบุคลากรภาคสนามหรือไม่?</t>
        </is>
      </c>
      <c r="M6" s="24" t="inlineStr">
        <is>
          <t>ขั้นตอนการติดตั้ง การทดสอบ และการเก็บข้อมูลจริงหน้างาน สามารถกระทำได้อย่างปลอดภัย โดยไม่ก่อให้เกิดความเสี่ยงต่อชีวิตของผู้พัฒนา เจ้าหน้าที่ หรือประชาชนผู้สัญจรไปมาหรือไม่?</t>
        </is>
      </c>
      <c r="N6" s="24" t="inlineStr">
        <is>
          <t>เมื่อพิจารณาการกระจายงานในทีม 4 คน (Due, Fifa, Kin, JK) แผนงานและสถาปัตยกรรมระบบมีเวลาสำรอง (Buffer Time 3-4 สัปดาห์) เพียงพอที่จะดูดซับช่วงสอบกลางภาค/ปลายภาคของมหาวิทยาลัย โดยโครงการไม่ล่าช้ากว่ากำหนดหรือไม่?</t>
        </is>
      </c>
      <c r="O6" s="24" t="inlineStr">
        <is>
          <t>ความก้าวหน้าทางวิศวกรรมของทีม สามารถบรรลุเกณฑ์การทำงานร่วมกันได้จริงของฮาร์ดแวร์และซอฟต์แวร์ (Working Prototype) ภายในสัปดาห์ที่ 9 ก่อนการประเมินความก้าวหน้าหลักของภาคการศึกษาหรือไม่?</t>
        </is>
      </c>
      <c r="P6" s="24" t="inlineStr">
        <is>
          <t>ระยะเวลาในการสั่งซื้อและขนส่งชิ้นส่วน อุปกรณ์เซนเซอร์ และบอร์ดอิเล็กทรอนิกส์ทั้งหมด สอดคล้องกับกรอบเวลาของภาคการศึกษา โดยสามารถจัดส่งถึงมือได้ภายใน 14 วันหรือไม่?</t>
        </is>
      </c>
      <c r="Q6" s="24" t="inlineStr">
        <is>
          <t>ระบบส่งเสริมการลดความสูญเสียต่อชีวิต ทรัพย์สิน และโครงสร้างพื้นฐานของเมืองจากภัยพิบัติน้ำท่วมขังหรือความร้อนรุนแรง สอดคล้องกับเป้าหมาย SDG 11.5 และ SDG 13.1 อย่างเป็นรูปธรรมหรือไม่?</t>
        </is>
      </c>
      <c r="R6" s="24" t="inlineStr">
        <is>
          <t>อุปกรณ์และสาร/น้ำที่นำมาใช้ในระบบ ไม่ก่อให้เกิดมลพิษทางน้ำ ไม่เสี่ยงต่อการหลุดลอยกลายเป็นขยะอุดตันท่อระบายน้ำ และใช้วัสดุที่ทนทาน ปลอดสารอันตราย สอดคล้องกับ SDG 6.3 และ SDG 12.4 หรือไม่?</t>
        </is>
      </c>
      <c r="S6" s="24" t="inlineStr">
        <is>
          <t>ตรรกะการตัดสินใจ การคัดกรอง หรือการจัดสรรทรัพยากรของระบบ มีความโปร่งใส ตรวจสอบย้อนกลับได้ และให้บริการต่อประชาชนทุกกลุ่มอย่างเป็นธรรมโดยไม่เลือกปฏิบัติ สอดคล้องกับ SDG 10.2 และ SDG 16.6 หรือไม่?</t>
        </is>
      </c>
      <c r="T6" s="25" t="inlineStr">
        <is>
          <t>ประเมินคำถามทั้งสิ้น 18 ข้อ</t>
        </is>
      </c>
    </row>
    <row r="7" ht="95" customHeight="1">
      <c r="A7" s="21" t="inlineStr">
        <is>
          <t>เหตุผลในการถาม &amp; โหมดความล้มเหลวที่เฝ้าระวัง (Rationale)</t>
        </is>
      </c>
      <c r="B7" s="24" t="inlineStr">
        <is>
          <t>หากระบบบังคับต้องใช้เครื่องจักรกลึง/หล่อโลหะขนาดใหญ่ในโรงงานที่ทีมไม่มีสิทธิ์เข้าถึง โครงงานจะล้มเหลวตั้งแต่สัปดาห์แรก นอกจากนี้ อุปกรณ์ที่ติดตั้งกลางแจ้งหรือในระบบท่อต้องทนทานต่อแรงลมมรสุม ละอองน้ำ และแรงสั่นสะเทือน</t>
        </is>
      </c>
      <c r="C7" s="24" t="inlineStr">
        <is>
          <t>วงจรไฟฟ้าที่ขาดการป้องกันจะเสี่ยงต่อการลัดวงจรเมื่อเจอน้ำและความชื้น นอกจากนี้ อุปกรณ์ที่ต้องประมวลผลต่อเนื่องหรือจ่ายกระแสสูงกลางแจ้ง เสี่ยงต่อความร้อนสะสมจนชิปค้างหรือรีบูตตัวเองขณะปฏิบัติการ</t>
        </is>
      </c>
      <c r="D7" s="24" t="inlineStr">
        <is>
          <t>หัวใจของระบบอัตโนมัติคือการให้ผลการตัดสินใจที่ทันเวลาและถูกต้อง หากโมเดลซับซ้อนเกินไปจนรันไม่ทัน หรือขาดข้อมูลฝึกฝนจนผลลัพธ์เพี้ยน ระบบจะไม่สามารถสนับสนุนการทำงานจริงของเจ้าหน้าที่ได้</t>
        </is>
      </c>
      <c r="E7" s="24" t="inlineStr">
        <is>
          <t>สภาพแวดล้อมจริงในเขตเมืองเต็มไปด้วยสิ่งรบกวน หากไม่มีเกราะกำบังทางกายภาพและตัวกรองสัญญาณเชิงสถิติ ข้อมูลจะกระโดดไปมา นำไปสู่การตัดสินใจที่ผิดพลาดและสร้างความเสียหายต่อกระบวนการทำงาน</t>
        </is>
      </c>
      <c r="F7" s="24" t="inlineStr">
        <is>
          <t>โครงงานนักศึกษาไม่มีงบประมาณสนับสนุนขนาดใหญ่จากภายนอก หากสถาปัตยกรรมบังคับใช้อุปกรณ์เกรดอุตสาหกรรมนำเข้าราคาหลายหมื่นบาท จะทำให้โครงงานหยุดชะงักจากปัญหางบประมาณบานปลาย</t>
        </is>
      </c>
      <c r="G7" s="24" t="inlineStr">
        <is>
          <t>การทดสอบหน้างานมีความเสี่ยงสูงต่อไฟกระชาก น้ำซึม หรืออุปกรณ์ตกหล่นเสียหาย หากไม่มีงบสำรองอะไหล่ทดแทนอย่างเพียงพอ ความเสียหายเพียงครั้งเดียวจะทำให้การทดลองหยุดชะงักอย่างยาวนาน</t>
        </is>
      </c>
      <c r="H7" s="24" t="inlineStr">
        <is>
          <t>โครงการด้านวิศวกรรมเมืองต้องพิสูจน์ความคุ้มค่าเชิงผลประโยชน์ต่อสาธารณะ หากค่าดูแลระบบแพงกว่าทรัพยากรที่ประหยัดได้ โครงการจะไม่สามารถนำไปขยายผลหรือใช้งานจริงในระยะยาวได้</t>
        </is>
      </c>
      <c r="I7" s="24" t="inlineStr">
        <is>
          <t>การติดตั้งอุปกรณ์หรือปฏิบัติการบนถนนสาธารณะมักเสี่ยงต่อการละเมิดกฎหมาย การบันทึกภาพบุคคลผิด PDPA หรือการเปิดฝาท่อ/วางอุปกรณ์กีดขวางทางสัญจรโดยไม่ได้รับอนุญาต อาจนำไปสู่อุบัติเหตุและคดีความทันที</t>
        </is>
      </c>
      <c r="J7" s="24" t="inlineStr">
        <is>
          <t>เทคโนโลยีที่มีการเชื่อมต่อไร้สายต้องใช้คลื่นความถี่ที่ได้รับอนุญาต และการนำอุปกรณ์ไปทดสอบกับโครงสร้างพื้นฐานของเมืองจำเป็นต้องอาศัยการเข้าพบ ชี้แจง และขออนุญาตเป็นลายลักษณ์อักษรจากหน่วยงานผู้รับผิดชอบ</t>
        </is>
      </c>
      <c r="K7" s="24" t="inlineStr">
        <is>
          <t>ระเบียบปฏิบัติราชการและระบบเมืองจำเป็นต้องมีหลักฐานยืนยันผลการทำงาน หากระบบไม่สามารถสร้างหลักฐานที่น่าเชื่อถือได้ เจ้าหน้าที่จะยังคงถูกบังคับให้ต้องลงพื้นที่ไปตรวจสอบด้วยตนเองเหมือนเดิม</t>
        </is>
      </c>
      <c r="L7" s="24" t="inlineStr">
        <is>
          <t>ระบบวิศวกรรมที่ยอดเยี่ยมมักตายในหน้างานเพราะผู้ใช้ไม่ยอมรับ หากระบบมีขั้นตอนที่ยุ่งยาก ซับซ้อน หรือต้องใช้เวลาปรับเทียบนานเกินไป เจ้าหน้าที่จะปฏิเสธและหันกลับไปใช้วิธีเดิม</t>
        </is>
      </c>
      <c r="M7" s="24" t="inlineStr">
        <is>
          <t>ความปลอดภัยต่อชีวิตเป็นเกณฑ์ตัดสินเด็ดขาด (Fatal Gate) งานที่มีความเสี่ยงจากการตกท่อระบายน้ำลึก สัมผัสก๊าซพิษในที่อับอากาศ หรือถูกกระแสน้ำเชี่ยวพัดพา หากไม่มีมาตรการความปลอดภัยที่รัดกุม จะต้องถูกระงับทันที</t>
        </is>
      </c>
      <c r="N7" s="24" t="inlineStr">
        <is>
          <t>ปฏิทินการศึกษาของมหาวิทยาลัยมีช่วงสอบกลางภาคและปลายภาครวมกัน 4 สัปดาห์ หากแผนงานเป็นแบบ Linear Dependency และไม่มีการแบ่งงานขนาน โครงการจะล้มเหลวด้านเวลาทันที</t>
        </is>
      </c>
      <c r="O7" s="24" t="inlineStr">
        <is>
          <t>เกณฑ์ความก้าวหน้าสัปดาห์ที่ 9 เป็น Milestone สำคัญในการพิสูจน์ว่าแนวคิดทางวิศวกรรมสามารถทำงานร่วมกันได้จริง (Proof of Concept) หากไม่มีต้นแบบทำงานได้ จะไม่ผ่านเกณฑ์การประเมินวิชา</t>
        </is>
      </c>
      <c r="P7" s="24" t="inlineStr">
        <is>
          <t>การรอคอยชิ้นส่วนเป็นปัจจัยเสี่ยงอันดับต้น ๆ ของโครงการ หากออกแบบโดยใช้ชิ้นส่วนที่ต้องรอส่งจากต่างประเทศเกิน 4-6 สัปดาห์ จะทำให้ทีมงานไม่มีเวลาประกอบและทดสอบระบบ</t>
        </is>
      </c>
      <c r="Q7" s="24" t="inlineStr">
        <is>
          <t>นวัตกรรมเมืองต้องตอบสนองต่อเป้าหมายการพัฒนาที่ยั่งยืน ช่วยให้เมืองมีความยืดหยุ่น (Resilient Cities) และสามารถปรับตัวต่อผลกระทบของการเปลี่ยนแปลงสภาพภูมิอากาศได้อย่างมีประสิทธิภาพ</t>
        </is>
      </c>
      <c r="R7" s="24" t="inlineStr">
        <is>
          <t>ระบบที่นำไปติดตั้งในโครงสร้างพื้นฐานเมืองต้องไม่กลายเป็นผู้สร้างมลพิษรายใหม่ อุปกรณ์ต้องไม่หลุดลอยไปอุดตันท่อระบายน้ำ และต้องใช้วัสดุที่เป็นมิตรต่อสิ่งแวดล้อม</t>
        </is>
      </c>
      <c r="S7" s="24" t="inlineStr">
        <is>
          <t>ระบบอัตโนมัติหรือระบบคัดกรองของรัฐต้องไม่กลายเป็นกล่องดำ (Black Box) ที่เลือกปฏิบัติต่อชุมชนใดชุมชนหนึ่ง ต้องมีเกณฑ์การตัดสินใจที่โปร่งใส ตรวจสอบย้อนหลังได้ เพื่อสร้างความเชื่อมั่น</t>
        </is>
      </c>
      <c r="T7" s="25" t="inlineStr">
        <is>
          <t>สังเคราะห์จาก AI Agents Group 2</t>
        </is>
      </c>
    </row>
    <row r="8" ht="150" customHeight="1">
      <c r="A8" s="21" t="inlineStr">
        <is>
          <t>เกณฑ์การให้คะแนน (Scoring Rubric Definition: ระดับ 1, 2, 3, 4, 5 ครบทุกระดับ)</t>
        </is>
      </c>
      <c r="B8" s="24" t="inlineStr">
        <is>
          <t>1: บังคับต้องใช้เครื่องจักรกลึง/หล่อโลหะขนาดใหญ่ในโรงงานอุตสาหกรรมที่ทีมไม่มีสิทธิ์เข้าถึง (Fatal Flaw)
2: ต้องจ้างโรงกลึงภายนอกผลิตเกือบทั้งหมด งบประมาณไม่พอและเสี่ยงต่อความล่าช้า
3: ใช้โครงสร้าง 3D Print ร่วมกับการประกอบมือ ความแข็งแรงปานกลาง ต้องมีตัวกำบังเพิ่มเติม
4: ผสมผสานชิ้นส่วนสำเร็จรูป COTS ร่วมกับชิ้นงานกลไกที่ Fifa และ Due ออกแบบและประกอบเองได้ มีการทดสอบความแข็งแรง
5: ใช้โครงสร้างและกล่องสำเร็จรูปมาตรฐานอุตสาหกรรม (IP67/IP68) ร่วมกับระบบยึดจับมาตรฐาน (COTS Clamps/Mounts) แข็งแรง ทนทาน ไม่ต้องดัดแปลงซับซ้อน</t>
        </is>
      </c>
      <c r="C8" s="24" t="inlineStr">
        <is>
          <t>1: ต้องพึ่งพาวงจรความถี่สูงหรือชิปเฉพาะทางที่ทีมไม่มีทักษะและเสี่ยงต่อการลัดวงจร/ความร้อนพังทลาย (Fatal Flaw)
2: อุปกรณ์ประมวลผลเกิดความร้อนสะสมสูงจัด หรือสัญญาณแอนะล็อกถูกคลื่นรบกวนจนอ่านค่าผิดพลาดบ่อย
3: ใช้วงจรประกอบมือบน Perfboard หรือสายไฟต่อแบบหลวม เสี่ยงต่อการหลุดเมื่อมีแรงสั่นสะเทือน
4: ใช้บอร์ดไมโครคอนโทรลเลอร์สำเร็จรูปเชื่อมต่อผ่าน Screw Terminal Shield หรือ Custom PCB ขนาดเล็กของ Due ที่มีระบบป้องกันไฟกระชาก
5: สถาปัตยกรรมวงจรมาตรฐานอุตสาหกรรม มีวงจรแยกสัญญาณรบกวน (Optocoupler/Filter) การจัดการพลังงานแบบ Low-Power โหมด และระบายความร้อนได้ดีเยี่ยม</t>
        </is>
      </c>
      <c r="D8" s="24" t="inlineStr">
        <is>
          <t>1: ต้องพึ่งพาโมเดล AI มหาศาลที่ไม่มีชุดข้อมูล หรืออัลกอริทึมใช้เวลาประมวลผลนานเกินกว่ากรอบเวลาตัดสินใจหน้างานจนระบบไร้ประโยชน์ (Fatal Flaw)
2: อัลกอริทึมมีความซับซ้อนสูงแต่ขาดการปรับเทียบ (Calibration) ทำให้ผลการตัดสินใจคลาดเคลื่อนบ่อย
3: ใช้เกณฑ์แบบคงที่ (Static Threshold) ซึ่งปรับตัวตามสภาวะพลวัตของสภาพแวดล้อมจริงได้จำกัด
4: ใช้อัลกอริทึมประมวลผลสัญญาณหรือโมเดลน้ำหนักเบาที่ Kin และ JK พัฒนาขึ้น ประมวลผลเสร็จในระดับวินาที มีความแม่นยำสูง
5: ใช้สมการฟิสิกส์/คณิตศาสตร์เชิงประจักษ์ร่วมกับโมเดลการไหลของข้อมูลแบบเรียลไทม์ ประมวลผลเสร็จในระดับมิลลิวินาที พร้อมระบบตรวจสอบความถูกต้องในตัว</t>
        </is>
      </c>
      <c r="E8" s="24" t="inlineStr">
        <is>
          <t>1: ระบบล้มเหลวโดยสิ้นเชิงเมื่อสัมผัสสภาพแวดล้อมจริง (เช่น สิ่งสกปรกบดบังหัววัดจนสัญญาณดับ หรือก๊าซกัดกร่อนเซนเซอร์พังทันที / Fatal Flaw)
2: เกิด False Alarm สูงเมื่อเจอสภาพอากาศแปรปรวน ต้องอาศัยมนุษย์คอยรีเซ็ตและปรับเทียบตลอดเวลา
3: ทนต่อสิ่งรบกวนได้ปานกลาง ต้องมีรอบการทำความสะอาดบ่อยครั้งเพื่อรักษาความแม่นยำ
4: มีการติดตั้งอุปกรณ์ป้องกันเชิงกายภาพ (Housing/Shield) ร่วมกับอัลกอริทึมกรองสัญญาณเชิงสถิติ (Statistical/Median Filter)
5: ออกแบบให้ตรวจวัดแบบไม่สัมผัสสิ่งรบกวนโดยตรง (Non-contact Sensing) พร้อมอัลกอริทึม Adaptive Filtering กรองสัญญาณรบกวนได้อย่างสมบูรณ์</t>
        </is>
      </c>
      <c r="F8" s="24" t="inlineStr">
        <is>
          <t>1: งบประมาณ BOM เกิน 20,000 บาท (เกินเพดาน 5,000 บาท ถึง 4 เท่าตัว / Fatal Flaw)
2: งบประมาณ BOM อยู่ระหว่าง 10,000 - 20,000 บาท ต้องขอทุนสนับสนุนภายนอก
3: งบประมาณ BOM อยู่ระหว่าง 5,000 - 10,000 บาท เกินงบส่วนตัวเล็กน้อย ต้องตัดทอนฟังก์ชัน
4: งบประมาณ BOM อยู่ระหว่าง 3,500 - 5,000 บาท พอดีกับเพดานงบประมาณของทีม
5: งบประมาณ BOM ต่ำกว่า 3,500 บาท ใช้อุปกรณ์ COTS ราคาประหยัด ควบคุมต้นทุนได้อย่างเด็ดขาด</t>
        </is>
      </c>
      <c r="G8" s="24" t="inlineStr">
        <is>
          <t>1: ไม่มีงบสำรองอะไหล่เลย (0%) หากอุปกรณ์ช็อตหรือเสียหายชิ้นเดียว โครงการจะหยุดชะงักทันที (Fatal Flaw)
2: มีงบสำรองอะไหล่เพียง 10-20% ทดแทนได้เฉพาะอุปกรณ์พื้นฐานชิ้นเล็ก ๆ
3: มีงบสำรองอะไหล่ประมาณ 50% สามารถสำรองเซนเซอร์ได้แต่ไม่มีบอร์ดประมวลผลสำรอง
4: มีงบสำรองอะไหล่ 80-100% สำหรับเซนเซอร์หลักและโมดูลควบคุมสำคัญ
5: มีงบสำรองอะไหล่ 100% ครอบคลุมเซนเซอร์และบอร์ดหลักครบทุกชุด ภายใต้เพดานงบประมาณรวมของทีม</t>
        </is>
      </c>
      <c r="H8" s="24" t="inlineStr">
        <is>
          <t>1: ค่าใช้จ่ายในการดูแลรักษาระบบ (OpEx) สูงกว่ามูลค่าทรัพยากรที่ประหยัดได้ กลายเป็นภาระงบประมาณของเมือง (Fatal Flaw)
2: ประหยัดทรัพยากรได้น้อยมาก ไม่คุ้มทุนภายในระยะเวลา 2 ปี
3: คืนทุนได้ในระยะปานกลาง (1-2 ปี) การประหยัดทรัพยากรขึ้นอยู่กับฤดูกาล
4: ประหยัดทรัพยากร ค่าน้ำมัน และค่าแรงเจ้าหน้าที่ได้อย่างชัดเจน คุ้มทุนภายในรอบการใช้งานปีแรก
5: ลดการสูญเปล่าของทรัพยากรเมืองได้มากกว่า 30-50% ประหยัดงบประมาณภาครัฐได้หลายแสนบาทต่อปี โดยระบบกินไฟต่ำมาก</t>
        </is>
      </c>
      <c r="I8" s="24" t="inlineStr">
        <is>
          <t>1: มีการละเมิดกฎหมายอย่างร้ายแรง (เช่น ละเมิดสิทธิข้อมูลส่วนบุคคล PDPA ร้ายแรง หรือติดตั้งขวางทางจราจรเสี่ยงอุบัติเหตุรุนแรง / Fatal Flaw)
2: สุ่มเสี่ยงต่อการละเมิดกฎหมาย ต้องมีขั้นตอนทางเทคนิคที่ซับซ้อนเพื่อเลี่ยงข้อบังคับและยังไม่มีเอกสารยินยอม
3: ปฏิบัติตามกฎหมายได้บางส่วน แต่ต้องรอการอนุมัติข้อยกเว้นจากหน่วยงานอย่างเป็นทางการ
4: ปฏิบัติตามกฎหมายอย่างถูกต้อง ไม่มีการเก็บข้อมูลส่วนบุคคล และมีมาตรการความปลอดภัยบนผิวทางตามระเบียบ
5: ปลอดจากการละเมิดกฎหมาย 100% ไม่เก็บข้อมูลบุคคล (Zero PII) และติดตั้งในจุดปลอดภัยตามมาตรฐานวิศวกรรมสาธารณะ</t>
        </is>
      </c>
      <c r="J8" s="24" t="inlineStr">
        <is>
          <t>1: อุปกรณ์สื่อสารไม่ผ่าน กสทช. และทีมงานไม่มีความพร้อม/ถูกปฏิเสธการติดต่อจากหน่วยงานรัฐอย่างสิ้นเชิง (Fatal Flaw)
2: โมดูลสื่อสารผ่าน กสทช. แต่ทีมงานขาดทักษะการเจรจากับราชการ ทำให้กระบวนการขออนุญาตล่าช้าเกิน 2 เดือน
3: มีหนังสือรับรองจากคณะวิศวกรรมศาสตร์ อยู่ระหว่างรอการประสานงานพื้นที่กับเจ้าหน้าที่ท้องถิ่น
4: โมดูลสื่อสารผ่าน กสทช. และทีมงานสามารถสื่อสาร ย่อยความซับซ้อน และประสานงานกับเจ้าหน้าที่เขตได้อย่างราบรื่น
5: โมดูลผ่าน กสทช. 100% และมีเครือข่ายความร่วมมือหรือหนังสืออนุญาตให้ทดสอบในพื้นที่จริงจากหน่วยงานผู้ดูแล</t>
        </is>
      </c>
      <c r="K8" s="24" t="inlineStr">
        <is>
          <t>1: ไม่สามารถสร้างหลักฐานใด ๆ ได้ บังคับให้เจ้าหน้าที่ต้องลงพื้นที่ไปตรวจสอบซ้ำซ้อน 100% (Fatal Flaw)
2: แสดงได้เฉพาะตัวเลขดิบที่ยากต่อการแปลผล เจ้าหน้าที่หน้างานไม่สามารถนำไปใช้เป็นหลักฐานปิดงานได้
3: สร้างรายงานสรุปได้แต่ยังต้องอาศัยการกรอกข้อมูลและรูปถ่ายจากเจ้าหน้าที่มายืนยันเพิ่มเติม
4: สร้างบัตรหลักฐานดิจิทัล (Digital Evidence Card / Report) ที่แสดงผลชัดเจน อ่านเข้าใจง่ายใน 5 วินาที
5: มีระบบบันทึก Audit Trail อัตโนมัติ พร้อมส่งออกรายงานหรือเชื่อมโยง API เข้าสู่ระบบของหน่วยงานได้อย่างสมบูรณ์</t>
        </is>
      </c>
      <c r="L8" s="24" t="inlineStr">
        <is>
          <t>1: ใช้งานยากมาก ต้องใช้วิศวกรหรือผู้เชี่ยวชาญคอยควบคุมตลอดเวลา ผู้ปฏิบัติงานปฏิเสธการใช้งาน (Fatal Flaw)
2: มีขั้นตอนการปรับเทียบ (Calibration) และบำรุงรักษาที่ยุ่งยากเกิน 30 นาทีต่อครั้ง
3: เจ้าหน้าที่ต้องผ่านการฝึกอบรม 1-2 วัน จึงจะสามารถใช้งานและบำรุงรักษาได้อย่างถูกต้อง
4: ใช้งานง่าย มีคู่มือปฏิบัติงานภาคสนามชัดเจน บำรุงรักษาได้ด้วยเครื่องมือช่างทั่วไป
5: ออกแบบตามหลักสรีรศาสตร์และ UX หน้างาน กดปุ่มเดียวทำงานอัตโนมัติ (Plug-and-Play) เจ้าหน้าที่ใช้งานได้ทันทีโดยไม่ต้องอบรมซับซ้อน</t>
        </is>
      </c>
      <c r="M8" s="24" t="inlineStr">
        <is>
          <t>1: มีความเสี่ยงต่อชีวิตอย่างร้ายแรง (เช่น เสี่ยงตกท่อระบายน้ำลึก, สัมผัสก๊าซพิษสะสมในที่อับอากาศโดยไม่มีอุปกรณ์, หรือถูกกระแสน้ำดูด / Fatal Flaw)
2: สภาพแวดล้อมหน้างานมีความเสี่ยงสูง ต้องใช้อุปกรณ์ป้องกันภัยส่วนบุคคล (PPE) เต็มรูปแบบและต้องมีผู้ควบคุมความปลอดภัยมืออาชีพ
3: มีความปลอดภัยปานกลาง สามารถทดสอบได้เฉพาะจุดที่มีราวกั้นชัดเจนหรือบนทางเท้าที่มีการกั้นเขต
4: มีความปลอดภัยสูง ออกแบบให้ติดตั้งและทดสอบจากบนผิวทางเท้าหรือสะพาน โดยไม่มีการให้คนมุดลงในพื้นที่อับอากาศ
5: ปลอดภัย 100% ออกแบบให้ติดตั้งและทดสอบจากระยะไกล มีระบบตัดการทำงานฉุกเฉิน และปลอดจากจุดเสี่ยงอันตรายต่อชีวิตทุกประการ</t>
        </is>
      </c>
      <c r="N8" s="24" t="inlineStr">
        <is>
          <t>1: แผนงานเป็นเส้นตรงที่พึ่งพากันทั้งหมด (Linear Dependency) หากติดสอบเพียง 1 สัปดาห์ โครงการจะพังทลายทันที (Fatal Flaw)
2: มีเวลาสำรองเพียง 3-5 วัน เสี่ยงต่อการส่งมอบงานล่าช้าอย่างมากเมื่อสมาชิกติดภารกิจการเรียน
3: มีเวลาสำรอง 1-2 สัปดาห์ สามารถเลื่อนงานได้บางส่วนแต่ต้องเร่งงานหนักหลังสอบ
4: มี Buffer Time 3-4 สัปดาห์ชัดเจน และแบ่งโมดูลฮาร์ดแวร์-ซอฟต์แวร์ให้สมาชิก 4 คนทำงานคู่ขนานกันได้
5: สถาปัตยกรรมระบบเป็นอิสระต่อกันสูง ระบบหลักเสร็จสมบูรณ์ตั้งแต่ก่อนสัปดาห์สอบ มีเวลาทดสอบรวมมากกว่า 4-5 สัปดาห์</t>
        </is>
      </c>
      <c r="O8" s="24" t="inlineStr">
        <is>
          <t>1: มีความเสี่ยงสูงมากที่จะไม่มีระบบใด ๆ ทำงานได้จริงในสัปดาห์ที่ 9 (Fatal Flaw)
2: ในสัปดาห์ที่ 9 ได้เพียงการทดลองแยกส่วนบนโต๊ะแล็บ ยังไม่สามารถรวมระบบฮาร์ดแวร์และซอฟต์แวร์ได้
3: ในสัปดาห์ที่ 9 ระบบทำงานร่วมกันได้บนโต๊ะแล็บ แต่อุปกรณ์ยังไม่พร้อมสำหรับการทดสอบในสภาวะจำลอง
4: ภายในสัปดาห์ที่ 9 มีต้นแบบฮาร์ดแวร์และซอฟต์แวร์ที่ผสานการทำงานสมบูรณ์ พร้อมทดสอบในสภาวะจำลองหน้างาน
5: ต้นแบบเสร็จสมบูรณ์ 100% และผ่านการทดสอบทำงานจริงได้เรียบร้อยแล้วตั้งแต่ก่อนสัปดาห์ที่ 9</t>
        </is>
      </c>
      <c r="P8" s="24" t="inlineStr">
        <is>
          <t>1: ต้องสั่งซื้อชิ้นส่วนพิเศษจากต่างประเทศที่ใช้เวลาส่งเกิน 4-6 สัปดาห์ เสี่ยงต่อการไม่มีอุปกรณ์ทำโครงงาน (Fatal Flaw)
2: มีชิ้นส่วนหลักบางรายการที่ต้องรอของ 3-4 สัปดาห์ ทำให้เริ่มงานฮาร์ดแวร์ได้ช้า
3: ชิ้นส่วนทั้งหมดใช้เวลาจัดส่ง 2-3 สัปดาห์ ต้องสั่งซื้อตั้งแต่วันแรกของโครงการ
4: ชิ้นส่วนเกือบทั้งหมดจัดซื้อได้จากตัวแทนจำหน่ายในประเทศ ได้รับของภายใน 7-10 วัน
5: ชิ้นส่วนทั้งหมด 100% มีจำหน่ายในประเทศและสามารถจัดส่งถึงมือได้ภายใน 2-4 วันทำการ</t>
        </is>
      </c>
      <c r="Q8" s="24" t="inlineStr">
        <is>
          <t>1: โครงการไม่มีส่วนเกี่ยวข้องหรืออาจส่งผลกระทบเชิงลบต่อเป้าหมายความยั่งยืนของเมือง (Fatal Flaw)
2: สนับสนุนความยั่งยืนในทางอ้อมอย่างผิวเผิน แต่ไม่มีตัวชี้วัดผลกระทบที่ชัดเจน
3: ส่งเสริมการลดผลกระทบได้บางส่วน แต่จำกัดขอบเขตอยู่เฉพาะจุดทดลองขนาดเล็ก
4: สอดคล้องกับ SDG 11.5 และ SDG 13.1 ชัดเจน ช่วยลดระยะเวลาและผลกระทบของปัญหาบนถนนสายหลักของเมือง
5: สอดคล้องกับ SDG 11.5 และ SDG 13.1 อย่างเป็นรูปธรรม มีแบบจำลองแสดงการลดความสูญเสียทางเศรษฐกิจและความปลอดภัยของประชาชนในเมืองอย่างยั่งยืน</t>
        </is>
      </c>
      <c r="R8" s="24" t="inlineStr">
        <is>
          <t>1: มีความเสี่ยงสูงที่อุปกรณ์จะหลุดลอยกลายเป็นขยะอุดตันท่อ หรือปล่อยสารเคมี/มลพิษลงสู่แหล่งน้ำสาธารณะ (Fatal Flaw)
2: อุปกรณ์ใช้วัสดุที่ชำรุดง่าย เสี่ยงต่อการตกค้างในสภาพแวดล้อมหากเกิดลมพายุหรือน้ำหลาก
3: ติดตั้งแข็งแรงปานกลาง มีโอกาสหลุดลอยหากเจอสภาวะวิกฤต ต้องมีการตรวจเช็กสม่ำเสมอ
4: ใช้วัสดุที่ไม่เป็นพิษต่อสิ่งแวดล้อม มีโครงสร้างยึดจับที่แน่นหนา ปลอดภัยต่อระบบระบายน้ำ
5: ปลอดภัยต่อระบบนิเวศน้ำ 100% ไม่มีส่วนประกอบที่หลุดลอยเป็นขยะ มีระบบสลิงนิรภัยสองชั้น และส่งเสริมการใช้น้ำอย่างมีประสิทธิภาพสูงสุด</t>
        </is>
      </c>
      <c r="S8" s="24" t="inlineStr">
        <is>
          <t>1: ตรรกะของระบบเป็นกล่องดำ (Black Box) ไม่สามารถอธิบายเหตุผลได้ หรือมีอคติเลือกปฏิบัติตัดความช่วยเหลือชุมชนเปราะบาง (Fatal Flaw)
2: เกณฑ์การตัดสินใจไม่ชัดเจน อาจนำไปสู่ความเหลื่อมล้ำในการให้บริการของภาครัฐโดยไม่ตั้งใจ
3: ตรรกะตรวจสอบได้บางส่วน แต่ยังไม่มีกระบวนการอุทธรณ์หรือทบทวนจากเจ้าหน้าที่
4: ตรรกะโปร่งใส ตัดสินใจตามเกณฑ์ข้อมูลเชิงประจักษ์อย่างเสมอภาค ให้ความช่วยเหลือตามระดับความจำเป็นจริง
5: โปร่งใส 100% มี Audit Trail บันทึกทุกการตัดสินใจ ตรวจสอบย้อนกลับได้ทุกเคส เสริมสร้างธรรมาภิบาลและความเชื่อมั่นของประชาชนต่อหน่วยงานรัฐ</t>
        </is>
      </c>
      <c r="T8" s="25" t="inlineStr">
        <is>
          <t>เกณฑ์รวม: &gt;=80 ผ่านสูง, &gt;=60 มีเงื่อนไข, &lt;60 เสี่ยงสูง | หากมีข้อใดได้ 1 = VETOED ตกเกณฑ์ทันที</t>
        </is>
      </c>
    </row>
    <row r="9" ht="36" customHeight="1">
      <c r="A9" s="26" t="inlineStr">
        <is>
          <t>คะแนนที่ได้รับ (ASSIGNED SCORE: 1, 2, 3, 4, 5 STRICT INTEGER)</t>
        </is>
      </c>
      <c r="B9" s="27" t="n">
        <v>5</v>
      </c>
      <c r="C9" s="27" t="n">
        <v>4</v>
      </c>
      <c r="D9" s="27" t="n">
        <v>5</v>
      </c>
      <c r="E9" s="27" t="n">
        <v>4</v>
      </c>
      <c r="F9" s="27" t="n">
        <v>5</v>
      </c>
      <c r="G9" s="27" t="n">
        <v>5</v>
      </c>
      <c r="H9" s="27" t="n">
        <v>4</v>
      </c>
      <c r="I9" s="27" t="n">
        <v>5</v>
      </c>
      <c r="J9" s="27" t="n">
        <v>4</v>
      </c>
      <c r="K9" s="27" t="n">
        <v>4</v>
      </c>
      <c r="L9" s="27" t="n">
        <v>4</v>
      </c>
      <c r="M9" s="27" t="n">
        <v>5</v>
      </c>
      <c r="N9" s="27" t="n">
        <v>4</v>
      </c>
      <c r="O9" s="27" t="n">
        <v>4</v>
      </c>
      <c r="P9" s="27" t="n">
        <v>5</v>
      </c>
      <c r="Q9" s="27" t="n">
        <v>5</v>
      </c>
      <c r="R9" s="27" t="n">
        <v>5</v>
      </c>
      <c r="S9" s="27" t="n">
        <v>5</v>
      </c>
      <c r="T9" s="28">
        <f>IF(T10&gt;0, (T11/T10)*20, 0)</f>
        <v/>
      </c>
    </row>
    <row r="10" ht="22" customHeight="1">
      <c r="A10" s="21" t="inlineStr">
        <is>
          <t>ค่าน้ำหนัก (Weight %)</t>
        </is>
      </c>
      <c r="B10" s="29" t="n">
        <v>0.05</v>
      </c>
      <c r="C10" s="29" t="n">
        <v>0.05</v>
      </c>
      <c r="D10" s="29" t="n">
        <v>0.05</v>
      </c>
      <c r="E10" s="29" t="n">
        <v>0.05</v>
      </c>
      <c r="F10" s="29" t="n">
        <v>0.0667</v>
      </c>
      <c r="G10" s="29" t="n">
        <v>0.0667</v>
      </c>
      <c r="H10" s="29" t="n">
        <v>0.06660000000000001</v>
      </c>
      <c r="I10" s="29" t="n">
        <v>0.075</v>
      </c>
      <c r="J10" s="29" t="n">
        <v>0.075</v>
      </c>
      <c r="K10" s="29" t="n">
        <v>0.0667</v>
      </c>
      <c r="L10" s="29" t="n">
        <v>0.0667</v>
      </c>
      <c r="M10" s="29" t="n">
        <v>0.06660000000000001</v>
      </c>
      <c r="N10" s="29" t="n">
        <v>0.05</v>
      </c>
      <c r="O10" s="29" t="n">
        <v>0.05</v>
      </c>
      <c r="P10" s="29" t="n">
        <v>0.05</v>
      </c>
      <c r="Q10" s="29" t="n">
        <v>0.0333</v>
      </c>
      <c r="R10" s="29" t="n">
        <v>0.0333</v>
      </c>
      <c r="S10" s="29" t="n">
        <v>0.0334</v>
      </c>
      <c r="T10" s="29">
        <f>SUM(B10:S10)</f>
        <v/>
      </c>
    </row>
    <row r="11" ht="24" customHeight="1">
      <c r="A11" s="21" t="inlineStr">
        <is>
          <t>คะแนนถ่วงน้ำหนัก (=Score * Weight)</t>
        </is>
      </c>
      <c r="B11" s="30">
        <f>B9*B10</f>
        <v/>
      </c>
      <c r="C11" s="30">
        <f>C9*C10</f>
        <v/>
      </c>
      <c r="D11" s="30">
        <f>D9*D10</f>
        <v/>
      </c>
      <c r="E11" s="30">
        <f>E9*E10</f>
        <v/>
      </c>
      <c r="F11" s="30">
        <f>F9*F10</f>
        <v/>
      </c>
      <c r="G11" s="30">
        <f>G9*G10</f>
        <v/>
      </c>
      <c r="H11" s="30">
        <f>H9*H10</f>
        <v/>
      </c>
      <c r="I11" s="30">
        <f>I9*I10</f>
        <v/>
      </c>
      <c r="J11" s="30">
        <f>J9*J10</f>
        <v/>
      </c>
      <c r="K11" s="30">
        <f>K9*K10</f>
        <v/>
      </c>
      <c r="L11" s="30">
        <f>L9*L10</f>
        <v/>
      </c>
      <c r="M11" s="30">
        <f>M9*M10</f>
        <v/>
      </c>
      <c r="N11" s="30">
        <f>N9*N10</f>
        <v/>
      </c>
      <c r="O11" s="30">
        <f>O9*O10</f>
        <v/>
      </c>
      <c r="P11" s="30">
        <f>P9*P10</f>
        <v/>
      </c>
      <c r="Q11" s="30">
        <f>Q9*Q10</f>
        <v/>
      </c>
      <c r="R11" s="30">
        <f>R9*R10</f>
        <v/>
      </c>
      <c r="S11" s="30">
        <f>S9*S10</f>
        <v/>
      </c>
      <c r="T11" s="30">
        <f>SUM(B11:S11)</f>
        <v/>
      </c>
    </row>
    <row r="12" ht="115" customHeight="1">
      <c r="A12" s="21" t="inlineStr">
        <is>
          <t>คำอธิบาย &amp; หลักฐานอ้างอิงจากไฟล์ Intake (Evidence Citation)</t>
        </is>
      </c>
      <c r="B12" s="24" t="inlineStr">
        <is>
          <t>อ้างอิง solution-5_uhi_latent_heat.md ข้อ 3.3 ระบบหัวฉีดละอองน้ำ ปั๊ม 12V และท่อ PE ประกอบขึ้นจากอุปกรณ์ COTS สำเร็จรูป อ้างอิง team-skills/fifa.md ที่เชี่ยวชาญการต่อท่อส่งกำลังและประกอบกลไก และ due.md ดูแลเคส</t>
        </is>
      </c>
      <c r="C12" s="24" t="inlineStr">
        <is>
          <t>ใช้วงจรสวิตชิ่ง MOSFET/Solid State Relay สำเร็จรูปเชื่อมต่อแบบ Screw Terminal ควบคุมปั๊มน้ำและวาล์ว อ้างอิง team-skills/due.md และ jk.md ทำงานเสถียร ไม่มีความร้อนสะสม</t>
        </is>
      </c>
      <c r="D12" s="24" t="inlineStr">
        <is>
          <t>อ้างอิง solution-5_uhi_latent_heat.md ข้อ 3.1 แบบจำลองคำนวณอัตราการระเหย (E), ฟลักซ์ความร้อน (G) และร่มเงาอาคาร (In-Shade Suppression) อ้างอิง team-skills/jk.md เชี่ยวชาญคณิตศาสตร์ฟิสิกส์ คำนวณแบบเรียลไทม์ได้ในระดับมิลลิวินาที</t>
        </is>
      </c>
      <c r="E12" s="24" t="inlineStr">
        <is>
          <t>อ้างอิง solution-5_uhi_latent_heat.md ข้อ 3.2 และ 4.1 มี Sauna Effect Guard ตัดการพ่นเมื่อลมสงบ/ความชื้นสูงเกิน 80% และมีไส้กรองน้ำ 100 เมช ป้องกันหัวพ่นหมอกอุดตัน</t>
        </is>
      </c>
      <c r="F12" s="24" t="inlineStr">
        <is>
          <t>อุปกรณ์ชุดทดสอบขนาดเล็ก (ปั๊ม 12V + หัวพ่นหมอกทองเหลือง 5 หัว + ท่อ PE + โซลินอยด์วาล์ว + เซนเซอร์วัดอุณหภูมิผิวทาง IR) มี BOM รวมประมาณ 3,200 - 3,800 บาท อยู่ในงบ 5,000 บ. อย่างสมบูรณ์</t>
        </is>
      </c>
      <c r="G12" s="24" t="inlineStr">
        <is>
          <t>อะไหล่หัวพ่นหมอกและข้อต่อท่อมีราคาหลักสิบบาท จัดซื้อสำรองได้ 100% ครบทุกชิ้น</t>
        </is>
      </c>
      <c r="H12" s="24" t="inlineStr">
        <is>
          <t>อ้างอิง solution-5_uhi_latent_heat.md ข้อ 2 การฉีดน้ำฟิล์มบางมาก (0.2-0.4 mm) ประหยัดน้ำกว่ารถฉีดน้ำของเทศบาลถึง 40-50% และประหยัดค่าน้ำมันรถบรรทุกน้ำได้อย่างมหาศาล</t>
        </is>
      </c>
      <c r="I12" s="24" t="inlineStr">
        <is>
          <t>อ้างอิง solution-5_uhi_latent_heat.md ข้อ 3.2 ควบคุมฟิล์มน้ำบาง ปลอดภัยต่อการลื่นไถลของรถยนต์และมอเตอร์ไซค์ ไม่ละเมิดกฎหมายจราจร และไม่มีกล้องส่องหน้าคน ปลอดจาก PDPA 100%</t>
        </is>
      </c>
      <c r="J12" s="24" t="inlineStr">
        <is>
          <t>โมดูล ESP32 ผ่าน กสทช. อ้างอิง team-skills/due.md และ fifa.md ในการประสานงานกับฝ่ายรักษาความสะอาดและสิ่งแวดล้อมของสำนักงานเขต</t>
        </is>
      </c>
      <c r="K12" s="24" t="inlineStr">
        <is>
          <t>อ้างอิง solution-5_uhi_latent_heat.md ข้อ 4.2 ระบบบันทึกกราฟอุณหภูมิผิวถนนและฟลักซ์ความร้อนก่อน-หลังพ่นน้ำ สร้างรายงานประสิทธิภาพดิจิทัลอัตโนมัติ</t>
        </is>
      </c>
      <c r="L12" s="24" t="inlineStr">
        <is>
          <t>อ้างอิง solution-5_uhi_latent_heat.md ข้อ 3.3 ระบบทำงานอัตโนมัติตามเซนเซอร์ตรวจวัดฟลักซ์ความร้อน เจ้าหน้าที่เพียงเติมน้ำและตรวจเช็กไส้กรองเป็นระยะ</t>
        </is>
      </c>
      <c r="M12" s="24" t="inlineStr">
        <is>
          <t>ติดตั้งหัวฉีดละอองน้ำบริเวณริมทางเท้า ปลอดภัยต่อชีวิตผู้ปฏิบัติงาน 100% ไม่ต้องลงไปในท่อระบายน้ำหรือพื้นที่เสี่ยงภัย</t>
        </is>
      </c>
      <c r="N12" s="24" t="inlineStr">
        <is>
          <t>ทีมงานแบ่งงานชัดเจน: Fifa ดูแลระบบท่อและปั๊ม, Due ดูแลวงจรสวิตชิ่ง, JK คำนวณสมการความร้อนแฝง, Kin ดูแลการบันทึกข้อมูล ทำงานคู่ขนานช่วงสอบได้สบาย</t>
        </is>
      </c>
      <c r="O12" s="24" t="inlineStr">
        <is>
          <t>สามารถส่งมอบชุดพ่นละอองต้นแบบและเซนเซอร์วัดอุณหภูมิที่ทำงานประสานกันได้จริงบนแผ่นทดสอบจำลองก่อนสัปดาห์ที่ 9</t>
        </is>
      </c>
      <c r="P12" s="24" t="inlineStr">
        <is>
          <t>หัวพ่นหมอก ปั๊ม 12V และเซนเซอร์ มีจำหน่ายในประเทศ 100% จัดส่งได้ใน 2-3 วันทำการ</t>
        </is>
      </c>
      <c r="Q12" s="24" t="inlineStr">
        <is>
          <t>สอดคล้องกับ SDG 13.1 (Climate Action) และ SDG 11.5 ช่วยลดผลกระทบจากคลื่นความร้อนในเมือง (Urban Heat Island) และปกป้องสุขภาพประชาชน</t>
        </is>
      </c>
      <c r="R12" s="24" t="inlineStr">
        <is>
          <t>อ้างอิง solution-5_uhi_latent_heat.md ข้อ 3.2 ฟิล์มน้ำบางระเหยหมด ไม่เกิดน้ำเน่าเสียขังบนถนน และหัวฉีดทองเหลืองไร้สารตะกั่ว ปลอดภัยต่อระบบนิเวศ</t>
        </is>
      </c>
      <c r="S12" s="24" t="inlineStr">
        <is>
          <t>การลดความร้อนในพื้นที่ทางเดินเท้าสาธารณะช่วยคุ้มครองกลุ่มเปราะบาง (คนเดินเท้า ผู้สูงอายุ ผู้ใช้แรงงานกลางแจ้ง) จากโรคลมแดดอย่างเสมอภาคและโปร่งใส</t>
        </is>
      </c>
      <c r="T12" s="31">
        <f>IF(MIN(B9:S9)=1, "VETOED / ตกเกณฑ์ข้อบังคับวิกฤต (คะแนนระดับ 1)", IF(T9&gt;=80, "ผ่านเกณฑ์ระดับสูง (HIGHLY VIABLE)", IF(T9&gt;=60, "ผ่านแบบมีเงื่อนไข (CONDITIONALLY VIABLE)", "ความเสี่ยงสูง (HIGH RISK)")))</f>
        <v/>
      </c>
    </row>
    <row r="13" ht="70" customHeight="1">
      <c r="A13" s="21" t="inlineStr">
        <is>
          <t>แผนลดขอบเขตงาน &amp; มาตรการลดความเสี่ยง (De-scoping Action)</t>
        </is>
      </c>
      <c r="B13" s="24" t="inlineStr">
        <is>
          <t>ใช้ชุดหัวพ่นหมอกทองเหลือง COTS สำเร็จรูปพร้อมท่อ PE มาตรฐาน</t>
        </is>
      </c>
      <c r="C13" s="24" t="inlineStr">
        <is>
          <t>ใช้ Solid State Relay Module แบบ Screw Terminal</t>
        </is>
      </c>
      <c r="D13" s="24" t="inlineStr">
        <is>
          <t>เขียนฟังก์ชันคำนวณฟลักซ์ความร้อนด้วย C++ บนไมโครคอนโทรลเลอร์</t>
        </is>
      </c>
      <c r="E13" s="24" t="inlineStr">
        <is>
          <t>ติดตั้งไส้กรองน้ำ 100 เมช และตัดการทำงานเมื่อลมแรงเกิน 3 m/s</t>
        </is>
      </c>
      <c r="F13" s="24" t="inlineStr">
        <is>
          <t>สร้างชุดทดสอบขนาดความยาว 5 เมตรจำลองบนโต๊ะทดลอง</t>
        </is>
      </c>
      <c r="G13" s="24" t="inlineStr">
        <is>
          <t>สำรองหัวพ่นหมอก 5 หัว และโซลินอยด์วาล์ว 1 ตัว</t>
        </is>
      </c>
      <c r="H13" s="24" t="inlineStr">
        <is>
          <t>คำนวณปริมาณน้ำที่ประหยัดได้เทียบกับรถบรรทุกน้ำ</t>
        </is>
      </c>
      <c r="I13" s="24" t="inlineStr">
        <is>
          <t>ติดตั้งป้ายแจ้งเตือนละอองน้ำระบายความร้อนบนทางเท้า</t>
        </is>
      </c>
      <c r="J13" s="24" t="inlineStr">
        <is>
          <t>ประสานงานขอใช้พื้นที่ทางเท้าหน้ามหาวิทยาลัยเพื่อทดสอบ</t>
        </is>
      </c>
      <c r="K13" s="24" t="inlineStr">
        <is>
          <t>สร้างรายงานสรุปอุณหภูมิผิวทางที่ลดลงเป็นรูปภาพอัตโนมัติ</t>
        </is>
      </c>
      <c r="L13" s="24" t="inlineStr">
        <is>
          <t>ออกแบบระบบล้างหัวฉีดอัตโนมัติด้วยแรงดันย้อนกลับ</t>
        </is>
      </c>
      <c r="M13" s="24" t="inlineStr">
        <is>
          <t>ทดสอบบนพื้นที่ลานกิจกรรมกลางแจ้งของมหาวิทยาลัย</t>
        </is>
      </c>
      <c r="N13" s="24" t="inlineStr">
        <is>
          <t>จำลองการระเหยของน้ำในคอมพิวเตอร์ช่วงสัปดาห์สอบ</t>
        </is>
      </c>
      <c r="O13" s="24" t="inlineStr">
        <is>
          <t>ส่งมอบผลการลดอุณหภูมิบนแผ่นทดสอบจำลองในสัปดาห์ที่ 9</t>
        </is>
      </c>
      <c r="P13" s="24" t="inlineStr">
        <is>
          <t>จัดซื้ออุปกรณ์จากร้านค้าฮาร์ดแวร์ในประเทศ</t>
        </is>
      </c>
      <c r="Q13" s="24" t="inlineStr">
        <is>
          <t>วัดค่าดัชนีความร้อน (Heat Index) ที่ลดลงในพื้นที่</t>
        </is>
      </c>
      <c r="R13" s="24" t="inlineStr">
        <is>
          <t>ใช้วัสดุหัวพ่นทองเหลืองไร้สารตะกั่ว</t>
        </is>
      </c>
      <c r="S13" s="24" t="inlineStr">
        <is>
          <t>จัดทำตารางเกณฑ์อุณหภูมิเปิดเผยแก่สาธารณะ</t>
        </is>
      </c>
      <c r="T13" s="23" t="inlineStr">
        <is>
          <t>ปฏิบัติตามแผนลดขอบเขตงาน (De-scoping Advisory)</t>
        </is>
      </c>
    </row>
    <row r="14" ht="15" customHeight="1"/>
    <row r="15" ht="26" customHeight="1">
      <c r="A15" s="17" t="inlineStr">
        <is>
          <t>ตารางสรุปคะแนนแยกตามมิติ TELOS+S (Pillar Score Breakdown)</t>
        </is>
      </c>
    </row>
    <row r="16" ht="24" customHeight="1">
      <c r="A16" s="32" t="inlineStr">
        <is>
          <t>มิติการประเมิน (TELOS+S Pillar)</t>
        </is>
      </c>
      <c r="B16" s="32" t="inlineStr">
        <is>
          <t>สัดส่วนน้ำหนัก (Weight %)</t>
        </is>
      </c>
      <c r="C16" s="32" t="inlineStr">
        <is>
          <t>คะแนนเต็มมิติ (Max Points)</t>
        </is>
      </c>
      <c r="D16" s="32" t="inlineStr">
        <is>
          <t>คะแนนที่ได้รับจริง (Earned Points)</t>
        </is>
      </c>
      <c r="E16" s="32" t="inlineStr">
        <is>
          <t>คะแนนเฉลี่ย (Score 1-5)</t>
        </is>
      </c>
      <c r="F16" s="32" t="inlineStr">
        <is>
          <t>ระดับความพร้อม (Readiness Level)</t>
        </is>
      </c>
    </row>
    <row r="17" ht="22" customHeight="1">
      <c r="A17" s="33" t="inlineStr">
        <is>
          <t>T : ด้านเทคโนโลยีและวิศวกรรม (Technical)</t>
        </is>
      </c>
      <c r="B17" s="34" t="n">
        <v>0.2</v>
      </c>
      <c r="C17" s="35" t="n">
        <v>20</v>
      </c>
      <c r="D17" s="36">
        <f>SUM(B11:E11)*20</f>
        <v/>
      </c>
      <c r="E17" s="37">
        <f>IF(C17&gt;0, (D17/C17)*5, 0)</f>
        <v/>
      </c>
      <c r="F17" s="23">
        <f>IF(D17&gt;=16.0, "พร้อมระดับสูง (High)", IF(D17&gt;=12.0, "ปานกลาง (Medium)", "เสี่ยงวิกฤต (Critical)"))</f>
        <v/>
      </c>
    </row>
    <row r="18" ht="22" customHeight="1">
      <c r="A18" s="33" t="inlineStr">
        <is>
          <t>E : ด้านเศรษฐศาสตร์และความคุ้มค่า (Economic)</t>
        </is>
      </c>
      <c r="B18" s="34" t="n">
        <v>0.2</v>
      </c>
      <c r="C18" s="35" t="n">
        <v>20</v>
      </c>
      <c r="D18" s="36">
        <f>SUM(F11:H11)*20</f>
        <v/>
      </c>
      <c r="E18" s="37">
        <f>IF(C18&gt;0, (D18/C18)*5, 0)</f>
        <v/>
      </c>
      <c r="F18" s="23">
        <f>IF(D18&gt;=16.0, "พร้อมระดับสูง (High)", IF(D18&gt;=12.0, "ปานกลาง (Medium)", "เสี่ยงวิกฤต (Critical)"))</f>
        <v/>
      </c>
    </row>
    <row r="19" ht="22" customHeight="1">
      <c r="A19" s="33" t="inlineStr">
        <is>
          <t>L : ด้านกฎหมาย ระเบียบ และภาคประชาชน (Legal &amp; Outreach)</t>
        </is>
      </c>
      <c r="B19" s="34" t="n">
        <v>0.15</v>
      </c>
      <c r="C19" s="35" t="n">
        <v>15</v>
      </c>
      <c r="D19" s="36">
        <f>SUM(I11:J11)*20</f>
        <v/>
      </c>
      <c r="E19" s="37">
        <f>IF(C19&gt;0, (D19/C19)*5, 0)</f>
        <v/>
      </c>
      <c r="F19" s="23">
        <f>IF(D19&gt;=12.0, "พร้อมระดับสูง (High)", IF(D19&gt;=9.0, "ปานกลาง (Medium)", "เสี่ยงวิกฤต (Critical)"))</f>
        <v/>
      </c>
    </row>
    <row r="20" ht="22" customHeight="1">
      <c r="A20" s="33" t="inlineStr">
        <is>
          <t>O : ด้านการปฏิบัติการและหน้างาน (Operational)</t>
        </is>
      </c>
      <c r="B20" s="34" t="n">
        <v>0.2</v>
      </c>
      <c r="C20" s="35" t="n">
        <v>20</v>
      </c>
      <c r="D20" s="36">
        <f>SUM(K11:M11)*20</f>
        <v/>
      </c>
      <c r="E20" s="37">
        <f>IF(C20&gt;0, (D20/C20)*5, 0)</f>
        <v/>
      </c>
      <c r="F20" s="23">
        <f>IF(D20&gt;=16.0, "พร้อมระดับสูง (High)", IF(D20&gt;=12.0, "ปานกลาง (Medium)", "เสี่ยงวิกฤต (Critical)"))</f>
        <v/>
      </c>
    </row>
    <row r="21" ht="22" customHeight="1">
      <c r="A21" s="33" t="inlineStr">
        <is>
          <t>S : ด้านแผนงานและเวลาส่งมอบ (Schedule)</t>
        </is>
      </c>
      <c r="B21" s="34" t="n">
        <v>0.15</v>
      </c>
      <c r="C21" s="35" t="n">
        <v>15</v>
      </c>
      <c r="D21" s="36">
        <f>SUM(N11:P11)*20</f>
        <v/>
      </c>
      <c r="E21" s="37">
        <f>IF(C21&gt;0, (D21/C21)*5, 0)</f>
        <v/>
      </c>
      <c r="F21" s="23">
        <f>IF(D21&gt;=12.0, "พร้อมระดับสูง (High)", IF(D21&gt;=9.0, "ปานกลาง (Medium)", "เสี่ยงวิกฤต (Critical)"))</f>
        <v/>
      </c>
    </row>
    <row r="22" ht="22" customHeight="1">
      <c r="A22" s="33" t="inlineStr">
        <is>
          <t>+S : ด้านความยั่งยืนและสิ่งแวดล้อม (Sustainability / SDG)</t>
        </is>
      </c>
      <c r="B22" s="34" t="n">
        <v>0.1</v>
      </c>
      <c r="C22" s="35" t="n">
        <v>10</v>
      </c>
      <c r="D22" s="36">
        <f>SUM(Q11:S11)*20</f>
        <v/>
      </c>
      <c r="E22" s="37">
        <f>IF(C22&gt;0, (D22/C22)*5, 0)</f>
        <v/>
      </c>
      <c r="F22" s="23">
        <f>IF(D22&gt;=8.0, "พร้อมระดับสูง (High)", IF(D22&gt;=6.0, "ปานกลาง (Medium)", "เสี่ยงวิกฤต (Critical)"))</f>
        <v/>
      </c>
    </row>
    <row r="23" ht="26" customHeight="1">
      <c r="A23" s="38" t="inlineStr">
        <is>
          <t>คะแนนรวมทุกมิติ (Total Feasibility Score)</t>
        </is>
      </c>
      <c r="B23" s="29">
        <f>SUM(B17:B22)</f>
        <v/>
      </c>
      <c r="C23" s="39">
        <f>SUM(C17:C22)</f>
        <v/>
      </c>
      <c r="D23" s="40">
        <f>SUM(D17:D22)</f>
        <v/>
      </c>
      <c r="E23" s="30">
        <f>IF(C23&gt;0, (D23/C23)*5, 0)</f>
        <v/>
      </c>
      <c r="F23" s="41">
        <f>IF(D23&gt;=80, "ผ่านเกณฑ์ระดับสูง (HIGHLY VIABLE)", IF(D23&gt;=60, "ผ่านแบบมีเงื่อนไข (CONDITIONALLY VIABLE)", "ความเสี่ยงสูง (HIGH RISK)"))</f>
        <v/>
      </c>
    </row>
    <row r="24" ht="12" customHeight="1"/>
    <row r="25" ht="26" customHeight="1">
      <c r="A25" s="17" t="inlineStr">
        <is>
          <t>เมทริกซ์ประเมินความเข้ากันได้กับองค์ความรู้ด้านวิศวกรรมหุ่นยนต์ (Robotics Knowledge Compatibility)</t>
        </is>
      </c>
    </row>
    <row r="26" ht="22" customHeight="1">
      <c r="A26" s="18" t="inlineStr">
        <is>
          <t>* หมายเหตุ: การประเมินส่วนนี้วัดศักยภาพในการประยุกต์ใช้องค์ความรู้ด้านวิศวกรรมหุ่นยนต์ (Perception, Control, Actuation, Mechatronics) เต็ม 10 คะแนน | เป็นเอกเทศ ไม่นับรวมในคะแนน TELOS+S 100 คะแนน</t>
        </is>
      </c>
    </row>
    <row r="27" ht="24" customHeight="1">
      <c r="A27" s="42" t="inlineStr">
        <is>
          <t>มิติการประเมิน (Robotics Dimension)</t>
        </is>
      </c>
      <c r="B27" s="42" t="inlineStr">
        <is>
          <t>คะแนนศักยภาพ (/10)</t>
        </is>
      </c>
      <c r="C27" s="42" t="inlineStr">
        <is>
          <t>แกน Perception &amp; Sensing (การรับรู้)</t>
        </is>
      </c>
      <c r="D27" s="42" t="inlineStr">
        <is>
          <t>แกน Control &amp; Algorithms (การควบคุม)</t>
        </is>
      </c>
      <c r="E27" s="42" t="inlineStr">
        <is>
          <t>แกน Actuation &amp; Mechanisms (กลไก)</t>
        </is>
      </c>
      <c r="F27" s="42" t="inlineStr">
        <is>
          <t>บทวิเคราะห์เชิงวิศวกรรมหุ่นยนต์ (FIBO Alignment Rationale)</t>
        </is>
      </c>
    </row>
    <row r="28" ht="95" customHeight="1">
      <c r="A28" s="43" t="inlineStr">
        <is>
          <t>ศักยภาพการประยุกต์ใช้องค์ความรู้หุ่นยนต์และระบบอัตโนมัติ</t>
        </is>
      </c>
      <c r="B28" s="44" t="n">
        <v>9</v>
      </c>
      <c r="C28" s="24" t="inlineStr">
        <is>
          <t>การตรวจวัดอุณหภูมิผิวทางแบบไม่สัมผัส (Infrared Pyrometer / Thermal Array) ร่วมกับสถานีตรวจสภาพอากาศและเซนเซอร์ความชื้นสัมพัทธ์</t>
        </is>
      </c>
      <c r="D28" s="24" t="inlineStr">
        <is>
          <t>ระบบควบคุมวงรอบปิดแบบป้อนกลับและป้อนไปข้างหน้า (Closed-loop Feedback &amp; Feedforward Thermal Control) คำนวณปริมาณน้ำระเหยเพื่อดูดซับความร้อนแฝง (Latent Heat of Vaporization) พร้อมระบบ Dynamic Speed-compensation แปรผันตามความเร็วรถ</t>
        </is>
      </c>
      <c r="E28" s="24" t="inlineStr">
        <is>
          <t>ระบบกลไกการฉีดพ่นละอองน้ำละเอียดแรงดันสูง (High-pressure Pump, Solenoid PWM Valves, Variable Spray Nozzle Manifold, Anti-drip Check Valves) ที่ออกแบบและประกอบขึ้นจริง</t>
        </is>
      </c>
      <c r="F28" s="24" t="inlineStr">
        <is>
          <t>เป็นระบบ Cyber-Physical Mechatronic System สมบูรณ์แบบที่ผสานครบทั้ง 4 เสาหลักของหุ่นยนต์: Perception (Thermal Sensing), Control (Dynamic Closed-loop Model), Actuation (PWM Fluidic Valves &amp; Pumps) และ Mechatronics Integration สอดคล้องกับวิชาการด้านหุ่นยนต์ของ FIBO อย่างเด่นชัดที่สุด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2026-09-23T08:26:05Z</dcterms:created>
  <dcterms:modified xsi:type="dcterms:W3CDTF">2026-09-23T08:26:05Z</dcterms:modified>
</cp:coreProperties>
</file>