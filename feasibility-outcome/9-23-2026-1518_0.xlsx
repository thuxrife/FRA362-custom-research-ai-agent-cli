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  <sheet name="Solution-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8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8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2" fontId="15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2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Recession Rate (dh/dt) Predictive Filtering for QRT Dispatch (Ann Arbor Case)</t>
        </is>
      </c>
      <c r="D5" s="7">
        <f>'Solution-1'!T9</f>
        <v/>
      </c>
      <c r="E5" s="8">
        <f>'Solution-1'!D17</f>
        <v/>
      </c>
      <c r="F5" s="8">
        <f>'Solution-1'!D18</f>
        <v/>
      </c>
      <c r="G5" s="8">
        <f>'Solution-1'!D19</f>
        <v/>
      </c>
      <c r="H5" s="8">
        <f>'Solution-1'!D20</f>
        <v/>
      </c>
      <c r="I5" s="8">
        <f>'Solution-1'!D21</f>
        <v/>
      </c>
      <c r="J5" s="8">
        <f>'Solution-1'!D22</f>
        <v/>
      </c>
      <c r="K5" s="9">
        <f>'Solution-1'!T12</f>
        <v/>
      </c>
      <c r="L5" s="6" t="inlineStr">
        <is>
          <t>ใช้สมการอนุพันธ์ชลศาสตร์คำนวณอัตราน้ำลด dh/dt เทียบกับเวลาเดินทาง 20-30 นาที ตัด Empty Cases ได้ 40-50% สมาชิกทั้ง 4 คนแบ่งงานชัดเจน ต้นทุนต่ำ (&lt; 3,500 บ.)</t>
        </is>
      </c>
      <c r="M5" s="6" t="inlineStr">
        <is>
          <t>ต้องมีหลักฐาน Digital Evidence Card ประกอบการปิดงานบน Traffy Fondue และต้องล็อกสเปกฮาร์ดแวร์ก่อนสัปดาห์ที่ 9</t>
        </is>
      </c>
      <c r="N5" s="6" t="inlineStr">
        <is>
          <t>พัฒนาโมดูลคำนวณ dh/dt บน Python/ROS 2 ร่วมกับ Screw Terminal Shield และออกรายงานกราฟดิจิทัลอัตโนมัติ</t>
        </is>
      </c>
    </row>
    <row r="6" ht="55" customHeight="1">
      <c r="A6" s="10" t="n">
        <v>2</v>
      </c>
      <c r="B6" s="11" t="inlineStr">
        <is>
          <t>Solution-2</t>
        </is>
      </c>
      <c r="C6" s="12" t="inlineStr">
        <is>
          <t>2-Factor Authentication Dispatch Filtering Layer (PUB Singapore CWOS)</t>
        </is>
      </c>
      <c r="D6" s="7">
        <f>'Solution-2'!T9</f>
        <v/>
      </c>
      <c r="E6" s="13">
        <f>'Solution-2'!D17</f>
        <v/>
      </c>
      <c r="F6" s="13">
        <f>'Solution-2'!D18</f>
        <v/>
      </c>
      <c r="G6" s="13">
        <f>'Solution-2'!D19</f>
        <v/>
      </c>
      <c r="H6" s="13">
        <f>'Solution-2'!D20</f>
        <v/>
      </c>
      <c r="I6" s="13">
        <f>'Solution-2'!D21</f>
        <v/>
      </c>
      <c r="J6" s="13">
        <f>'Solution-2'!D22</f>
        <v/>
      </c>
      <c r="K6" s="14">
        <f>'Solution-2'!T12</f>
        <v/>
      </c>
      <c r="L6" s="12" t="inlineStr">
        <is>
          <t>ใช้การตรวจสอบยืนยันร่วม 2 ปัจจัย (รายงานประชาชน + โทรมาตรระดับน้ำ/เรดาร์ฝน) ปลอดปัญหา PDPA 100% ต้นทุนต่ำ ตัด Empty Cases ได้มากกว่า 40-50%</t>
        </is>
      </c>
      <c r="M6" s="12" t="inlineStr">
        <is>
          <t>ขึ้นอยู่กับความหนาแน่นของจุดติดตั้งเซนเซอร์โทรมาตร และต้องมีระบบ Digital Evidence Card สำหรับระบบราชการ</t>
        </is>
      </c>
      <c r="N6" s="12" t="inlineStr">
        <is>
          <t>เชื่อมต่อ API เข้ากับ Traffy Fondue และจัดทำเทมเพลต Digital Evidence Card อัตโนมัติ พร้อมทั้งใช้เซนเซอร์ระดับน้ำ COTS แบบ Non-contact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Measurement &amp; Pre-Screening for Scheduled Maintenance (Case 3 UK/USA)</t>
        </is>
      </c>
      <c r="D7" s="7">
        <f>'Solution-3'!T9</f>
        <v/>
      </c>
      <c r="E7" s="8">
        <f>'Solution-3'!D17</f>
        <v/>
      </c>
      <c r="F7" s="8">
        <f>'Solution-3'!D18</f>
        <v/>
      </c>
      <c r="G7" s="8">
        <f>'Solution-3'!D19</f>
        <v/>
      </c>
      <c r="H7" s="8">
        <f>'Solution-3'!D20</f>
        <v/>
      </c>
      <c r="I7" s="8">
        <f>'Solution-3'!D21</f>
        <v/>
      </c>
      <c r="J7" s="8">
        <f>'Solution-3'!D22</f>
        <v/>
      </c>
      <c r="K7" s="9">
        <f>'Solution-3'!T12</f>
        <v/>
      </c>
      <c r="L7" s="6" t="inlineStr">
        <is>
          <t>เปลี่ยนจากการลอกท่อแบบสุ่มรอบปฏิทินมาเป็น Condition-Based Maintenance ด้วยการตรวจคัดกรองความสะอาดท่อ 3 ระดับ (Tier 1: Action, Tier 2: Queue, Tier 3: Clean) รวดเร็ว 3-5 นาทีต่อช่วงท่อ ประหยัดงบประมาณและทรัพยากรรถดูดโคลนได้มหาศาล</t>
        </is>
      </c>
      <c r="M7" s="6" t="inlineStr">
        <is>
          <t>ต้องหลีกเลี่ยงการจัดซื้ออุปกรณ์นำเข้าราคาแพง (SL-RAT) โดยหันมาสร้างต้นแบบจาก Transducer COTS และต้องประสานงานกับทีมงานเขตเพื่อความปลอดภัยบนผิวจราจร</t>
        </is>
      </c>
      <c r="N7" s="6" t="inlineStr">
        <is>
          <t>พัฒนาชุดก้านหย่อน Telescopic ร่วมกับ Transducer ความถี่กวาดและบอร์ดประมวลผล Time-of-Flight / Attenuation ทดสอบในท่อจำลองก่อนลงพื้นที่ร่วมกับฝ่ายระบายน้ำของเขตในฤดูแล้ง</t>
        </is>
      </c>
    </row>
    <row r="8" ht="55" customHeight="1">
      <c r="A8" s="10" t="n">
        <v>4</v>
      </c>
      <c r="B8" s="11" t="inlineStr">
        <is>
          <t>Solution-4</t>
        </is>
      </c>
      <c r="C8" s="12" t="inlineStr">
        <is>
          <t>Smart Drainage Pipe Telemetry &amp; Prioritized Flushing DSS (Jakarta Case Adaptation)</t>
        </is>
      </c>
      <c r="D8" s="7">
        <f>'Solution-4'!T9</f>
        <v/>
      </c>
      <c r="E8" s="13">
        <f>'Solution-4'!D17</f>
        <v/>
      </c>
      <c r="F8" s="13">
        <f>'Solution-4'!D18</f>
        <v/>
      </c>
      <c r="G8" s="13">
        <f>'Solution-4'!D19</f>
        <v/>
      </c>
      <c r="H8" s="13">
        <f>'Solution-4'!D20</f>
        <v/>
      </c>
      <c r="I8" s="13">
        <f>'Solution-4'!D21</f>
        <v/>
      </c>
      <c r="J8" s="13">
        <f>'Solution-4'!D22</f>
        <v/>
      </c>
      <c r="K8" s="14">
        <f>'Solution-4'!T12</f>
        <v/>
      </c>
      <c r="L8" s="12" t="inlineStr">
        <is>
          <t>มอนิเตอร์ระดับน้ำและอัตราการไหลในท่อแบบต่อเนื่องทั้งเมือง ชี้เป้าจุดวิกฤตระบายช้า และจัดลำดับการส่งรถดูดเลนได้อย่างมีข้อมูลเชิงประจักษ์รองรับ (Data-Driven Flushing DSS)</t>
        </is>
      </c>
      <c r="M8" s="12" t="inlineStr">
        <is>
          <t>สภาพแวดล้อมในท่อมีตะกอน คราบไขมัน และก๊าซกัดกร่อน H2S สูง และการติดตั้งต้องคำนึงถึงความปลอดภัยของเจ้าหน้าที่</t>
        </is>
      </c>
      <c r="N8" s="12" t="inlineStr">
        <is>
          <t>ใช้เซนเซอร์วัดระดับน้ำและอัตราการไหลแบบ Non-contact ติดตั้งใต้ฝาท่อพักน้ำ พร้อมสายสลิงนิรภัยยึดสองชั้น และทดสอบในจุดเสี่ยงนำร่อง</t>
        </is>
      </c>
    </row>
    <row r="9" ht="55" customHeight="1">
      <c r="A9" s="4" t="n">
        <v>5</v>
      </c>
      <c r="B9" s="5" t="inlineStr">
        <is>
          <t>Solution-5</t>
        </is>
      </c>
      <c r="C9" s="6" t="inlineStr">
        <is>
          <t>UHI Latent Heat Precision Road Cooling &amp; Microclimate Water Dosing</t>
        </is>
      </c>
      <c r="D9" s="7">
        <f>'Solution-5'!T9</f>
        <v/>
      </c>
      <c r="E9" s="8">
        <f>'Solution-5'!D17</f>
        <v/>
      </c>
      <c r="F9" s="8">
        <f>'Solution-5'!D18</f>
        <v/>
      </c>
      <c r="G9" s="8">
        <f>'Solution-5'!D19</f>
        <v/>
      </c>
      <c r="H9" s="8">
        <f>'Solution-5'!D20</f>
        <v/>
      </c>
      <c r="I9" s="8">
        <f>'Solution-5'!D21</f>
        <v/>
      </c>
      <c r="J9" s="8">
        <f>'Solution-5'!D22</f>
        <v/>
      </c>
      <c r="K9" s="9">
        <f>'Solution-5'!T12</f>
        <v/>
      </c>
      <c r="L9" s="6" t="inlineStr">
        <is>
          <t>ใช้ประโยชน์จากความร้อนแฝงของการระเหย พ่นน้ำฟิล์มบางมาก (0.2-0.4 mm) ลด Peak Heat Flux ได้ 100-150 W/m² ไม่ลื่น ไม่เกิด Sauna Effect ประหยัดน้ำกว่ารถฉีดน้ำ 40-50%</t>
        </is>
      </c>
      <c r="M9" s="6" t="inlineStr">
        <is>
          <t>ลมกระโชกแรงอาจพัดละอองน้ำ และต้องมีระบบกรองน้ำป้องกันหัวพ่นหมอกอุดตัน รวมถึงการสร้างความเข้าใจแก่ประชาชนผู้ใช้ทาง</t>
        </is>
      </c>
      <c r="N9" s="6" t="inlineStr">
        <is>
          <t>ติดตั้งหัวฉีดละอองระดับต่ำขอบทางเท้า พร้อม Sauna Effect Guard และวาล์ว Micro-pulsing อัตโนมัติตามเซนเซอร์ 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Recession Rate (dh/dt) Predictive Filtering for QRT Dispatch (Ann Arbor Case)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ด้านการปฏิบัติการและผู้ใช้ (Operational 2.5)</t>
        </is>
      </c>
      <c r="L5" s="20" t="inlineStr">
        <is>
          <t>ด้านการปฏิบัติการและผู้ใช้ (Operational 2.5)</t>
        </is>
      </c>
      <c r="M5" s="20" t="inlineStr">
        <is>
          <t>ด้านการปฏิบัติการและผู้ใช้ (Operational 2.5)</t>
        </is>
      </c>
      <c r="N5" s="20" t="inlineStr">
        <is>
          <t>ด้านเวลาและแผนงาน (Schedule 2.6)</t>
        </is>
      </c>
      <c r="O5" s="20" t="inlineStr">
        <is>
          <t>ด้านเวลาและแผนงาน (Schedule 2.6)</t>
        </is>
      </c>
      <c r="P5" s="20" t="inlineStr">
        <is>
          <t>ด้านเวลาและแผนงาน (Schedule 2.6)</t>
        </is>
      </c>
      <c r="Q5" s="20" t="inlineStr">
        <is>
          <t>ด้านความยั่งยืน (SDGs 2.7)</t>
        </is>
      </c>
      <c r="R5" s="20" t="inlineStr">
        <is>
          <t>ด้านความยั่งยืน (SDGs 2.7)</t>
        </is>
      </c>
      <c r="S5" s="20" t="inlineStr">
        <is>
          <t>ด้านความยั่งยืน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2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2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2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2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2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2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2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2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2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2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2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2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2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2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2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2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2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2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2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2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2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2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2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2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2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2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2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2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2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2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2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2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2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2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2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2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2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2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2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2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2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2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2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2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2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2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2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2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2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5</v>
      </c>
      <c r="C9" s="25" t="n">
        <v>4</v>
      </c>
      <c r="D9" s="25" t="n">
        <v>5</v>
      </c>
      <c r="E9" s="25" t="n">
        <v>4</v>
      </c>
      <c r="F9" s="25" t="n">
        <v>5</v>
      </c>
      <c r="G9" s="25" t="n">
        <v>5</v>
      </c>
      <c r="H9" s="25" t="n">
        <v>5</v>
      </c>
      <c r="I9" s="25" t="n">
        <v>5</v>
      </c>
      <c r="J9" s="25" t="n">
        <v>4</v>
      </c>
      <c r="K9" s="25" t="n">
        <v>4</v>
      </c>
      <c r="L9" s="25" t="n">
        <v>4</v>
      </c>
      <c r="M9" s="25" t="n">
        <v>5</v>
      </c>
      <c r="N9" s="25" t="n">
        <v>4</v>
      </c>
      <c r="O9" s="25" t="n">
        <v>4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solution-1.md ข้อ Requirements: ติดตั้งเซนเซอร์วัดระดับน้ำและอัตราการไหล อ้างอิง team-skills/fifa.md และ due.md ที่เชี่ยวชาญการออกแบบ 3D CAD ขายึด และกล่อง COTS IP67 ยึดด้วยแคลมป์รัดท่อ</t>
        </is>
      </c>
      <c r="C12" s="22" t="inlineStr">
        <is>
          <t>อ้างอิง team-skills/due.md ที่มีประสบการณ์ Custom PCB และ ESP32 Low-power และ team-skills/jk.md ที่เข้าใจฟิสิกส์เซนเซอร์วัดระดับน้ำ วงจรกินไฟต่ำ ไม่มีปัญหาความร้อนสะสม</t>
        </is>
      </c>
      <c r="D12" s="22" t="inlineStr">
        <is>
          <t>อ้างอิง solution-1.md ข้อ Requirements a: คำนวณอัตราน้ำลด dh/dt เทียบกับเวลาเดินทาง 20-30 นาที อ้างอิง team-skills/jk.md เชี่ยวชาญสมการอนุพันธ์ (Differential Equations) และ Python/ROS 2 คำนวณเสร็จในระดับมิลลิวินาที</t>
        </is>
      </c>
      <c r="E12" s="22" t="inlineStr">
        <is>
          <t>อ้างอิง solution-1.md ข้อ Constraints a: มีปัญหาคลื่นน้ำและขยะลอย แก้ไขโดยใช้เซนเซอร์แบบไม่สัมผัสน้ำ (Non-contact Ultrasonic/Radar) พร้อมอัลกอริทึม Median Filter กรองสัญญาณหลอก</t>
        </is>
      </c>
      <c r="F12" s="22" t="inlineStr">
        <is>
          <t>อ้างอิงประมาณการ BOM ต้นแบบ: ESP32 (180 บ.), เซนเซอร์ Ultrasonic/Radar COTS (350-800 บ.), กล่องกันน้ำ IP67 (150 บ.), แบตเตอรี่ (800 บ.) รวม &lt; 3,500 บาท อยู่ในเพดานงบประมาณ 5,000 บ.</t>
        </is>
      </c>
      <c r="G12" s="22" t="inlineStr">
        <is>
          <t>เนื่องจากต้นทุน BOM ต่ำ (~3,000 บ.) สามารถจัดสรรงบสำรองจัดซื้อเซนเซอร์และบอร์ด ESP32 สำรองได้ 100% ภายใต้งบ 5,000 บาท</t>
        </is>
      </c>
      <c r="H12" s="22" t="inlineStr">
        <is>
          <t>อ้างอิง solution-1.md ข้อ Leverage Point: ตัดเคสว่างเปล่า (Empty Cases) ได้ 40-50% ประหยัดค่าน้ำมันรถปฏิบัติการ QRT และค่าแรงเจ้าหน้าที่ได้หลายหมื่นบาทต่อฤดูมรสุม คุ้มค่าสูงมาก</t>
        </is>
      </c>
      <c r="I12" s="22" t="inlineStr">
        <is>
          <t>ระบบตรวจวัดระดับน้ำ ไม่มีการใช้กล้องบันทึกภาพบุคคล ปลอดจาก พ.ร.บ. PDPA 100% และการติดตั้งยึดกับราวสะพานหรือเสาไฟตามมาตรฐานความปลอดภัย</t>
        </is>
      </c>
      <c r="J12" s="22" t="inlineStr">
        <is>
          <t>โมดูล ESP32 และ 4G ผ่าน กสทช. อ้างอิง team-skills/due.md ในการสื่อสารเชิงเทคนิค และ jk.md ในการเข้าพบประสานงานกับฝ่ายระบายน้ำของเขต</t>
        </is>
      </c>
      <c r="K12" s="22" t="inlineStr">
        <is>
          <t>อ้างอิง solution-1.md ข้อ Constraints b: ต้องมีหลักฐานส่งคืนประชาชน ระบบสร้าง Digital Evidence Card พร้อมกราฟ dh/dt และเวลาที่น้ำลดสนิทเพื่อใช้ปิดงานบน Traffy Fondue อัตโนมัติ</t>
        </is>
      </c>
      <c r="L12" s="22" t="inlineStr">
        <is>
          <t>แดชบอร์ดสรุปสถานะการตัดสินใจ (Self-Clearing vs Critical) ด้วยรหัสสีเข้าใจง่าย เจ้าหน้าที่ศูนย์สั่งการตัดสินใจได้ใน 5 วินาที</t>
        </is>
      </c>
      <c r="M12" s="22" t="inlineStr">
        <is>
          <t>ติดตั้งเซนเซอร์จากบนราวสะพานคนข้ามหรือผิวทางเท้า ไม่มีการลงไปในน้ำหรือพื้นที่อับอากาศ ปลอดภัยต่อชีวิตผู้ปฏิบัติงาน 100%</t>
        </is>
      </c>
      <c r="N12" s="22" t="inlineStr">
        <is>
          <t>ทีมงาน 4 คนแบ่งงานชัดเจน: Fifa/Due ดูแลฮาร์ดแวร์, JK ดูแลคณิตศาสตร์ dh/dt, Kin ดูแลการทดสอบข้อมูล มีเวลาสำรอง 3-4 สัปดาห์ดูดซับช่วงสอบได้สบาย</t>
        </is>
      </c>
      <c r="O12" s="22" t="inlineStr">
        <is>
          <t>สามารถส่งมอบระบบจำลองการคำนวณ dh/dt พร้อมโหนดฮาร์ดแวร์ต้นแบบที่ส่งข้อมูลได้จริงก่อนสัปดาห์ที่ 9</t>
        </is>
      </c>
      <c r="P12" s="22" t="inlineStr">
        <is>
          <t>ชิ้นส่วน COTS ทั้งหมดมีสต็อกพร้อมส่งในประเทศ ได้รับของภายใน 3-5 วันทำการ</t>
        </is>
      </c>
      <c r="Q12" s="22" t="inlineStr">
        <is>
          <t>สอดคล้องกับ SDG 11.5 ช่วยให้หน่วย QRT เข้าถึงพื้นที่วิกฤตน้ำท่วมจริงได้เร็วขึ้น ลดความสูญเสียทางเศรษฐกิจและการจราจรของเมือง</t>
        </is>
      </c>
      <c r="R12" s="22" t="inlineStr">
        <is>
          <t>อุปกรณ์ยึดแน่นเหนือผิวน้ำ มีสลิงนิรภัยสองชั้น ไม่ตกหล่นเป็นขยะอุดตันท่อระบายน้ำ</t>
        </is>
      </c>
      <c r="S12" s="22" t="inlineStr">
        <is>
          <t>เกณฑ์การตัดสินใจอิงตามสมการชลศาสตร์ที่เป็นวิทยาศาสตร์ โปร่งใส ตรวจสอบย้อนหลังได้ทุกเคส ไม่เลือกปฏิบัติ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ใช้กล่องพักสายไฟมาตรฐาน IP67 พร้อมขายึดแคลมป์รัดท่อ COTS</t>
        </is>
      </c>
      <c r="C13" s="22" t="inlineStr">
        <is>
          <t>ใช้ Screw Terminal Expansion Shield ป้องกันไฟกระชาก</t>
        </is>
      </c>
      <c r="D13" s="22" t="inlineStr">
        <is>
          <t>ทดสอบสมการ dh/dt ด้วยข้อมูลจำลองน้ำฝนของ กทม.</t>
        </is>
      </c>
      <c r="E13" s="22" t="inlineStr">
        <is>
          <t>ใส่ฮูดกำบังเซนเซอร์และใช้ Median Filter กรองคลื่นผิวน้ำ</t>
        </is>
      </c>
      <c r="F13" s="22" t="inlineStr">
        <is>
          <t>ควบคุมการจัดซื้อเฉพาะอุปกรณ์ COTS มาตรฐาน</t>
        </is>
      </c>
      <c r="G13" s="22" t="inlineStr">
        <is>
          <t>จัดซื้อเซนเซอร์สำรอง 2 ชุดและบอร์ดสำรอง 1 ชุด</t>
        </is>
      </c>
      <c r="H13" s="22" t="inlineStr">
        <is>
          <t>คำนวณตัวเลขค่าน้ำมันที่ประหยัดได้ต่อเที่ยวรถ QRT</t>
        </is>
      </c>
      <c r="I13" s="22" t="inlineStr">
        <is>
          <t>ติดตั้งบนราวสะพานคนข้าม ปลอดภัย 100%</t>
        </is>
      </c>
      <c r="J13" s="22" t="inlineStr">
        <is>
          <t>ยื่นหนังสือรับรองจากมหาวิทยาลัยขออนุญาตติดตั้ง</t>
        </is>
      </c>
      <c r="K13" s="22" t="inlineStr">
        <is>
          <t>ส่งออกรายงานผลการลดระดับน้ำเป็นรูปภาพอัตโนมัติ</t>
        </is>
      </c>
      <c r="L13" s="22" t="inlineStr">
        <is>
          <t>ออกแบบ UI แดชบอร์ดแบบไฟเขียว/แดง</t>
        </is>
      </c>
      <c r="M13" s="22" t="inlineStr">
        <is>
          <t>ติดตั้งจากบนสะพานโดยไม่ต้องลงน้ำ</t>
        </is>
      </c>
      <c r="N13" s="22" t="inlineStr">
        <is>
          <t>จำลองข้อมูลระดับน้ำทดสอบระบบช่วงสัปดาห์สอบ</t>
        </is>
      </c>
      <c r="O13" s="22" t="inlineStr">
        <is>
          <t>ส่งมอบ Demo Scenario การคำนวณในสัปดาห์ที่ 9</t>
        </is>
      </c>
      <c r="P13" s="22" t="inlineStr">
        <is>
          <t>สั่งซื้อจากร้านค้าอิเล็กทรอนิกส์ในประเทศ</t>
        </is>
      </c>
      <c r="Q13" s="22" t="inlineStr">
        <is>
          <t>ประเมินผลการลดเวลาตอบสนองของหน่วย QRT</t>
        </is>
      </c>
      <c r="R13" s="22" t="inlineStr">
        <is>
          <t>ใช้สายสลิงสแตนเลสยึดกล่องอุปกรณ์สองชั้น</t>
        </is>
      </c>
      <c r="S13" s="22" t="inlineStr">
        <is>
          <t>เปิดเผยตรรกะการคำนวณ dh/dt บนระบบเปิด</t>
        </is>
      </c>
      <c r="T13" s="21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5" t="inlineStr">
        <is>
          <t>ตารางสรุปคะแนนแยกตามมิติ TELOS+S (Pillar Score Breakdown)</t>
        </is>
      </c>
    </row>
    <row r="16" ht="24" customHeight="1">
      <c r="A16" s="30" t="inlineStr">
        <is>
          <t>มิติการประเมิน (TELOS+S Pillar)</t>
        </is>
      </c>
      <c r="B16" s="30" t="inlineStr">
        <is>
          <t>สัดส่วนน้ำหนัก (Weight %)</t>
        </is>
      </c>
      <c r="C16" s="30" t="inlineStr">
        <is>
          <t>คะแนนเต็มมิติ (Max Points)</t>
        </is>
      </c>
      <c r="D16" s="30" t="inlineStr">
        <is>
          <t>คะแนนที่ได้รับจริง (Earned Points)</t>
        </is>
      </c>
      <c r="E16" s="30" t="inlineStr">
        <is>
          <t>คะแนนเฉลี่ย (Score 1-5)</t>
        </is>
      </c>
      <c r="F16" s="30" t="inlineStr">
        <is>
          <t>ระดับความพร้อม (Readiness Level)</t>
        </is>
      </c>
    </row>
    <row r="17" ht="22" customHeight="1">
      <c r="A17" s="31" t="inlineStr">
        <is>
          <t>T : ด้านเทคโนโลยีและวิศวกรรม (Technical)</t>
        </is>
      </c>
      <c r="B17" s="32" t="n">
        <v>0.2</v>
      </c>
      <c r="C17" s="33" t="n">
        <v>20</v>
      </c>
      <c r="D17" s="34">
        <f>SUM(B11:E11)*20</f>
        <v/>
      </c>
      <c r="E17" s="35">
        <f>IF(C17&gt;0, (D17/C17)*5, 0)</f>
        <v/>
      </c>
      <c r="F17" s="21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1" t="inlineStr">
        <is>
          <t>E : ด้านเศรษฐศาสตร์และความคุ้มค่า (Economic)</t>
        </is>
      </c>
      <c r="B18" s="32" t="n">
        <v>0.2</v>
      </c>
      <c r="C18" s="33" t="n">
        <v>20</v>
      </c>
      <c r="D18" s="34">
        <f>SUM(F11:H11)*20</f>
        <v/>
      </c>
      <c r="E18" s="35">
        <f>IF(C18&gt;0, (D18/C18)*5, 0)</f>
        <v/>
      </c>
      <c r="F18" s="21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1" t="inlineStr">
        <is>
          <t>L : ด้านกฎหมาย ระเบียบ และภาคประชาชน (Legal &amp; Outreach)</t>
        </is>
      </c>
      <c r="B19" s="32" t="n">
        <v>0.15</v>
      </c>
      <c r="C19" s="33" t="n">
        <v>15</v>
      </c>
      <c r="D19" s="34">
        <f>SUM(I11:J11)*20</f>
        <v/>
      </c>
      <c r="E19" s="35">
        <f>IF(C19&gt;0, (D19/C19)*5, 0)</f>
        <v/>
      </c>
      <c r="F19" s="21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1" t="inlineStr">
        <is>
          <t>O : ด้านการปฏิบัติการและหน้างาน (Operational)</t>
        </is>
      </c>
      <c r="B20" s="32" t="n">
        <v>0.2</v>
      </c>
      <c r="C20" s="33" t="n">
        <v>20</v>
      </c>
      <c r="D20" s="34">
        <f>SUM(K11:M11)*20</f>
        <v/>
      </c>
      <c r="E20" s="35">
        <f>IF(C20&gt;0, (D20/C20)*5, 0)</f>
        <v/>
      </c>
      <c r="F20" s="21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1" t="inlineStr">
        <is>
          <t>S : ด้านแผนงานและเวลาส่งมอบ (Schedule)</t>
        </is>
      </c>
      <c r="B21" s="32" t="n">
        <v>0.15</v>
      </c>
      <c r="C21" s="33" t="n">
        <v>15</v>
      </c>
      <c r="D21" s="34">
        <f>SUM(N11:P11)*20</f>
        <v/>
      </c>
      <c r="E21" s="35">
        <f>IF(C21&gt;0, (D21/C21)*5, 0)</f>
        <v/>
      </c>
      <c r="F21" s="21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1" t="inlineStr">
        <is>
          <t>+S : ด้านความยั่งยืนและสิ่งแวดล้อม (Sustainability / SDG)</t>
        </is>
      </c>
      <c r="B22" s="32" t="n">
        <v>0.1</v>
      </c>
      <c r="C22" s="33" t="n">
        <v>10</v>
      </c>
      <c r="D22" s="34">
        <f>SUM(Q11:S11)*20</f>
        <v/>
      </c>
      <c r="E22" s="35">
        <f>IF(C22&gt;0, (D22/C22)*5, 0)</f>
        <v/>
      </c>
      <c r="F22" s="21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6" t="inlineStr">
        <is>
          <t>คะแนนรวมทุกมิติ (Total Feasibility Score)</t>
        </is>
      </c>
      <c r="B23" s="27">
        <f>SUM(B17:B22)</f>
        <v/>
      </c>
      <c r="C23" s="37">
        <f>SUM(C17:C22)</f>
        <v/>
      </c>
      <c r="D23" s="38">
        <f>SUM(D17:D22)</f>
        <v/>
      </c>
      <c r="E23" s="28">
        <f>IF(C23&gt;0, (D23/C23)*5, 0)</f>
        <v/>
      </c>
      <c r="F23" s="39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2-Factor Authentication Dispatch Filtering Layer (PUB Singapore CWOS)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ด้านการปฏิบัติการและผู้ใช้ (Operational 2.5)</t>
        </is>
      </c>
      <c r="L5" s="20" t="inlineStr">
        <is>
          <t>ด้านการปฏิบัติการและผู้ใช้ (Operational 2.5)</t>
        </is>
      </c>
      <c r="M5" s="20" t="inlineStr">
        <is>
          <t>ด้านการปฏิบัติการและผู้ใช้ (Operational 2.5)</t>
        </is>
      </c>
      <c r="N5" s="20" t="inlineStr">
        <is>
          <t>ด้านเวลาและแผนงาน (Schedule 2.6)</t>
        </is>
      </c>
      <c r="O5" s="20" t="inlineStr">
        <is>
          <t>ด้านเวลาและแผนงาน (Schedule 2.6)</t>
        </is>
      </c>
      <c r="P5" s="20" t="inlineStr">
        <is>
          <t>ด้านเวลาและแผนงาน (Schedule 2.6)</t>
        </is>
      </c>
      <c r="Q5" s="20" t="inlineStr">
        <is>
          <t>ด้านความยั่งยืน (SDGs 2.7)</t>
        </is>
      </c>
      <c r="R5" s="20" t="inlineStr">
        <is>
          <t>ด้านความยั่งยืน (SDGs 2.7)</t>
        </is>
      </c>
      <c r="S5" s="20" t="inlineStr">
        <is>
          <t>ด้านความยั่งยืน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2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2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2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2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2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2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2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2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2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2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2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2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2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2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2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2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2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2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2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2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2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2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2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2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2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2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2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2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2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2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2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2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2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2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2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2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2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2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2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2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2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2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2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2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2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2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2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2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2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5</v>
      </c>
      <c r="C9" s="25" t="n">
        <v>4</v>
      </c>
      <c r="D9" s="25" t="n">
        <v>5</v>
      </c>
      <c r="E9" s="25" t="n">
        <v>5</v>
      </c>
      <c r="F9" s="25" t="n">
        <v>5</v>
      </c>
      <c r="G9" s="25" t="n">
        <v>5</v>
      </c>
      <c r="H9" s="25" t="n">
        <v>5</v>
      </c>
      <c r="I9" s="25" t="n">
        <v>5</v>
      </c>
      <c r="J9" s="25" t="n">
        <v>4</v>
      </c>
      <c r="K9" s="25" t="n">
        <v>5</v>
      </c>
      <c r="L9" s="25" t="n">
        <v>4</v>
      </c>
      <c r="M9" s="25" t="n">
        <v>5</v>
      </c>
      <c r="N9" s="25" t="n">
        <v>4</v>
      </c>
      <c r="O9" s="25" t="n">
        <v>4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solution-2.md ข้อ 3.a โครงสร้างโหนดโทรมาตรใช้กล่องกันน้ำ COTS IP67 อ้างอิง team-skills/due.md และ fifa.md ที่เชี่ยวชาญการออกแบบเคสและการติดตั้งภายนอก</t>
        </is>
      </c>
      <c r="C12" s="22" t="inlineStr">
        <is>
          <t>ใช้วงจร ESP32 ร่วมกับโมดูล LoRa/4G มีบอร์ด Screw Terminal ที่ Due และ Fifa ประกอบได้ มั่นคง แข็งแรง กินไฟต่ำมาก</t>
        </is>
      </c>
      <c r="D12" s="22" t="inlineStr">
        <is>
          <t>อ้างอิง solution-2.md ข้อ 3.b ตรรกะ 2-Factor Verification และ Holding Queue 15 นาที ประมวลผลแบบ Boolean/Confidence Scoring บนคลาวด์เสร็จในระดับมิลลิวินาที</t>
        </is>
      </c>
      <c r="E12" s="22" t="inlineStr">
        <is>
          <t>การยืนยันร่วม 2 ปัจจัยช่วยลดความผิดพลาดของเซนเซอร์เดี่ยวได้อย่างดีเยี่ยม หากเซนเซอร์อ่านเพี้ยนแต่ไม่มีแจ้งเหตุ หรือมีแจ้งเหตุแต่เซนเซอร์ปกติ ระบบจะหน่วงเวลาตรวจสอบซ้ำ 15 นาที</t>
        </is>
      </c>
      <c r="F12" s="22" t="inlineStr">
        <is>
          <t>ต้นทุนโหนดโทรมาตร COTS ระดับน้ำและเรดาร์ฝน API อยู่ที่ประมาณ 3,200 - 3,800 บาทต่อชุด อยู่ในงบ 5,000 บ. อย่างสมบูรณ์</t>
        </is>
      </c>
      <c r="G12" s="22" t="inlineStr">
        <is>
          <t>ด้วยต้นทุนที่ต่ำ สามารถจัดซื้อเซนเซอร์และบอร์ดสำรองได้ 100% ภายใต้งบประมาณรวม</t>
        </is>
      </c>
      <c r="H12" s="22" t="inlineStr">
        <is>
          <t>ตัด Empty Cases จากการแจ้งเตือนเดี่ยวได้มากกว่า 40-50% ประหยัดค่าน้ำมันและกำลังพลของ กทม. ได้หลายหมื่นบาทต่อเดือน</t>
        </is>
      </c>
      <c r="I12" s="22" t="inlineStr">
        <is>
          <t>ปลอดจากปัญหา PDPA 100% เพราะไม่ใช้กล้อง CCTV ในการจับภาพบุคคล ใช้เพียงระดับน้ำและข้อมูลเรดาร์น้ำฝน</t>
        </is>
      </c>
      <c r="J12" s="22" t="inlineStr">
        <is>
          <t>โมดูลสื่อสารผ่าน กสทช. และสอดคล้องกับระบบตรวจวัดน้ำท่วมของ กทม. อ้างอิงความสามารถในการสื่อสารของ Due และ Fifa</t>
        </is>
      </c>
      <c r="K12" s="22" t="inlineStr">
        <is>
          <t>ออกบัตร Digital Evidence Card บันทึกกราฟระดับน้ำและเวลาปิดเคสอัตโนมัติ แนบในระบบ Traffy Fondue ได้ทันที</t>
        </is>
      </c>
      <c r="L12" s="22" t="inlineStr">
        <is>
          <t>แดชบอร์ดแสดงสถานะ 2-Factor (Confirmed vs Holding) ชัดเจน เจ้าหน้าที่หน้างานเข้าใจได้ใน 5 วินาที</t>
        </is>
      </c>
      <c r="M12" s="22" t="inlineStr">
        <is>
          <t>ติดตั้งบนราวสะพานหรือเสาไฟ ปลอดภัยต่อชีวิตผู้ปฏิบัติงาน 100% ไม่ต้องลงไปในทางน้ำ</t>
        </is>
      </c>
      <c r="N12" s="22" t="inlineStr">
        <is>
          <t>การแยกส่วนพัฒนา Rule Engine บนคลาวด์ (Kin, JK) และฮาร์ดแวร์ (Due, Fifa) ทำให้ดูดซับช่วงสอบได้สบาย</t>
        </is>
      </c>
      <c r="O12" s="22" t="inlineStr">
        <is>
          <t>สามารถส่งมอบระบบเชื่อมต่อ Webhook และเซนเซอร์ต้นแบบได้สมบูรณ์ก่อนสัปดาห์ที่ 9</t>
        </is>
      </c>
      <c r="P12" s="22" t="inlineStr">
        <is>
          <t>อุปกรณ์ทั้งหมดเป็น COTS ในประเทศ จัดส่งได้ภายใน 2-3 วันทำการ</t>
        </is>
      </c>
      <c r="Q12" s="22" t="inlineStr">
        <is>
          <t>สนับสนุนการบริหารจัดการภัยพิบัติเมืองอย่างยืดหยุ่น (SDG 11.5) ลดการกระจายกำลังผิดจุด</t>
        </is>
      </c>
      <c r="R12" s="22" t="inlineStr">
        <is>
          <t>ติดตั้งเหนือผิวน้ำ ไม่สร้างขยะอุดตันท่อ และไม่มีมลพิษ</t>
        </is>
      </c>
      <c r="S12" s="22" t="inlineStr">
        <is>
          <t>เกณฑ์การตรวจสอบ 2 ปัจจัยโปร่งใส ตรวจสอบย้อนหลังได้ทุกเคส ไม่เลือกปฏิบัติ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ใช้กล่องกันน้ำ COTS สำเร็จรูปพร้อมแคลมป์ยึดเสา</t>
        </is>
      </c>
      <c r="C13" s="22" t="inlineStr">
        <is>
          <t>ใช้ Screw Terminal Shield สำเร็จรูป</t>
        </is>
      </c>
      <c r="D13" s="22" t="inlineStr">
        <is>
          <t>เชื่อมต่อ Webhook บน Backend API แบบน้ำหนักเบา</t>
        </is>
      </c>
      <c r="E13" s="22" t="inlineStr">
        <is>
          <t>ใช้เซนเซอร์วัดระดับน้ำแบบไม่สัมผัสผิวน้ำ</t>
        </is>
      </c>
      <c r="F13" s="22" t="inlineStr">
        <is>
          <t>เลือกเซนเซอร์ระดับน้ำ COTS ราคาประหยัด</t>
        </is>
      </c>
      <c r="G13" s="22" t="inlineStr">
        <is>
          <t>ซื้ออะไหล่สำรองเซนเซอร์ 1 ชุด</t>
        </is>
      </c>
      <c r="H13" s="22" t="inlineStr">
        <is>
          <t>คำนวณอัตราการประหยัดน้ำมันเทียบกับรอบการปล่อยรถ</t>
        </is>
      </c>
      <c r="I13" s="22" t="inlineStr">
        <is>
          <t>ยึดอุปกรณ์บนโครงสร้างสะพานอย่างปลอดภัย</t>
        </is>
      </c>
      <c r="J13" s="22" t="inlineStr">
        <is>
          <t>ใช้เครือข่าย 4G/NB-IoT ที่ผ่าน กสทช.</t>
        </is>
      </c>
      <c r="K13" s="22" t="inlineStr">
        <is>
          <t>ส่งออกรายงานผลการตรวจสอบ 2 ปัจจุบันเป็น PDF</t>
        </is>
      </c>
      <c r="L13" s="22" t="inlineStr">
        <is>
          <t>ออกแบบ UI ให้มีสถานะสีเตือนชัดเจน</t>
        </is>
      </c>
      <c r="M13" s="22" t="inlineStr">
        <is>
          <t>ติดตั้งจากบนทางเท้า</t>
        </is>
      </c>
      <c r="N13" s="22" t="inlineStr">
        <is>
          <t>ทดสอบ Rule Engine ด้วย Mock Data ช่วงสอบ</t>
        </is>
      </c>
      <c r="O13" s="22" t="inlineStr">
        <is>
          <t>ส่งมอบ Demo Webhook ในสัปดาห์ที่ 9</t>
        </is>
      </c>
      <c r="P13" s="22" t="inlineStr">
        <is>
          <t>จัดซื้อชิ้นส่วนในประเทศ 100%</t>
        </is>
      </c>
      <c r="Q13" s="22" t="inlineStr">
        <is>
          <t>ประเมินเวลาการลดเที่ยวรถว่างเปล่า</t>
        </is>
      </c>
      <c r="R13" s="22" t="inlineStr">
        <is>
          <t>ใช้สลิงนิรภัยยึดสองชั้น</t>
        </is>
      </c>
      <c r="S13" s="22" t="inlineStr">
        <is>
          <t>เปิดเผย Audit Log การยืนยันเหตุ</t>
        </is>
      </c>
      <c r="T13" s="21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5" t="inlineStr">
        <is>
          <t>ตารางสรุปคะแนนแยกตามมิติ TELOS+S (Pillar Score Breakdown)</t>
        </is>
      </c>
    </row>
    <row r="16" ht="24" customHeight="1">
      <c r="A16" s="30" t="inlineStr">
        <is>
          <t>มิติการประเมิน (TELOS+S Pillar)</t>
        </is>
      </c>
      <c r="B16" s="30" t="inlineStr">
        <is>
          <t>สัดส่วนน้ำหนัก (Weight %)</t>
        </is>
      </c>
      <c r="C16" s="30" t="inlineStr">
        <is>
          <t>คะแนนเต็มมิติ (Max Points)</t>
        </is>
      </c>
      <c r="D16" s="30" t="inlineStr">
        <is>
          <t>คะแนนที่ได้รับจริง (Earned Points)</t>
        </is>
      </c>
      <c r="E16" s="30" t="inlineStr">
        <is>
          <t>คะแนนเฉลี่ย (Score 1-5)</t>
        </is>
      </c>
      <c r="F16" s="30" t="inlineStr">
        <is>
          <t>ระดับความพร้อม (Readiness Level)</t>
        </is>
      </c>
    </row>
    <row r="17" ht="22" customHeight="1">
      <c r="A17" s="31" t="inlineStr">
        <is>
          <t>T : ด้านเทคโนโลยีและวิศวกรรม (Technical)</t>
        </is>
      </c>
      <c r="B17" s="32" t="n">
        <v>0.2</v>
      </c>
      <c r="C17" s="33" t="n">
        <v>20</v>
      </c>
      <c r="D17" s="34">
        <f>SUM(B11:E11)*20</f>
        <v/>
      </c>
      <c r="E17" s="35">
        <f>IF(C17&gt;0, (D17/C17)*5, 0)</f>
        <v/>
      </c>
      <c r="F17" s="21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1" t="inlineStr">
        <is>
          <t>E : ด้านเศรษฐศาสตร์และความคุ้มค่า (Economic)</t>
        </is>
      </c>
      <c r="B18" s="32" t="n">
        <v>0.2</v>
      </c>
      <c r="C18" s="33" t="n">
        <v>20</v>
      </c>
      <c r="D18" s="34">
        <f>SUM(F11:H11)*20</f>
        <v/>
      </c>
      <c r="E18" s="35">
        <f>IF(C18&gt;0, (D18/C18)*5, 0)</f>
        <v/>
      </c>
      <c r="F18" s="21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1" t="inlineStr">
        <is>
          <t>L : ด้านกฎหมาย ระเบียบ และภาคประชาชน (Legal &amp; Outreach)</t>
        </is>
      </c>
      <c r="B19" s="32" t="n">
        <v>0.15</v>
      </c>
      <c r="C19" s="33" t="n">
        <v>15</v>
      </c>
      <c r="D19" s="34">
        <f>SUM(I11:J11)*20</f>
        <v/>
      </c>
      <c r="E19" s="35">
        <f>IF(C19&gt;0, (D19/C19)*5, 0)</f>
        <v/>
      </c>
      <c r="F19" s="21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1" t="inlineStr">
        <is>
          <t>O : ด้านการปฏิบัติการและหน้างาน (Operational)</t>
        </is>
      </c>
      <c r="B20" s="32" t="n">
        <v>0.2</v>
      </c>
      <c r="C20" s="33" t="n">
        <v>20</v>
      </c>
      <c r="D20" s="34">
        <f>SUM(K11:M11)*20</f>
        <v/>
      </c>
      <c r="E20" s="35">
        <f>IF(C20&gt;0, (D20/C20)*5, 0)</f>
        <v/>
      </c>
      <c r="F20" s="21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1" t="inlineStr">
        <is>
          <t>S : ด้านแผนงานและเวลาส่งมอบ (Schedule)</t>
        </is>
      </c>
      <c r="B21" s="32" t="n">
        <v>0.15</v>
      </c>
      <c r="C21" s="33" t="n">
        <v>15</v>
      </c>
      <c r="D21" s="34">
        <f>SUM(N11:P11)*20</f>
        <v/>
      </c>
      <c r="E21" s="35">
        <f>IF(C21&gt;0, (D21/C21)*5, 0)</f>
        <v/>
      </c>
      <c r="F21" s="21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1" t="inlineStr">
        <is>
          <t>+S : ด้านความยั่งยืนและสิ่งแวดล้อม (Sustainability / SDG)</t>
        </is>
      </c>
      <c r="B22" s="32" t="n">
        <v>0.1</v>
      </c>
      <c r="C22" s="33" t="n">
        <v>10</v>
      </c>
      <c r="D22" s="34">
        <f>SUM(Q11:S11)*20</f>
        <v/>
      </c>
      <c r="E22" s="35">
        <f>IF(C22&gt;0, (D22/C22)*5, 0)</f>
        <v/>
      </c>
      <c r="F22" s="21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6" t="inlineStr">
        <is>
          <t>คะแนนรวมทุกมิติ (Total Feasibility Score)</t>
        </is>
      </c>
      <c r="B23" s="27">
        <f>SUM(B17:B22)</f>
        <v/>
      </c>
      <c r="C23" s="37">
        <f>SUM(C17:C22)</f>
        <v/>
      </c>
      <c r="D23" s="38">
        <f>SUM(D17:D22)</f>
        <v/>
      </c>
      <c r="E23" s="28">
        <f>IF(C23&gt;0, (D23/C23)*5, 0)</f>
        <v/>
      </c>
      <c r="F23" s="39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Acoustic Sewer Measurement &amp; Pre-Screening for Scheduled Maintenance (Case 3 UK/USA)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ด้านการปฏิบัติการและผู้ใช้ (Operational 2.5)</t>
        </is>
      </c>
      <c r="L5" s="20" t="inlineStr">
        <is>
          <t>ด้านการปฏิบัติการและผู้ใช้ (Operational 2.5)</t>
        </is>
      </c>
      <c r="M5" s="20" t="inlineStr">
        <is>
          <t>ด้านการปฏิบัติการและผู้ใช้ (Operational 2.5)</t>
        </is>
      </c>
      <c r="N5" s="20" t="inlineStr">
        <is>
          <t>ด้านเวลาและแผนงาน (Schedule 2.6)</t>
        </is>
      </c>
      <c r="O5" s="20" t="inlineStr">
        <is>
          <t>ด้านเวลาและแผนงาน (Schedule 2.6)</t>
        </is>
      </c>
      <c r="P5" s="20" t="inlineStr">
        <is>
          <t>ด้านเวลาและแผนงาน (Schedule 2.6)</t>
        </is>
      </c>
      <c r="Q5" s="20" t="inlineStr">
        <is>
          <t>ด้านความยั่งยืน (SDGs 2.7)</t>
        </is>
      </c>
      <c r="R5" s="20" t="inlineStr">
        <is>
          <t>ด้านความยั่งยืน (SDGs 2.7)</t>
        </is>
      </c>
      <c r="S5" s="20" t="inlineStr">
        <is>
          <t>ด้านความยั่งยืน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2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2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2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2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2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2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2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2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2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2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2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2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2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2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2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2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2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2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2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2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2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2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2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2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2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2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2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2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2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2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2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2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2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2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2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2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2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2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2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2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2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2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2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2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2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2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2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2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2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4</v>
      </c>
      <c r="D9" s="25" t="n">
        <v>4</v>
      </c>
      <c r="E9" s="25" t="n">
        <v>4</v>
      </c>
      <c r="F9" s="25" t="n">
        <v>4</v>
      </c>
      <c r="G9" s="25" t="n">
        <v>4</v>
      </c>
      <c r="H9" s="25" t="n">
        <v>5</v>
      </c>
      <c r="I9" s="25" t="n">
        <v>4</v>
      </c>
      <c r="J9" s="25" t="n">
        <v>4</v>
      </c>
      <c r="K9" s="25" t="n">
        <v>5</v>
      </c>
      <c r="L9" s="25" t="n">
        <v>4</v>
      </c>
      <c r="M9" s="25" t="n">
        <v>4</v>
      </c>
      <c r="N9" s="25" t="n">
        <v>4</v>
      </c>
      <c r="O9" s="25" t="n">
        <v>4</v>
      </c>
      <c r="P9" s="25" t="n">
        <v>4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solution-3.md ข้อ 3.a ใช้ก้านยืดหด (Telescopic Pole) สำเร็จรูป และกล่องเซนเซอร์ COTS IP67 อ้างอิง team-skills/fifa.md ที่เชี่ยวชาญการประกอบทางกล และ due.md ที่เชี่ยวชาญ 3D CAD ออกแบบข้อต่อก้านหย่อนได้โดยไม่ต้องใช้ Machine Shop</t>
        </is>
      </c>
      <c r="C12" s="22" t="inlineStr">
        <is>
          <t>อ้างอิง team-skills/due.md ที่เชี่ยวชาญการต่อวงจรและออกแบบ Custom PCB และ jk.md ที่เข้าใจฟิสิกส์คลื่นเสียง ใช้วงจรขยายสัญญาณและ ESP32 ทำงานแบบชั่วคราว 3-5 นาทีต่อบ่อ ไม่มีความร้อนสะสม</t>
        </is>
      </c>
      <c r="D12" s="22" t="inlineStr">
        <is>
          <t>อ้างอิง solution-3.md ข้อ 3.b การวิเคราะห์ Time-of-Flight และ Attenuation เพื่อจัดเกรด 3 ระดับ (0-3, 4-6, 7-10) อ้างอิง team-skills/jk.md เชี่ยวชาญการประมวลผลสัญญาณและคณิตศาสตร์ ประมวลผลเสร็จในระดับวินาที</t>
        </is>
      </c>
      <c r="E12" s="22" t="inlineStr">
        <is>
          <t>ปฏิบัติการเฉพาะช่วงน้ำไหลต่ำในฤดูแล้ง (Dry-weather flow) ไม่มีเสียงฝนหรือน้ำหลากรบกวน ทำให้คลื่นสะท้อนชัดเจน และหัววัดหย่อนเพียงชั่วคราวแล้วดึงขึ้นมาเช็ดได้</t>
        </is>
      </c>
      <c r="F12" s="22" t="inlineStr">
        <is>
          <t>สร้างต้นแบบด้วย Transducer เกรดอุตสาหกรรมราคาประหยัด COTS ร่วมกับบอร์ด ESP32 และก้าน Telescopic รวม ~4,200 - 4,800 บาท ควบคุมให้อยู่ในงบ 5,000 บ. ได้ (หลีกเลี่ยงเครื่อง SL-RAT หลักล้าน)</t>
        </is>
      </c>
      <c r="G12" s="22" t="inlineStr">
        <is>
          <t>จัดซื้อหัวทรานสดิวเซอร์เสียง COTS สำรองได้ 2 ชิ้น และใช้บอร์ดประมวลผลสำรองที่มีในแล็บ</t>
        </is>
      </c>
      <c r="H12" s="22" t="inlineStr">
        <is>
          <t>คุ้มค่ามหาศาลต่อเทศบาล/กทม. การคัดกรองท่อสะอาด (เกรด 7-10) ช่วยให้ไม่ต้องส่งรถดูดโคลนไปลอกท่อที่ไม่ตัน ประหยัดงบประมาณและค่าน้ำมันได้หลายแสนบาทต่อปี</t>
        </is>
      </c>
      <c r="I12" s="22" t="inlineStr">
        <is>
          <t>เปิดฝาท่อเฉพาะช่วงฤดูแล้งร่วมกับทีมงานเทศบาล โดยมีกรวยสะท้อนแสงและป้ายเตือนตาม พ.ร.บ. จราจรทางบก และเป็นการหย่อนจากบนผิวถนนโดยไม่มีการให้คนมุดลงในที่อับอากาศ (Zero Confined Space Entry)</t>
        </is>
      </c>
      <c r="J12" s="22" t="inlineStr">
        <is>
          <t>อุปกรณ์ใช้การเชื่อมต่อ Bluetooth BLE/Wi-Fi ผ่าน กสทช. อ้างอิง team-skills/due.md และ fifa.md ในการประสานงานขอพื้นที่ทดสอบร่วมกับฝ่ายระบายน้ำของเขต</t>
        </is>
      </c>
      <c r="K12" s="22" t="inlineStr">
        <is>
          <t>ออกรายงานสถานะความสะอาดท่อ (Pipe Health Certificate) พร้อมคะแนน 0-10 และกราฟหน้าตัด เพื่อนำไปใช้ออกใบสั่งงาน (Work Order) ของรถดูดโคลนได้ทันที</t>
        </is>
      </c>
      <c r="L12" s="22" t="inlineStr">
        <is>
          <t>เจ้าหน้าที่เพียงหย่อนก้านลงบ่อ กดปุ่มทดสอบ 3 นาที และอ่านผลเกรดสีบนหน้าจอ ใช้งานง่ายตามแบบ Rapid Pre-Screening</t>
        </is>
      </c>
      <c r="M12" s="22" t="inlineStr">
        <is>
          <t>ปฏิบัติการในฤดูแล้งจากบนผิวทางเท้า ไม่เสี่ยงต่อน้ำท่วมหลาก และไม่มุดท่อระบายน้ำ ปลอดภัยต่อชีวิตผู้ปฏิบัติงาน</t>
        </is>
      </c>
      <c r="N12" s="22" t="inlineStr">
        <is>
          <t>งานแบ่งเป็น 2 ส่วน: ก้านหย่อน (Fifa, Due) และโค้ดวิเคราะห์เสียง (JK, Kin) สามารถทดสอบด้วยไฟล์เสียงจำลองช่วงสัปดาห์สอบได้</t>
        </is>
      </c>
      <c r="O12" s="22" t="inlineStr">
        <is>
          <t>สามารถส่งมอบต้นแบบก้านหย่อนและผลการทดสอบจำแนกท่อ 3 ระดับในท่อจำลองของมหาวิทยาลัยได้ก่อนสัปดาห์ที่ 9</t>
        </is>
      </c>
      <c r="P12" s="22" t="inlineStr">
        <is>
          <t>ทรานสดิวเซอร์เสียง COTS และก้าน Telescopic จัดซื้อได้ในประเทศ จัดส่งถึงมือใน 5-7 วัน</t>
        </is>
      </c>
      <c r="Q12" s="22" t="inlineStr">
        <is>
          <t>ส่งเสริมการระบายน้ำของเมืองอย่างยั่งยืน (SDG 11.5) ช่วยขจัดจุดอุดตันก่อนฤดูมรสุม ลดความเสี่ยงน้ำท่วมเมือง</t>
        </is>
      </c>
      <c r="R12" s="22" t="inlineStr">
        <is>
          <t>อุปกรณ์หย่อนชั่วคราวแล้วดึงกลับ 100% มีสายสลิงนิรภัยคล้อง ไม่มีการทิ้งชิ้นส่วนใดไว้ในท่อ ไม่สร้างขยะอุดตัน</t>
        </is>
      </c>
      <c r="S12" s="22" t="inlineStr">
        <is>
          <t>ปรับเปลี่ยนการจัดคิวลอกท่อมาใช้เกณฑ์ตัวเลขวิทยาศาสตร์ (Tier 0-3 ต้องลอกทันที) โปร่งใส เสมอภาค ไม่เลือกปฏิบัติ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ใช้ก้านยืดหด Telescopic pole สำเร็จรูปพร้อมข้อต่อ 3D Print</t>
        </is>
      </c>
      <c r="C13" s="22" t="inlineStr">
        <is>
          <t>ใช้โมดูล Transceiver สำเร็จรูปที่มี Screw Terminal</t>
        </is>
      </c>
      <c r="D13" s="22" t="inlineStr">
        <is>
          <t>ใช้อัลกอริทึม Time-of-Flight และ FFT พื้นฐานจำแนก 3 ระดับ</t>
        </is>
      </c>
      <c r="E13" s="22" t="inlineStr">
        <is>
          <t>เช็ดทำความสะอาดหัววัดด้วยผ้าแห้งทุกครั้งหลังใช้งาน</t>
        </is>
      </c>
      <c r="F13" s="22" t="inlineStr">
        <is>
          <t>จำกัดระยะตรวจวัดในต้นแบบไว้ที่ท่อช่วง 30-50 เมตร</t>
        </is>
      </c>
      <c r="G13" s="22" t="inlineStr">
        <is>
          <t>ซื้อหัวทรานสดิวเซอร์สำรอง 2 ชิ้น</t>
        </is>
      </c>
      <c r="H13" s="22" t="inlineStr">
        <is>
          <t>คำนวณงบประมาณการล้างท่อที่ประหยัดได้เทียบกับการลอกแบบสุ่ม</t>
        </is>
      </c>
      <c r="I13" s="22" t="inlineStr">
        <is>
          <t>ประสานงานทดสอบร่วมกับทีมลอกท่อของสำนักงานเขต</t>
        </is>
      </c>
      <c r="J13" s="22" t="inlineStr">
        <is>
          <t>บันทึกข้อมูลแบบออฟไลน์ลง SD Card และส่งผ่าน Bluetooth</t>
        </is>
      </c>
      <c r="K13" s="22" t="inlineStr">
        <is>
          <t>ส่งออกรายงานสรุปเกรดความสะอาดท่อรายวันเป็น PDF</t>
        </is>
      </c>
      <c r="L13" s="22" t="inlineStr">
        <is>
          <t>ออกแบบหน้าจอ LED สามสีแสดงผลเกรดความสะอาด</t>
        </is>
      </c>
      <c r="M13" s="22" t="inlineStr">
        <is>
          <t>ทดสอบบนบ่อพักน้ำของมหาวิทยาลัยก่อนลงพื้นที่จริง</t>
        </is>
      </c>
      <c r="N13" s="22" t="inlineStr">
        <is>
          <t>ทดสอบอัลกอริทึมด้วยข้อมูลเสียงบันทึกล่วงหน้าช่วงสอบ</t>
        </is>
      </c>
      <c r="O13" s="22" t="inlineStr">
        <is>
          <t>ส่งมอบผลการทดสอบบนท่อจำลอง 3 ระดับในสัปดาห์ที่ 9</t>
        </is>
      </c>
      <c r="P13" s="22" t="inlineStr">
        <is>
          <t>จัดซื้อทรานสดิวเซอร์ที่มีสต็อกพร้อมส่งในไทย</t>
        </is>
      </c>
      <c r="Q13" s="22" t="inlineStr">
        <is>
          <t>เน้นการตรวจคัดกรองในจุดเสี่ยงน้ำท่วมซ้ำซาก</t>
        </is>
      </c>
      <c r="R13" s="22" t="inlineStr">
        <is>
          <t>ใช้สายสลิงสแตนเลสคล้องยึดหัววัดกับก้านหย่อนตลอดเวลา</t>
        </is>
      </c>
      <c r="S13" s="22" t="inlineStr">
        <is>
          <t>จัดทำตารางเกณฑ์คะแนนความสะอาด 3 ระดับเผยแพร่เป็นมาตรฐานเปิด</t>
        </is>
      </c>
      <c r="T13" s="21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5" t="inlineStr">
        <is>
          <t>ตารางสรุปคะแนนแยกตามมิติ TELOS+S (Pillar Score Breakdown)</t>
        </is>
      </c>
    </row>
    <row r="16" ht="24" customHeight="1">
      <c r="A16" s="30" t="inlineStr">
        <is>
          <t>มิติการประเมิน (TELOS+S Pillar)</t>
        </is>
      </c>
      <c r="B16" s="30" t="inlineStr">
        <is>
          <t>สัดส่วนน้ำหนัก (Weight %)</t>
        </is>
      </c>
      <c r="C16" s="30" t="inlineStr">
        <is>
          <t>คะแนนเต็มมิติ (Max Points)</t>
        </is>
      </c>
      <c r="D16" s="30" t="inlineStr">
        <is>
          <t>คะแนนที่ได้รับจริง (Earned Points)</t>
        </is>
      </c>
      <c r="E16" s="30" t="inlineStr">
        <is>
          <t>คะแนนเฉลี่ย (Score 1-5)</t>
        </is>
      </c>
      <c r="F16" s="30" t="inlineStr">
        <is>
          <t>ระดับความพร้อม (Readiness Level)</t>
        </is>
      </c>
    </row>
    <row r="17" ht="22" customHeight="1">
      <c r="A17" s="31" t="inlineStr">
        <is>
          <t>T : ด้านเทคโนโลยีและวิศวกรรม (Technical)</t>
        </is>
      </c>
      <c r="B17" s="32" t="n">
        <v>0.2</v>
      </c>
      <c r="C17" s="33" t="n">
        <v>20</v>
      </c>
      <c r="D17" s="34">
        <f>SUM(B11:E11)*20</f>
        <v/>
      </c>
      <c r="E17" s="35">
        <f>IF(C17&gt;0, (D17/C17)*5, 0)</f>
        <v/>
      </c>
      <c r="F17" s="21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1" t="inlineStr">
        <is>
          <t>E : ด้านเศรษฐศาสตร์และความคุ้มค่า (Economic)</t>
        </is>
      </c>
      <c r="B18" s="32" t="n">
        <v>0.2</v>
      </c>
      <c r="C18" s="33" t="n">
        <v>20</v>
      </c>
      <c r="D18" s="34">
        <f>SUM(F11:H11)*20</f>
        <v/>
      </c>
      <c r="E18" s="35">
        <f>IF(C18&gt;0, (D18/C18)*5, 0)</f>
        <v/>
      </c>
      <c r="F18" s="21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1" t="inlineStr">
        <is>
          <t>L : ด้านกฎหมาย ระเบียบ และภาคประชาชน (Legal &amp; Outreach)</t>
        </is>
      </c>
      <c r="B19" s="32" t="n">
        <v>0.15</v>
      </c>
      <c r="C19" s="33" t="n">
        <v>15</v>
      </c>
      <c r="D19" s="34">
        <f>SUM(I11:J11)*20</f>
        <v/>
      </c>
      <c r="E19" s="35">
        <f>IF(C19&gt;0, (D19/C19)*5, 0)</f>
        <v/>
      </c>
      <c r="F19" s="21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1" t="inlineStr">
        <is>
          <t>O : ด้านการปฏิบัติการและหน้างาน (Operational)</t>
        </is>
      </c>
      <c r="B20" s="32" t="n">
        <v>0.2</v>
      </c>
      <c r="C20" s="33" t="n">
        <v>20</v>
      </c>
      <c r="D20" s="34">
        <f>SUM(K11:M11)*20</f>
        <v/>
      </c>
      <c r="E20" s="35">
        <f>IF(C20&gt;0, (D20/C20)*5, 0)</f>
        <v/>
      </c>
      <c r="F20" s="21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1" t="inlineStr">
        <is>
          <t>S : ด้านแผนงานและเวลาส่งมอบ (Schedule)</t>
        </is>
      </c>
      <c r="B21" s="32" t="n">
        <v>0.15</v>
      </c>
      <c r="C21" s="33" t="n">
        <v>15</v>
      </c>
      <c r="D21" s="34">
        <f>SUM(N11:P11)*20</f>
        <v/>
      </c>
      <c r="E21" s="35">
        <f>IF(C21&gt;0, (D21/C21)*5, 0)</f>
        <v/>
      </c>
      <c r="F21" s="21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1" t="inlineStr">
        <is>
          <t>+S : ด้านความยั่งยืนและสิ่งแวดล้อม (Sustainability / SDG)</t>
        </is>
      </c>
      <c r="B22" s="32" t="n">
        <v>0.1</v>
      </c>
      <c r="C22" s="33" t="n">
        <v>10</v>
      </c>
      <c r="D22" s="34">
        <f>SUM(Q11:S11)*20</f>
        <v/>
      </c>
      <c r="E22" s="35">
        <f>IF(C22&gt;0, (D22/C22)*5, 0)</f>
        <v/>
      </c>
      <c r="F22" s="21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6" t="inlineStr">
        <is>
          <t>คะแนนรวมทุกมิติ (Total Feasibility Score)</t>
        </is>
      </c>
      <c r="B23" s="27">
        <f>SUM(B17:B22)</f>
        <v/>
      </c>
      <c r="C23" s="37">
        <f>SUM(C17:C22)</f>
        <v/>
      </c>
      <c r="D23" s="38">
        <f>SUM(D17:D22)</f>
        <v/>
      </c>
      <c r="E23" s="28">
        <f>IF(C23&gt;0, (D23/C23)*5, 0)</f>
        <v/>
      </c>
      <c r="F23" s="39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Smart Drainage Pipe Telemetry &amp; Prioritized Flushing DSS (Jakarta Case Adaptation)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ด้านการปฏิบัติการและผู้ใช้ (Operational 2.5)</t>
        </is>
      </c>
      <c r="L5" s="20" t="inlineStr">
        <is>
          <t>ด้านการปฏิบัติการและผู้ใช้ (Operational 2.5)</t>
        </is>
      </c>
      <c r="M5" s="20" t="inlineStr">
        <is>
          <t>ด้านการปฏิบัติการและผู้ใช้ (Operational 2.5)</t>
        </is>
      </c>
      <c r="N5" s="20" t="inlineStr">
        <is>
          <t>ด้านเวลาและแผนงาน (Schedule 2.6)</t>
        </is>
      </c>
      <c r="O5" s="20" t="inlineStr">
        <is>
          <t>ด้านเวลาและแผนงาน (Schedule 2.6)</t>
        </is>
      </c>
      <c r="P5" s="20" t="inlineStr">
        <is>
          <t>ด้านเวลาและแผนงาน (Schedule 2.6)</t>
        </is>
      </c>
      <c r="Q5" s="20" t="inlineStr">
        <is>
          <t>ด้านความยั่งยืน (SDGs 2.7)</t>
        </is>
      </c>
      <c r="R5" s="20" t="inlineStr">
        <is>
          <t>ด้านความยั่งยืน (SDGs 2.7)</t>
        </is>
      </c>
      <c r="S5" s="20" t="inlineStr">
        <is>
          <t>ด้านความยั่งยืน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2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2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2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2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2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2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2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2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2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2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2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2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2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2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2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2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2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2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2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2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2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2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2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2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2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2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2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2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2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2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2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2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2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2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2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2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2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2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2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2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2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2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2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2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2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2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2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2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2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5</v>
      </c>
      <c r="C9" s="25" t="n">
        <v>4</v>
      </c>
      <c r="D9" s="25" t="n">
        <v>4</v>
      </c>
      <c r="E9" s="25" t="n">
        <v>4</v>
      </c>
      <c r="F9" s="25" t="n">
        <v>4</v>
      </c>
      <c r="G9" s="25" t="n">
        <v>4</v>
      </c>
      <c r="H9" s="25" t="n">
        <v>5</v>
      </c>
      <c r="I9" s="25" t="n">
        <v>4</v>
      </c>
      <c r="J9" s="25" t="n">
        <v>4</v>
      </c>
      <c r="K9" s="25" t="n">
        <v>5</v>
      </c>
      <c r="L9" s="25" t="n">
        <v>4</v>
      </c>
      <c r="M9" s="25" t="n">
        <v>4</v>
      </c>
      <c r="N9" s="25" t="n">
        <v>4</v>
      </c>
      <c r="O9" s="25" t="n">
        <v>4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solution-4_drainage_telemetry.md ข้อ 3.a กล่องโหนดตรวจวัดใช้กล่องกันน้ำ IP68 สำเร็จรูป COTS ยึดใต้ฝาท่อพักน้ำด้วยแคลมป์สแตนเลส อ้างอิง team-skills/fifa.md และ due.md ที่เชี่ยวชาญการออกแบบเคสและการติดตั้งภายนอก</t>
        </is>
      </c>
      <c r="C12" s="22" t="inlineStr">
        <is>
          <t>ใช้บอร์ด ESP32 หรือโมดูล LoRaWAN สำเร็จรูปพร้อม Screw Terminal Shield มีโหมด Deep-Sleep ประหยัดพลังงาน อ้างอิง team-skills/due.md ในการออกแบบวงจร Low-power</t>
        </is>
      </c>
      <c r="D12" s="22" t="inlineStr">
        <is>
          <t>อ้างอิง solution-4_drainage_telemetry.md ข้อ 2 และ 3.b วิเคราะห์ Time-series เทียบกับ Baseline การไหล อ้างอิง team-skills/kin.md ที่เชี่ยวชาญ Data Pipeline และ Time-series ประมวลผลเสร็จในระดับวินาที</t>
        </is>
      </c>
      <c r="E12" s="22" t="inlineStr">
        <is>
          <t>อ้างอิง solution-4_drainage_telemetry.md ข้อ 4.a สภาพในท่อมีตะกอนและความชื้น ออกแบบติดตั้งเซนเซอร์แบบไม่สัมผัสน้ำ (Non-contact Ultrasonic/Radar) เหนือระดับน้ำสูงสุดพร้อมกรวยกันละอองน้ำ</t>
        </is>
      </c>
      <c r="F12" s="22" t="inlineStr">
        <is>
          <t>อุปกรณ์สำหรับ 1 โหนดตรวจวัดโทรมาตร (ESP32 + เซนเซอร์ระดับน้ำกันน้ำ + แบตเตอรี่และโซลาร์เซลล์ขนาดเล็ก) มี BOM รวมประมาณ 3,500 - 4,200 บาท อยู่ในเพดานงบประมาณ 5,000 บ.</t>
        </is>
      </c>
      <c r="G12" s="22" t="inlineStr">
        <is>
          <t>สามารถจัดซื้อเซนเซอร์ระดับน้ำสำรอง 1 ชุด และบอร์ดไมโครคอนโทรลเลอร์สำรอง 1 ชุด ภายใต้งบประมาณรวม</t>
        </is>
      </c>
      <c r="H12" s="22" t="inlineStr">
        <is>
          <t>ชี้เป้าจุดวิกฤตที่ระบายช้าจริง ช่วยลดการส่งรถดูดเลนไปล้างท่อที่ยังสะอาดอยู่ ประหยัดงบประมาณค่าน้ำมันและค่าแรงของ กทม. ได้หลายแสนบาทต่อปี คุ้มค่าสูงมาก</t>
        </is>
      </c>
      <c r="I12" s="22" t="inlineStr">
        <is>
          <t>ติดตั้งใต้ฝาท่อพักน้ำสาธารณะ ไม่มีการบันทึกภาพบุคคล ปลอดจาก พ.ร.บ. PDPA 100% การติดตั้งขออนุญาตฝ่ายโยธา สำนักงานเขต</t>
        </is>
      </c>
      <c r="J12" s="22" t="inlineStr">
        <is>
          <t>ใช้คลื่นความถี่ LoRaWAN 920-925 MHz หรือ NB-IoT ที่ได้รับการรับรองจาก กสทช. อ้างอิงความพร้อมในการประสานงานของทีมงาน</t>
        </is>
      </c>
      <c r="K12" s="22" t="inlineStr">
        <is>
          <t>ส่งออกรายงานประวัติการไหลและระดับน้ำเป็นกราฟดิจิทัล พร้อมพิกัด GPS เพื่อใช้สนับสนุนการปิดงานหรือออกใบสั่งล้างท่อได้</t>
        </is>
      </c>
      <c r="L12" s="22" t="inlineStr">
        <is>
          <t>แดชบอร์ดสรุปสถานะการไหลแสดงผลด้วยรหัสสีตามแบบ Jakarta Flood Control System เจ้าหน้าที่เข้าใจง่ายใน 5 วินาที</t>
        </is>
      </c>
      <c r="M12" s="22" t="inlineStr">
        <is>
          <t>ติดตั้งแขวนใต้ฝาท่อพักน้ำจากบนผิวทางเท้า ไม่มีการให้คนมุดลงไปในท่อระบายน้ำ ปลอดภัยต่อชีวิตผู้ปฏิบัติงาน</t>
        </is>
      </c>
      <c r="N12" s="22" t="inlineStr">
        <is>
          <t>แบ่งงานชัดเจน: Kin พัฒนา Data Pipeline, Due/Fifa ดูแลฮาร์ดแวร์โหนดตรวจวัด สามารถใช้ Mock Telemetry รันระบบช่วงสอบได้</t>
        </is>
      </c>
      <c r="O12" s="22" t="inlineStr">
        <is>
          <t>สามารถส่งมอบโหนดต้นแบบ 1 จุดเชื่อมต่อ Dashboard แสดงผลสดได้ก่อนสัปดาห์ที่ 9</t>
        </is>
      </c>
      <c r="P12" s="22" t="inlineStr">
        <is>
          <t>อุปกรณ์ COTS ทั้งหมดจัดซื้อได้จากตัวแทนจำหน่ายในประเทศ จัดส่งถึงมือใน 3-5 วัน</t>
        </is>
      </c>
      <c r="Q12" s="22" t="inlineStr">
        <is>
          <t>สอดคล้องกับ SDG 11.5 ช่วยให้เมืองตรวจพบจุดระบายช้าล่วงหน้าและป้องกันน้ำท่วมขังบนถนนสายสำคัญ</t>
        </is>
      </c>
      <c r="R12" s="22" t="inlineStr">
        <is>
          <t>กล่องอุปกรณ์ยึดแน่นด้วยแคลมป์สแตนเลสและมีสายสลิงนิรภัยสองชั้น ป้องกันอุปกรณ์หลุดลอยไปอุดตันท่อระบายน้ำ</t>
        </is>
      </c>
      <c r="S12" s="22" t="inlineStr">
        <is>
          <t>จัดลำดับการส่งรถดูดเลนตามข้อมูลตัวเลขเชิงประจักษ์ (Data-Driven Prioritization) โปร่งใส ตรวจสอบได้ ไม่เลือกปฏิบัติ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ใช้กล่องกันน้ำ IP68 สำเร็จรูปพร้อมขายึดแคลมป์ใต้ฝาท่อ</t>
        </is>
      </c>
      <c r="C13" s="22" t="inlineStr">
        <is>
          <t>ใช้ Screw Terminal Expansion Shield ป้องกันไฟกระชาก</t>
        </is>
      </c>
      <c r="D13" s="22" t="inlineStr">
        <is>
          <t>ใช้อัลกอริทึม Moving Average และ Threshold Alerting</t>
        </is>
      </c>
      <c r="E13" s="22" t="inlineStr">
        <is>
          <t>ติดตั้งแบบ Non-contact เหนือระดับน้ำสูงสุดพร้อมกรวยกันละออง</t>
        </is>
      </c>
      <c r="F13" s="22" t="inlineStr">
        <is>
          <t>สร้างโหนดต้นแบบนำร่อง 1 ชุด เพื่อทดสอบส่งข้อมูล</t>
        </is>
      </c>
      <c r="G13" s="22" t="inlineStr">
        <is>
          <t>จัดซื้อเซนเซอร์สำรอง 1 ชุดและบอร์ดสำรอง 1 ชุด</t>
        </is>
      </c>
      <c r="H13" s="22" t="inlineStr">
        <is>
          <t>ใช้ SIM IoT ส่งข้อมูลแบบ Batch ทุก 10-15 นาที</t>
        </is>
      </c>
      <c r="I13" s="22" t="inlineStr">
        <is>
          <t>ติดตั้งนำร่องในบ่อพักน้ำของมหาวิทยาลัยก่อนลงพื้นที่จริง</t>
        </is>
      </c>
      <c r="J13" s="22" t="inlineStr">
        <is>
          <t>ใช้เครือข่าย 4G/NB-IoT ที่ผ่าน กสทช.</t>
        </is>
      </c>
      <c r="K13" s="22" t="inlineStr">
        <is>
          <t>พัฒนาเทมเพลตรายงานสรุปผลการไหลรายวันเป็น PDF</t>
        </is>
      </c>
      <c r="L13" s="22" t="inlineStr">
        <is>
          <t>ออกแบบ Web Dashboard แสดงแผนที่ GIS สัญลักษณ์เตือนภัย</t>
        </is>
      </c>
      <c r="M13" s="22" t="inlineStr">
        <is>
          <t>ติดตั้งจากบนผิวทางเท้า ไม่มุดท่อ</t>
        </is>
      </c>
      <c r="N13" s="22" t="inlineStr">
        <is>
          <t>ทดสอบระบบคลาวด์และแดชบอร์ดด้วยข้อมูลจำลองช่วงสอบ</t>
        </is>
      </c>
      <c r="O13" s="22" t="inlineStr">
        <is>
          <t>ส่งมอบโหนดต้นแบบ 1 จุดเชื่อมต่อ Dashboard ในสัปดาห์ที่ 9</t>
        </is>
      </c>
      <c r="P13" s="22" t="inlineStr">
        <is>
          <t>จัดซื้ออุปกรณ์จากร้านค้าอิเล็กทรอนิกส์ในประเทศ</t>
        </is>
      </c>
      <c r="Q13" s="22" t="inlineStr">
        <is>
          <t>ติดตั้งโหนดนำร่องในจุดเสี่ยงน้ำท่วมซ้ำซาก</t>
        </is>
      </c>
      <c r="R13" s="22" t="inlineStr">
        <is>
          <t>ใช้สายสลิงสแตนเลส 316 คล้องยึดตัวอุปกรณ์สองชั้น</t>
        </is>
      </c>
      <c r="S13" s="22" t="inlineStr">
        <is>
          <t>เปิดเผยข้อมูลสถิติการไหลผ่านแดชบอร์ดสาธารณะ</t>
        </is>
      </c>
      <c r="T13" s="21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5" t="inlineStr">
        <is>
          <t>ตารางสรุปคะแนนแยกตามมิติ TELOS+S (Pillar Score Breakdown)</t>
        </is>
      </c>
    </row>
    <row r="16" ht="24" customHeight="1">
      <c r="A16" s="30" t="inlineStr">
        <is>
          <t>มิติการประเมิน (TELOS+S Pillar)</t>
        </is>
      </c>
      <c r="B16" s="30" t="inlineStr">
        <is>
          <t>สัดส่วนน้ำหนัก (Weight %)</t>
        </is>
      </c>
      <c r="C16" s="30" t="inlineStr">
        <is>
          <t>คะแนนเต็มมิติ (Max Points)</t>
        </is>
      </c>
      <c r="D16" s="30" t="inlineStr">
        <is>
          <t>คะแนนที่ได้รับจริง (Earned Points)</t>
        </is>
      </c>
      <c r="E16" s="30" t="inlineStr">
        <is>
          <t>คะแนนเฉลี่ย (Score 1-5)</t>
        </is>
      </c>
      <c r="F16" s="30" t="inlineStr">
        <is>
          <t>ระดับความพร้อม (Readiness Level)</t>
        </is>
      </c>
    </row>
    <row r="17" ht="22" customHeight="1">
      <c r="A17" s="31" t="inlineStr">
        <is>
          <t>T : ด้านเทคโนโลยีและวิศวกรรม (Technical)</t>
        </is>
      </c>
      <c r="B17" s="32" t="n">
        <v>0.2</v>
      </c>
      <c r="C17" s="33" t="n">
        <v>20</v>
      </c>
      <c r="D17" s="34">
        <f>SUM(B11:E11)*20</f>
        <v/>
      </c>
      <c r="E17" s="35">
        <f>IF(C17&gt;0, (D17/C17)*5, 0)</f>
        <v/>
      </c>
      <c r="F17" s="21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1" t="inlineStr">
        <is>
          <t>E : ด้านเศรษฐศาสตร์และความคุ้มค่า (Economic)</t>
        </is>
      </c>
      <c r="B18" s="32" t="n">
        <v>0.2</v>
      </c>
      <c r="C18" s="33" t="n">
        <v>20</v>
      </c>
      <c r="D18" s="34">
        <f>SUM(F11:H11)*20</f>
        <v/>
      </c>
      <c r="E18" s="35">
        <f>IF(C18&gt;0, (D18/C18)*5, 0)</f>
        <v/>
      </c>
      <c r="F18" s="21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1" t="inlineStr">
        <is>
          <t>L : ด้านกฎหมาย ระเบียบ และภาคประชาชน (Legal &amp; Outreach)</t>
        </is>
      </c>
      <c r="B19" s="32" t="n">
        <v>0.15</v>
      </c>
      <c r="C19" s="33" t="n">
        <v>15</v>
      </c>
      <c r="D19" s="34">
        <f>SUM(I11:J11)*20</f>
        <v/>
      </c>
      <c r="E19" s="35">
        <f>IF(C19&gt;0, (D19/C19)*5, 0)</f>
        <v/>
      </c>
      <c r="F19" s="21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1" t="inlineStr">
        <is>
          <t>O : ด้านการปฏิบัติการและหน้างาน (Operational)</t>
        </is>
      </c>
      <c r="B20" s="32" t="n">
        <v>0.2</v>
      </c>
      <c r="C20" s="33" t="n">
        <v>20</v>
      </c>
      <c r="D20" s="34">
        <f>SUM(K11:M11)*20</f>
        <v/>
      </c>
      <c r="E20" s="35">
        <f>IF(C20&gt;0, (D20/C20)*5, 0)</f>
        <v/>
      </c>
      <c r="F20" s="21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1" t="inlineStr">
        <is>
          <t>S : ด้านแผนงานและเวลาส่งมอบ (Schedule)</t>
        </is>
      </c>
      <c r="B21" s="32" t="n">
        <v>0.15</v>
      </c>
      <c r="C21" s="33" t="n">
        <v>15</v>
      </c>
      <c r="D21" s="34">
        <f>SUM(N11:P11)*20</f>
        <v/>
      </c>
      <c r="E21" s="35">
        <f>IF(C21&gt;0, (D21/C21)*5, 0)</f>
        <v/>
      </c>
      <c r="F21" s="21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1" t="inlineStr">
        <is>
          <t>+S : ด้านความยั่งยืนและสิ่งแวดล้อม (Sustainability / SDG)</t>
        </is>
      </c>
      <c r="B22" s="32" t="n">
        <v>0.1</v>
      </c>
      <c r="C22" s="33" t="n">
        <v>10</v>
      </c>
      <c r="D22" s="34">
        <f>SUM(Q11:S11)*20</f>
        <v/>
      </c>
      <c r="E22" s="35">
        <f>IF(C22&gt;0, (D22/C22)*5, 0)</f>
        <v/>
      </c>
      <c r="F22" s="21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6" t="inlineStr">
        <is>
          <t>คะแนนรวมทุกมิติ (Total Feasibility Score)</t>
        </is>
      </c>
      <c r="B23" s="27">
        <f>SUM(B17:B22)</f>
        <v/>
      </c>
      <c r="C23" s="37">
        <f>SUM(C17:C22)</f>
        <v/>
      </c>
      <c r="D23" s="38">
        <f>SUM(D17:D22)</f>
        <v/>
      </c>
      <c r="E23" s="28">
        <f>IF(C23&gt;0, (D23/C23)*5, 0)</f>
        <v/>
      </c>
      <c r="F23" s="39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UHI Latent Heat Precision Road Cooling &amp; Microclimate Water Dosing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ด้านการปฏิบัติการและผู้ใช้ (Operational 2.5)</t>
        </is>
      </c>
      <c r="L5" s="20" t="inlineStr">
        <is>
          <t>ด้านการปฏิบัติการและผู้ใช้ (Operational 2.5)</t>
        </is>
      </c>
      <c r="M5" s="20" t="inlineStr">
        <is>
          <t>ด้านการปฏิบัติการและผู้ใช้ (Operational 2.5)</t>
        </is>
      </c>
      <c r="N5" s="20" t="inlineStr">
        <is>
          <t>ด้านเวลาและแผนงาน (Schedule 2.6)</t>
        </is>
      </c>
      <c r="O5" s="20" t="inlineStr">
        <is>
          <t>ด้านเวลาและแผนงาน (Schedule 2.6)</t>
        </is>
      </c>
      <c r="P5" s="20" t="inlineStr">
        <is>
          <t>ด้านเวลาและแผนงาน (Schedule 2.6)</t>
        </is>
      </c>
      <c r="Q5" s="20" t="inlineStr">
        <is>
          <t>ด้านความยั่งยืน (SDGs 2.7)</t>
        </is>
      </c>
      <c r="R5" s="20" t="inlineStr">
        <is>
          <t>ด้านความยั่งยืน (SDGs 2.7)</t>
        </is>
      </c>
      <c r="S5" s="20" t="inlineStr">
        <is>
          <t>ด้านความยั่งยืน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2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2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2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2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2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2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2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2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2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2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2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2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2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2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2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2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2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2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2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2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2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2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2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2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2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2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2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2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2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2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2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2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2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2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2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2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2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2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2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2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2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2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2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2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2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2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2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2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2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5</v>
      </c>
      <c r="C9" s="25" t="n">
        <v>4</v>
      </c>
      <c r="D9" s="25" t="n">
        <v>5</v>
      </c>
      <c r="E9" s="25" t="n">
        <v>4</v>
      </c>
      <c r="F9" s="25" t="n">
        <v>5</v>
      </c>
      <c r="G9" s="25" t="n">
        <v>5</v>
      </c>
      <c r="H9" s="25" t="n">
        <v>4</v>
      </c>
      <c r="I9" s="25" t="n">
        <v>5</v>
      </c>
      <c r="J9" s="25" t="n">
        <v>4</v>
      </c>
      <c r="K9" s="25" t="n">
        <v>4</v>
      </c>
      <c r="L9" s="25" t="n">
        <v>4</v>
      </c>
      <c r="M9" s="25" t="n">
        <v>5</v>
      </c>
      <c r="N9" s="25" t="n">
        <v>4</v>
      </c>
      <c r="O9" s="25" t="n">
        <v>4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solution-5_uhi_latent_heat.md ข้อ 3.3 ระบบหัวฉีดละอองน้ำ ปั๊ม 12V และท่อ PE ประกอบขึ้นจากอุปกรณ์ COTS สำเร็จรูป อ้างอิง team-skills/fifa.md ที่เชี่ยวชาญการต่อท่อส่งกำลังและประกอบกลไก และ due.md ดูแลเคส</t>
        </is>
      </c>
      <c r="C12" s="22" t="inlineStr">
        <is>
          <t>ใช้วงจรสวิตชิ่ง MOSFET/Solid State Relay สำเร็จรูปเชื่อมต่อแบบ Screw Terminal ควบคุมปั๊มน้ำและวาล์ว อ้างอิง team-skills/due.md และ jk.md ทำงานเสถียร ไม่มีความร้อนสะสม</t>
        </is>
      </c>
      <c r="D12" s="22" t="inlineStr">
        <is>
          <t>อ้างอิง solution-5_uhi_latent_heat.md ข้อ 3.1 แบบจำลองคำนวณอัตราการระเหย (E), ฟลักซ์ความร้อน (G) และร่มเงาอาคาร (In-Shade Suppression) อ้างอิง team-skills/jk.md เชี่ยวชาญคณิตศาสตร์ฟิสิกส์ คำนวณแบบเรียลไทม์ได้ในระดับมิลลิวินาที</t>
        </is>
      </c>
      <c r="E12" s="22" t="inlineStr">
        <is>
          <t>อ้างอิง solution-5_uhi_latent_heat.md ข้อ 3.2 และ 4.1 มี Sauna Effect Guard ตัดการพ่นเมื่อลมสงบ/ความชื้นสูงเกิน 80% และมีไส้กรองน้ำ 100 เมช ป้องกันหัวพ่นหมอกอุดตัน</t>
        </is>
      </c>
      <c r="F12" s="22" t="inlineStr">
        <is>
          <t>อุปกรณ์ชุดทดสอบขนาดเล็ก (ปั๊ม 12V + หัวพ่นหมอกทองเหลือง 5 หัว + ท่อ PE + โซลินอยด์วาล์ว + เซนเซอร์วัดอุณหภูมิผิวทาง IR) มี BOM รวมประมาณ 3,200 - 3,800 บาท อยู่ในงบ 5,000 บ. อย่างสมบูรณ์</t>
        </is>
      </c>
      <c r="G12" s="22" t="inlineStr">
        <is>
          <t>อะไหล่หัวพ่นหมอกและข้อต่อท่อมีราคาหลักสิบบาท จัดซื้อสำรองได้ 100% ครบทุกชิ้น</t>
        </is>
      </c>
      <c r="H12" s="22" t="inlineStr">
        <is>
          <t>อ้างอิง solution-5_uhi_latent_heat.md ข้อ 2 การฉีดน้ำฟิล์มบางมาก (0.2-0.4 mm) ประหยัดน้ำกว่ารถฉีดน้ำของเทศบาลถึง 40-50% และประหยัดค่าน้ำมันรถบรรทุกน้ำได้อย่างมหาศาล</t>
        </is>
      </c>
      <c r="I12" s="22" t="inlineStr">
        <is>
          <t>อ้างอิง solution-5_uhi_latent_heat.md ข้อ 3.2 ควบคุมฟิล์มน้ำบาง ปลอดภัยต่อการลื่นไถลของรถยนต์และมอเตอร์ไซค์ ไม่ละเมิดกฎหมายจราจร และไม่มีกล้องส่องหน้าคน ปลอดจาก PDPA 100%</t>
        </is>
      </c>
      <c r="J12" s="22" t="inlineStr">
        <is>
          <t>โมดูล ESP32 ผ่าน กสทช. อ้างอิง team-skills/due.md และ fifa.md ในการประสานงานกับฝ่ายรักษาความสะอาดและสิ่งแวดล้อมของสำนักงานเขต</t>
        </is>
      </c>
      <c r="K12" s="22" t="inlineStr">
        <is>
          <t>อ้างอิง solution-5_uhi_latent_heat.md ข้อ 4.2 ระบบบันทึกกราฟอุณหภูมิผิวถนนและฟลักซ์ความร้อนก่อน-หลังพ่นน้ำ สร้างรายงานประสิทธิภาพดิจิทัลอัตโนมัติ</t>
        </is>
      </c>
      <c r="L12" s="22" t="inlineStr">
        <is>
          <t>อ้างอิง solution-5_uhi_latent_heat.md ข้อ 3.3 ระบบทำงานอัตโนมัติตามเซนเซอร์ตรวจวัดฟลักซ์ความร้อน เจ้าหน้าที่เพียงเติมน้ำและตรวจเช็กไส้กรองเป็นระยะ</t>
        </is>
      </c>
      <c r="M12" s="22" t="inlineStr">
        <is>
          <t>ติดตั้งหัวฉีดละอองน้ำบริเวณริมทางเท้า ปลอดภัยต่อชีวิตผู้ปฏิบัติงาน 100% ไม่ต้องลงไปในท่อระบายน้ำหรือพื้นที่เสี่ยงภัย</t>
        </is>
      </c>
      <c r="N12" s="22" t="inlineStr">
        <is>
          <t>ทีมงานแบ่งงานชัดเจน: Fifa ดูแลระบบท่อและปั๊ม, Due ดูแลวงจรสวิตชิ่ง, JK คำนวณสมการความร้อนแฝง, Kin ดูแลการบันทึกข้อมูล ทำงานคู่ขนานช่วงสอบได้สบาย</t>
        </is>
      </c>
      <c r="O12" s="22" t="inlineStr">
        <is>
          <t>สามารถส่งมอบชุดพ่นละอองต้นแบบและเซนเซอร์วัดอุณหภูมิที่ทำงานประสานกันได้จริงบนแผ่นทดสอบจำลองก่อนสัปดาห์ที่ 9</t>
        </is>
      </c>
      <c r="P12" s="22" t="inlineStr">
        <is>
          <t>หัวพ่นหมอก ปั๊ม 12V และเซนเซอร์ มีจำหน่ายในประเทศ 100% จัดส่งได้ใน 2-3 วันทำการ</t>
        </is>
      </c>
      <c r="Q12" s="22" t="inlineStr">
        <is>
          <t>สอดคล้องกับ SDG 13.1 (Climate Action) และ SDG 11.5 ช่วยลดผลกระทบจากคลื่นความร้อนในเมือง (Urban Heat Island) และปกป้องสุขภาพประชาชน</t>
        </is>
      </c>
      <c r="R12" s="22" t="inlineStr">
        <is>
          <t>อ้างอิง solution-5_uhi_latent_heat.md ข้อ 3.2 ฟิล์มน้ำบางระเหยหมด ไม่เกิดน้ำเน่าเสียขังบนถนน และหัวฉีดทองเหลืองไร้สารตะกั่ว ปลอดภัยต่อระบบนิเวศ</t>
        </is>
      </c>
      <c r="S12" s="22" t="inlineStr">
        <is>
          <t>การลดความร้อนในพื้นที่ทางเดินเท้าสาธารณะช่วยคุ้มครองกลุ่มเปราะบาง (คนเดินเท้า ผู้สูงอายุ ผู้ใช้แรงงานกลางแจ้ง) จากโรคลมแดดอย่างเสมอภาคและโปร่งใส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ใช้ชุดหัวพ่นหมอกทองเหลือง COTS สำเร็จรูปพร้อมท่อ PE มาตรฐาน</t>
        </is>
      </c>
      <c r="C13" s="22" t="inlineStr">
        <is>
          <t>ใช้ Solid State Relay Module แบบ Screw Terminal</t>
        </is>
      </c>
      <c r="D13" s="22" t="inlineStr">
        <is>
          <t>เขียนฟังก์ชันคำนวณฟลักซ์ความร้อนด้วย C++ บนไมโครคอนโทรลเลอร์</t>
        </is>
      </c>
      <c r="E13" s="22" t="inlineStr">
        <is>
          <t>ติดตั้งไส้กรองน้ำ 100 เมช และตัดการทำงานเมื่อลมแรงเกิน 3 m/s</t>
        </is>
      </c>
      <c r="F13" s="22" t="inlineStr">
        <is>
          <t>สร้างชุดทดสอบขนาดความยาว 5 เมตรจำลองบนโต๊ะทดลอง</t>
        </is>
      </c>
      <c r="G13" s="22" t="inlineStr">
        <is>
          <t>สำรองหัวพ่นหมอก 5 หัว และโซลินอยด์วาล์ว 1 ตัว</t>
        </is>
      </c>
      <c r="H13" s="22" t="inlineStr">
        <is>
          <t>คำนวณปริมาณน้ำที่ประหยัดได้เทียบกับรถบรรทุกน้ำ</t>
        </is>
      </c>
      <c r="I13" s="22" t="inlineStr">
        <is>
          <t>ติดตั้งป้ายแจ้งเตือนละอองน้ำระบายความร้อนบนทางเท้า</t>
        </is>
      </c>
      <c r="J13" s="22" t="inlineStr">
        <is>
          <t>ประสานงานขอใช้พื้นที่ทางเท้าหน้ามหาวิทยาลัยเพื่อทดสอบ</t>
        </is>
      </c>
      <c r="K13" s="22" t="inlineStr">
        <is>
          <t>สร้างรายงานสรุปอุณหภูมิผิวทางที่ลดลงเป็นรูปภาพอัตโนมัติ</t>
        </is>
      </c>
      <c r="L13" s="22" t="inlineStr">
        <is>
          <t>ออกแบบระบบล้างหัวฉีดอัตโนมัติด้วยแรงดันย้อนกลับ</t>
        </is>
      </c>
      <c r="M13" s="22" t="inlineStr">
        <is>
          <t>ทดสอบบนพื้นที่ลานกิจกรรมกลางแจ้งของมหาวิทยาลัย</t>
        </is>
      </c>
      <c r="N13" s="22" t="inlineStr">
        <is>
          <t>จำลองการระเหยของน้ำในคอมพิวเตอร์ช่วงสัปดาห์สอบ</t>
        </is>
      </c>
      <c r="O13" s="22" t="inlineStr">
        <is>
          <t>ส่งมอบผลการลดอุณหภูมิบนแผ่นทดสอบจำลองในสัปดาห์ที่ 9</t>
        </is>
      </c>
      <c r="P13" s="22" t="inlineStr">
        <is>
          <t>จัดซื้ออุปกรณ์จากร้านค้าฮาร์ดแวร์ในประเทศ</t>
        </is>
      </c>
      <c r="Q13" s="22" t="inlineStr">
        <is>
          <t>วัดค่าดัชนีความร้อน (Heat Index) ที่ลดลงในพื้นที่</t>
        </is>
      </c>
      <c r="R13" s="22" t="inlineStr">
        <is>
          <t>ใช้วัสดุหัวพ่นทองเหลืองไร้สารตะกั่ว</t>
        </is>
      </c>
      <c r="S13" s="22" t="inlineStr">
        <is>
          <t>จัดทำตารางเกณฑ์อุณหภูมิเปิดเผยแก่สาธารณะ</t>
        </is>
      </c>
      <c r="T13" s="21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5" t="inlineStr">
        <is>
          <t>ตารางสรุปคะแนนแยกตามมิติ TELOS+S (Pillar Score Breakdown)</t>
        </is>
      </c>
    </row>
    <row r="16" ht="24" customHeight="1">
      <c r="A16" s="30" t="inlineStr">
        <is>
          <t>มิติการประเมิน (TELOS+S Pillar)</t>
        </is>
      </c>
      <c r="B16" s="30" t="inlineStr">
        <is>
          <t>สัดส่วนน้ำหนัก (Weight %)</t>
        </is>
      </c>
      <c r="C16" s="30" t="inlineStr">
        <is>
          <t>คะแนนเต็มมิติ (Max Points)</t>
        </is>
      </c>
      <c r="D16" s="30" t="inlineStr">
        <is>
          <t>คะแนนที่ได้รับจริง (Earned Points)</t>
        </is>
      </c>
      <c r="E16" s="30" t="inlineStr">
        <is>
          <t>คะแนนเฉลี่ย (Score 1-5)</t>
        </is>
      </c>
      <c r="F16" s="30" t="inlineStr">
        <is>
          <t>ระดับความพร้อม (Readiness Level)</t>
        </is>
      </c>
    </row>
    <row r="17" ht="22" customHeight="1">
      <c r="A17" s="31" t="inlineStr">
        <is>
          <t>T : ด้านเทคโนโลยีและวิศวกรรม (Technical)</t>
        </is>
      </c>
      <c r="B17" s="32" t="n">
        <v>0.2</v>
      </c>
      <c r="C17" s="33" t="n">
        <v>20</v>
      </c>
      <c r="D17" s="34">
        <f>SUM(B11:E11)*20</f>
        <v/>
      </c>
      <c r="E17" s="35">
        <f>IF(C17&gt;0, (D17/C17)*5, 0)</f>
        <v/>
      </c>
      <c r="F17" s="21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1" t="inlineStr">
        <is>
          <t>E : ด้านเศรษฐศาสตร์และความคุ้มค่า (Economic)</t>
        </is>
      </c>
      <c r="B18" s="32" t="n">
        <v>0.2</v>
      </c>
      <c r="C18" s="33" t="n">
        <v>20</v>
      </c>
      <c r="D18" s="34">
        <f>SUM(F11:H11)*20</f>
        <v/>
      </c>
      <c r="E18" s="35">
        <f>IF(C18&gt;0, (D18/C18)*5, 0)</f>
        <v/>
      </c>
      <c r="F18" s="21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1" t="inlineStr">
        <is>
          <t>L : ด้านกฎหมาย ระเบียบ และภาคประชาชน (Legal &amp; Outreach)</t>
        </is>
      </c>
      <c r="B19" s="32" t="n">
        <v>0.15</v>
      </c>
      <c r="C19" s="33" t="n">
        <v>15</v>
      </c>
      <c r="D19" s="34">
        <f>SUM(I11:J11)*20</f>
        <v/>
      </c>
      <c r="E19" s="35">
        <f>IF(C19&gt;0, (D19/C19)*5, 0)</f>
        <v/>
      </c>
      <c r="F19" s="21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1" t="inlineStr">
        <is>
          <t>O : ด้านการปฏิบัติการและหน้างาน (Operational)</t>
        </is>
      </c>
      <c r="B20" s="32" t="n">
        <v>0.2</v>
      </c>
      <c r="C20" s="33" t="n">
        <v>20</v>
      </c>
      <c r="D20" s="34">
        <f>SUM(K11:M11)*20</f>
        <v/>
      </c>
      <c r="E20" s="35">
        <f>IF(C20&gt;0, (D20/C20)*5, 0)</f>
        <v/>
      </c>
      <c r="F20" s="21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1" t="inlineStr">
        <is>
          <t>S : ด้านแผนงานและเวลาส่งมอบ (Schedule)</t>
        </is>
      </c>
      <c r="B21" s="32" t="n">
        <v>0.15</v>
      </c>
      <c r="C21" s="33" t="n">
        <v>15</v>
      </c>
      <c r="D21" s="34">
        <f>SUM(N11:P11)*20</f>
        <v/>
      </c>
      <c r="E21" s="35">
        <f>IF(C21&gt;0, (D21/C21)*5, 0)</f>
        <v/>
      </c>
      <c r="F21" s="21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1" t="inlineStr">
        <is>
          <t>+S : ด้านความยั่งยืนและสิ่งแวดล้อม (Sustainability / SDG)</t>
        </is>
      </c>
      <c r="B22" s="32" t="n">
        <v>0.1</v>
      </c>
      <c r="C22" s="33" t="n">
        <v>10</v>
      </c>
      <c r="D22" s="34">
        <f>SUM(Q11:S11)*20</f>
        <v/>
      </c>
      <c r="E22" s="35">
        <f>IF(C22&gt;0, (D22/C22)*5, 0)</f>
        <v/>
      </c>
      <c r="F22" s="21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6" t="inlineStr">
        <is>
          <t>คะแนนรวมทุกมิติ (Total Feasibility Score)</t>
        </is>
      </c>
      <c r="B23" s="27">
        <f>SUM(B17:B22)</f>
        <v/>
      </c>
      <c r="C23" s="37">
        <f>SUM(C17:C22)</f>
        <v/>
      </c>
      <c r="D23" s="38">
        <f>SUM(D17:D22)</f>
        <v/>
      </c>
      <c r="E23" s="28">
        <f>IF(C23&gt;0, (D23/C23)*5, 0)</f>
        <v/>
      </c>
      <c r="F23" s="39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2026-09-23T08:18:10Z</dcterms:created>
  <dcterms:modified xsi:type="dcterms:W3CDTF">2026-09-23T08:18:10Z</dcterms:modified>
</cp:coreProperties>
</file>