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เปรียบเทียบทุก Solution" sheetId="1" state="visible" r:id="rId1"/>
    <sheet name="Solution-1" sheetId="2" state="visible" r:id="rId2"/>
    <sheet name="Solution-2" sheetId="3" state="visible" r:id="rId3"/>
    <sheet name="Solution-3"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9">
    <font>
      <name val="Calibri"/>
      <family val="2"/>
      <color theme="1"/>
      <sz val="11"/>
      <scheme val="minor"/>
    </font>
    <font>
      <name val="Segoe UI"/>
      <b val="1"/>
      <color rgb="001F497D"/>
      <sz val="13"/>
    </font>
    <font>
      <name val="Segoe UI"/>
      <i val="1"/>
      <color rgb="00595959"/>
      <sz val="9.5"/>
    </font>
    <font>
      <name val="Segoe UI"/>
      <b val="1"/>
      <color rgb="001F497D"/>
      <sz val="11"/>
    </font>
    <font>
      <name val="Segoe UI"/>
      <b val="1"/>
      <color rgb="00FFFFFF"/>
      <sz val="10"/>
    </font>
    <font>
      <name val="Segoe UI"/>
      <b val="1"/>
      <sz val="9.5"/>
    </font>
    <font>
      <name val="Segoe UI"/>
      <sz val="9"/>
    </font>
    <font>
      <name val="Segoe UI"/>
      <b val="1"/>
      <color rgb="00002060"/>
      <sz val="15"/>
    </font>
    <font>
      <name val="Segoe UI"/>
      <b val="1"/>
      <color rgb="00006100"/>
      <sz val="16"/>
    </font>
    <font>
      <name val="Segoe UI"/>
      <b val="1"/>
      <color rgb="00006100"/>
      <sz val="12"/>
    </font>
    <font>
      <name val="Segoe UI"/>
      <b val="1"/>
      <color rgb="00002060"/>
      <sz val="10"/>
    </font>
    <font>
      <name val="Segoe UI"/>
      <b val="1"/>
      <color rgb="00002060"/>
      <sz val="11"/>
    </font>
    <font>
      <name val="Segoe UI"/>
      <b val="1"/>
      <color rgb="00002060"/>
      <sz val="14"/>
    </font>
    <font>
      <name val="Segoe UI"/>
      <b val="1"/>
      <color rgb="001F497D"/>
      <sz val="14"/>
    </font>
    <font>
      <name val="Segoe UI"/>
      <i val="1"/>
      <color rgb="00595959"/>
      <sz val="10"/>
    </font>
    <font>
      <name val="Segoe UI"/>
      <b val="1"/>
      <color rgb="00FFFFFF"/>
      <sz val="11"/>
    </font>
    <font>
      <name val="Segoe UI"/>
      <b val="1"/>
      <sz val="10"/>
    </font>
    <font>
      <name val="Segoe UI"/>
      <sz val="10"/>
    </font>
    <font>
      <name val="Segoe UI"/>
      <b val="1"/>
      <color rgb="00006100"/>
      <sz val="13"/>
    </font>
  </fonts>
  <fills count="9">
    <fill>
      <patternFill/>
    </fill>
    <fill>
      <patternFill patternType="gray125"/>
    </fill>
    <fill>
      <patternFill patternType="solid">
        <fgColor rgb="00F2F4F7"/>
        <bgColor rgb="00F2F4F7"/>
      </patternFill>
    </fill>
    <fill>
      <patternFill patternType="solid">
        <fgColor rgb="001F497D"/>
        <bgColor rgb="001F497D"/>
      </patternFill>
    </fill>
    <fill>
      <patternFill patternType="solid">
        <fgColor rgb="00002060"/>
        <bgColor rgb="00002060"/>
      </patternFill>
    </fill>
    <fill>
      <patternFill patternType="solid">
        <fgColor rgb="00DCE6F1"/>
        <bgColor rgb="00DCE6F1"/>
      </patternFill>
    </fill>
    <fill>
      <patternFill patternType="solid">
        <fgColor rgb="00C6EFCE"/>
        <bgColor rgb="00C6EFCE"/>
      </patternFill>
    </fill>
    <fill>
      <patternFill patternType="solid">
        <fgColor rgb="00366092"/>
        <bgColor rgb="00366092"/>
      </patternFill>
    </fill>
    <fill>
      <patternFill patternType="solid">
        <fgColor rgb="00F9FAFC"/>
        <bgColor rgb="00F9FA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7">
    <xf numFmtId="0" fontId="0" fillId="0" borderId="0" pivotButton="0" quotePrefix="0" xfId="0"/>
    <xf numFmtId="0" fontId="13" fillId="0" borderId="0" pivotButton="0" quotePrefix="0" xfId="0"/>
    <xf numFmtId="0" fontId="14" fillId="0" borderId="0" pivotButton="0" quotePrefix="0" xfId="0"/>
    <xf numFmtId="0" fontId="15" fillId="3" borderId="1" applyAlignment="1" pivotButton="0" quotePrefix="0" xfId="0">
      <alignment horizontal="center" vertical="center" wrapText="1"/>
    </xf>
    <xf numFmtId="0" fontId="15" fillId="7" borderId="1" applyAlignment="1" pivotButton="0" quotePrefix="0" xfId="0">
      <alignment horizontal="center" vertical="center" wrapText="1"/>
    </xf>
    <xf numFmtId="0" fontId="0" fillId="8" borderId="1" applyAlignment="1" pivotButton="0" quotePrefix="0" xfId="0">
      <alignment horizontal="center" vertical="center"/>
    </xf>
    <xf numFmtId="0" fontId="16" fillId="8" borderId="1" applyAlignment="1" pivotButton="0" quotePrefix="0" xfId="0">
      <alignment horizontal="center" vertical="center"/>
    </xf>
    <xf numFmtId="0" fontId="17" fillId="8" borderId="1" applyAlignment="1" pivotButton="0" quotePrefix="0" xfId="0">
      <alignment horizontal="left" vertical="center" wrapText="1"/>
    </xf>
    <xf numFmtId="165" fontId="18" fillId="6" borderId="1" applyAlignment="1" pivotButton="0" quotePrefix="0" xfId="0">
      <alignment horizontal="center" vertical="center"/>
    </xf>
    <xf numFmtId="2" fontId="16" fillId="8" borderId="1" applyAlignment="1" pivotButton="0" quotePrefix="0" xfId="0">
      <alignment horizontal="center" vertical="center"/>
    </xf>
    <xf numFmtId="0" fontId="16" fillId="8" borderId="1" applyAlignment="1" pivotButton="0" quotePrefix="0" xfId="0">
      <alignment horizontal="center" vertical="center" wrapText="1"/>
    </xf>
    <xf numFmtId="0" fontId="0" fillId="8" borderId="1" applyAlignment="1" pivotButton="0" quotePrefix="0" xfId="0">
      <alignment horizontal="left" vertical="center" wrapText="1"/>
    </xf>
    <xf numFmtId="165" fontId="11" fillId="5" borderId="1" applyAlignment="1" pivotButton="0" quotePrefix="0" xfId="0">
      <alignment horizontal="center" vertical="center"/>
    </xf>
    <xf numFmtId="0" fontId="0" fillId="0" borderId="1" applyAlignment="1" pivotButton="0" quotePrefix="0" xfId="0">
      <alignment horizontal="center" vertical="center"/>
    </xf>
    <xf numFmtId="0" fontId="16" fillId="0" borderId="1" applyAlignment="1" pivotButton="0" quotePrefix="0" xfId="0">
      <alignment horizontal="center" vertical="center"/>
    </xf>
    <xf numFmtId="0" fontId="17" fillId="0" borderId="1" applyAlignment="1" pivotButton="0" quotePrefix="0" xfId="0">
      <alignment horizontal="left" vertical="center" wrapText="1"/>
    </xf>
    <xf numFmtId="2" fontId="16" fillId="0" borderId="1" applyAlignment="1" pivotButton="0" quotePrefix="0" xfId="0">
      <alignment horizontal="center" vertical="center"/>
    </xf>
    <xf numFmtId="0" fontId="16"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3" fillId="2" borderId="1" applyAlignment="1" pivotButton="0" quotePrefix="0" xfId="0">
      <alignment horizontal="center" vertical="center"/>
    </xf>
    <xf numFmtId="0" fontId="4" fillId="3"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wrapText="1"/>
    </xf>
    <xf numFmtId="0" fontId="4" fillId="4" borderId="1" applyAlignment="1" pivotButton="0" quotePrefix="0" xfId="0">
      <alignment horizontal="left" vertical="center" wrapText="1"/>
    </xf>
    <xf numFmtId="1" fontId="7" fillId="5" borderId="1" applyAlignment="1" pivotButton="0" quotePrefix="0" xfId="0">
      <alignment horizontal="center" vertical="center"/>
    </xf>
    <xf numFmtId="165" fontId="8" fillId="6" borderId="1" applyAlignment="1" pivotButton="0" quotePrefix="0" xfId="0">
      <alignment horizontal="center" vertical="center"/>
    </xf>
    <xf numFmtId="164" fontId="5" fillId="0" borderId="1" applyAlignment="1" pivotButton="0" quotePrefix="0" xfId="0">
      <alignment horizontal="center" vertical="center"/>
    </xf>
    <xf numFmtId="2" fontId="5" fillId="0" borderId="1" applyAlignment="1" pivotButton="0" quotePrefix="0" xfId="0">
      <alignment horizontal="center" vertical="center"/>
    </xf>
    <xf numFmtId="0" fontId="9" fillId="6"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pivotButton="0" quotePrefix="0" xfId="0"/>
    <xf numFmtId="164" fontId="6" fillId="0" borderId="1" applyAlignment="1" pivotButton="0" quotePrefix="0" xfId="0">
      <alignment horizontal="center" vertical="center"/>
    </xf>
    <xf numFmtId="165" fontId="6" fillId="0" borderId="1" applyAlignment="1" pivotButton="0" quotePrefix="0" xfId="0">
      <alignment horizontal="center" vertical="center"/>
    </xf>
    <xf numFmtId="2" fontId="10" fillId="5" borderId="1" applyAlignment="1" pivotButton="0" quotePrefix="0" xfId="0">
      <alignment horizontal="center" vertical="center"/>
    </xf>
    <xf numFmtId="2" fontId="6" fillId="0" borderId="1" applyAlignment="1" pivotButton="0" quotePrefix="0" xfId="0">
      <alignment horizontal="center" vertical="center"/>
    </xf>
    <xf numFmtId="0" fontId="5" fillId="2" borderId="1" applyAlignment="1" pivotButton="0" quotePrefix="0" xfId="0">
      <alignment horizontal="left" vertical="center"/>
    </xf>
    <xf numFmtId="165" fontId="5" fillId="0" borderId="1" applyAlignment="1" pivotButton="0" quotePrefix="0" xfId="0">
      <alignment horizontal="center" vertical="center"/>
    </xf>
    <xf numFmtId="2" fontId="11" fillId="6" borderId="1" applyAlignment="1" pivotButton="0" quotePrefix="0" xfId="0">
      <alignment horizontal="center" vertical="center"/>
    </xf>
    <xf numFmtId="0" fontId="9" fillId="6" borderId="1" applyAlignment="1" pivotButton="0" quotePrefix="0" xfId="0">
      <alignment horizontal="center" vertical="center"/>
    </xf>
    <xf numFmtId="0" fontId="4" fillId="7" borderId="1" applyAlignment="1" pivotButton="0" quotePrefix="0" xfId="0">
      <alignment horizontal="center" vertical="center" wrapText="1"/>
    </xf>
    <xf numFmtId="0" fontId="5" fillId="0" borderId="1" applyAlignment="1" pivotButton="0" quotePrefix="0" xfId="0">
      <alignment horizontal="left" vertical="center"/>
    </xf>
    <xf numFmtId="165" fontId="1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showGridLines="1" workbookViewId="0">
      <selection activeCell="A1" sqref="A1"/>
    </sheetView>
  </sheetViews>
  <sheetFormatPr baseColWidth="8" defaultRowHeight="15"/>
  <cols>
    <col width="8" customWidth="1" min="1" max="1"/>
    <col width="22" customWidth="1" min="2" max="2"/>
    <col width="34" customWidth="1" min="3" max="3"/>
    <col width="18" customWidth="1" min="4" max="4"/>
    <col width="14" customWidth="1" min="5" max="5"/>
    <col width="17" customWidth="1" min="6" max="6"/>
    <col width="14" customWidth="1" min="7" max="7"/>
    <col width="16" customWidth="1" min="8" max="8"/>
    <col width="14" customWidth="1" min="9" max="9"/>
    <col width="14" customWidth="1" min="10" max="10"/>
    <col width="28" customWidth="1" min="11" max="11"/>
    <col width="35" customWidth="1" min="12" max="12"/>
    <col width="35" customWidth="1" min="13" max="13"/>
    <col width="35" customWidth="1" min="14" max="14"/>
    <col width="22" customWidth="1" min="15" max="15"/>
    <col width="45" customWidth="1" min="16" max="16"/>
  </cols>
  <sheetData>
    <row r="1">
      <c r="A1" s="1" t="inlineStr">
        <is>
          <t>ตารางเปรียบเทียบความเป็นไปได้ของทุกข้อเสนอ (Multi-Solution Feasibility Summary)</t>
        </is>
      </c>
    </row>
    <row r="2">
      <c r="A2" s="2" t="inlineStr">
        <is>
          <t>วิเคราะห์เปรียบเทียบเชิงระบบตามเกณฑ์ TELOS+S (เต็ม 100) และเมทริกซ์ศักยภาพด้านวิศวกรรมหุ่นยนต์ (เต็ม 10 แยกอิสระ)</t>
        </is>
      </c>
    </row>
    <row r="4" ht="28" customHeight="1">
      <c r="A4" s="3" t="inlineStr">
        <is>
          <t>ลำดับ</t>
        </is>
      </c>
      <c r="B4" s="3" t="inlineStr">
        <is>
          <t>รหัสข้อเสนอ (Solution ID)</t>
        </is>
      </c>
      <c r="C4" s="3" t="inlineStr">
        <is>
          <t>ชื่อแนวทางแก้ปัญหา (Title / Concept)</t>
        </is>
      </c>
      <c r="D4" s="3" t="inlineStr">
        <is>
          <t>คะแนนรวม (เต็ม 100)</t>
        </is>
      </c>
      <c r="E4" s="3" t="inlineStr">
        <is>
          <t>T: เทคนิค (/20)</t>
        </is>
      </c>
      <c r="F4" s="3" t="inlineStr">
        <is>
          <t>E: เศรษฐศาสตร์ (/20)</t>
        </is>
      </c>
      <c r="G4" s="3" t="inlineStr">
        <is>
          <t>L: กฎหมาย (/15)</t>
        </is>
      </c>
      <c r="H4" s="3" t="inlineStr">
        <is>
          <t>O: ปฏิบัติการ (/20)</t>
        </is>
      </c>
      <c r="I4" s="3" t="inlineStr">
        <is>
          <t>S: แผนงาน (/15)</t>
        </is>
      </c>
      <c r="J4" s="3" t="inlineStr">
        <is>
          <t>+S: ยั่งยืน (/10)</t>
        </is>
      </c>
      <c r="K4" s="3" t="inlineStr">
        <is>
          <t>ผลการประเมิน (Verdict)</t>
        </is>
      </c>
      <c r="L4" s="3" t="inlineStr">
        <is>
          <t>จุดแข็งสำคัญ (Key Strengths)</t>
        </is>
      </c>
      <c r="M4" s="3" t="inlineStr">
        <is>
          <t>จุดติดขัดวิกฤต (Critical Bottlenecks)</t>
        </is>
      </c>
      <c r="N4" s="3" t="inlineStr">
        <is>
          <t>คำแนะนำเชิงระบบ (Strategic Advice)</t>
        </is>
      </c>
      <c r="O4" s="4" t="inlineStr">
        <is>
          <t>Robotics Potential (/10)</t>
        </is>
      </c>
      <c r="P4" s="4" t="inlineStr">
        <is>
          <t>เหตุผลความเข้ากันได้ด้านหุ่นยนต์ (Robotics Engineering Rationale)</t>
        </is>
      </c>
    </row>
    <row r="5" ht="55" customHeight="1">
      <c r="A5" s="5" t="n">
        <v>1</v>
      </c>
      <c r="B5" s="6" t="inlineStr">
        <is>
          <t>Solution-1</t>
        </is>
      </c>
      <c r="C5" s="7" t="inlineStr">
        <is>
          <t>CCTV on the road (Visual water flow) + ultrasonic to measure the flow rate of the canal + alarm</t>
        </is>
      </c>
      <c r="D5" s="8">
        <f>'Solution-1'!T9</f>
        <v/>
      </c>
      <c r="E5" s="9">
        <f>'Solution-1'!D17</f>
        <v/>
      </c>
      <c r="F5" s="9">
        <f>'Solution-1'!D18</f>
        <v/>
      </c>
      <c r="G5" s="9">
        <f>'Solution-1'!D19</f>
        <v/>
      </c>
      <c r="H5" s="9">
        <f>'Solution-1'!D20</f>
        <v/>
      </c>
      <c r="I5" s="9">
        <f>'Solution-1'!D21</f>
        <v/>
      </c>
      <c r="J5" s="9">
        <f>'Solution-1'!D22</f>
        <v/>
      </c>
      <c r="K5" s="10">
        <f>'Solution-1'!T12</f>
        <v/>
      </c>
      <c r="L5" s="11" t="inlineStr">
        <is>
          <t>ใช้ประโยชน์จากเซนเซอร์อัลตราโซนิกคลองเดิมและกล้อง CCTV จราจรที่มีอยู่แล้ว ช่วยวิเคราะห์แยกว่าน้ำท่วมเกิดจากฝนตกหนักหรือท่อตันได้โดยตรง</t>
        </is>
      </c>
      <c r="M5" s="11" t="inlineStr">
        <is>
          <t>อัลกอริทึม Optical Flow/PTV บนกล้อง CCTV มีข้อจำกัดสูงเรื่องแสงกลางแจ้ง แสงสะท้อนผิวน้ำ และใช้ไม่ได้ในเวลากลางคืนหรือจุดที่กล้องส่องไม่ถึง</t>
        </is>
      </c>
      <c r="N5" s="11" t="inlineStr">
        <is>
          <t>ติดตั้งไฟส่องสว่างอินฟราเรดเฉพาะจุด หรือผสานข้อมูลเรดาร์ฝนเพื่อชดเชยช่วงเวลาที่ CCTV ไม่สามารถประเมิน Optical Flow ได้</t>
        </is>
      </c>
      <c r="O5" s="12" t="n">
        <v>4</v>
      </c>
      <c r="P5" s="7" t="inlineStr">
        <is>
          <t>Solution 1 functions as a municipal IoT telemetry and computer vision monitoring system rather than a robotic system. The operational loop breaks at actuation because output is strictly restricted to alerting human operators. It heavily neglects the core mechanical design, power transmission, and physical control capabilities of the team.</t>
        </is>
      </c>
    </row>
    <row r="6" ht="55" customHeight="1">
      <c r="A6" s="13" t="n">
        <v>2</v>
      </c>
      <c r="B6" s="14" t="inlineStr">
        <is>
          <t>Solution-2</t>
        </is>
      </c>
      <c r="C6" s="15" t="inlineStr">
        <is>
          <t>Sewer Inspection by transmitter and receiver. Mapping Sewer profile</t>
        </is>
      </c>
      <c r="D6" s="8">
        <f>'Solution-2'!T9</f>
        <v/>
      </c>
      <c r="E6" s="16">
        <f>'Solution-2'!D17</f>
        <v/>
      </c>
      <c r="F6" s="16">
        <f>'Solution-2'!D18</f>
        <v/>
      </c>
      <c r="G6" s="16">
        <f>'Solution-2'!D19</f>
        <v/>
      </c>
      <c r="H6" s="16">
        <f>'Solution-2'!D20</f>
        <v/>
      </c>
      <c r="I6" s="16">
        <f>'Solution-2'!D21</f>
        <v/>
      </c>
      <c r="J6" s="16">
        <f>'Solution-2'!D22</f>
        <v/>
      </c>
      <c r="K6" s="17">
        <f>'Solution-2'!T12</f>
        <v/>
      </c>
      <c r="L6" s="18" t="inlineStr">
        <is>
          <t>ตรวจคัดกรองความสะอาดท่อระบายน้ำด้วยคลื่นเสียงสะท้อน (Acoustic Reflectometry) ได้รวดเร็ว สร้างภาพตัดขวาง 2D ช่วยจัดคิวลอกท่อได้ตรงจุด</t>
        </is>
      </c>
      <c r="M6" s="18" t="inlineStr">
        <is>
          <t>จุดอ่อนวิกฤตระบุชัดเจนว่า 'Can’t use in water in pipe situation' ซึ่งท่อระบายน้ำ กทม. มีน้ำขังเกือบตลอดเวลา และการสะท้อนของเสียงมีความซับซ้อนสูง</t>
        </is>
      </c>
      <c r="N6" s="18" t="inlineStr">
        <is>
          <t>จำกัดการใช้งานเฉพาะช่วงฤดูแล้งที่น้ำในท่อลดระดับลงต่ำสุด และใช้ร่วมกับก้านวัดระดับตะกอนแบบกายภาพเพื่อยืนยันผล</t>
        </is>
      </c>
      <c r="O6" s="12" t="n">
        <v>3.5</v>
      </c>
      <c r="P6" s="15" t="inlineStr">
        <is>
          <t>Solution 2 is an acoustic Non-Destructive Testing (NDT) diagnostic instrument rather than an autonomous robotic system. While technically grounded in sensor wave physics, it operates in an open loop terminating at human-interpreted cross-section imagery. It lacks any automated locomotion or physical actuation, underutilizing mechanical and control engineering competencies.</t>
        </is>
      </c>
    </row>
    <row r="7" ht="55" customHeight="1">
      <c r="A7" s="5" t="n">
        <v>3</v>
      </c>
      <c r="B7" s="6" t="inlineStr">
        <is>
          <t>Solution-3</t>
        </is>
      </c>
      <c r="C7" s="7" t="inlineStr">
        <is>
          <t>ระบบปล่อยน้ำแบบ Adaptive เพื่อระบายความร้อนบนทางเดินเท้าและตรอกซอยอย่างมีประสิทธิภาพสูงสุด</t>
        </is>
      </c>
      <c r="D7" s="8">
        <f>'Solution-3'!T9</f>
        <v/>
      </c>
      <c r="E7" s="9">
        <f>'Solution-3'!D17</f>
        <v/>
      </c>
      <c r="F7" s="9">
        <f>'Solution-3'!D18</f>
        <v/>
      </c>
      <c r="G7" s="9">
        <f>'Solution-3'!D19</f>
        <v/>
      </c>
      <c r="H7" s="9">
        <f>'Solution-3'!D20</f>
        <v/>
      </c>
      <c r="I7" s="9">
        <f>'Solution-3'!D21</f>
        <v/>
      </c>
      <c r="J7" s="9">
        <f>'Solution-3'!D22</f>
        <v/>
      </c>
      <c r="K7" s="10">
        <f>'Solution-3'!T12</f>
        <v/>
      </c>
      <c r="L7" s="11" t="inlineStr">
        <is>
          <t>ใช้เซนเซอร์ IR ตรวจวัดอุณหภูมิผิวทางเดินเท้าแบบเรียลไทม์ และเปิดพ่นละอองน้ำเฉพาะเมื่อเกิน 45 °C ในช่วง 11:00–14:00 น. ไม่สูญเสียน้ำไปกับ Runoff</t>
        </is>
      </c>
      <c r="M7" s="11" t="inlineStr">
        <is>
          <t>จุดอ่อนระบุชัดว่า 'ในซอยไม่มีแหล่งน้ำสะอาด ต้องต่อท่อน้ำจากอาคาร' เสี่ยงต่อข้อพิพาทสิทธิ์การใช้น้ำ และต้องใช้พื้นที่มากแต่ให้ผลลดความร้อนเฉพาะจุด</t>
        </is>
      </c>
      <c r="N7" s="11" t="inlineStr">
        <is>
          <t>เปลี่ยนกลุ่มเป้าหมายจากการติดตั้งตามตรอกซอยส่วนบุคคล มาเป็นการติดตั้งในสวนสาธารณะ ทางเดินลอยฟ้า (Skywalk) หรือลานกิจกรรมของรัฐ</t>
        </is>
      </c>
      <c r="O7" s="12" t="n">
        <v>7.3</v>
      </c>
      <c r="P7" s="7" t="inlineStr">
        <is>
          <t>Solution 3 successfully completes the closed-loop robotic triad (Sense -&gt; Think -&gt; Act -&gt; Feedback) by measuring environmental thermal state, computing dynamic cooling requirements, and physically actuating fluid valves to alter surface temperature. It provides 100% utilization of the team's multidisciplinary skills (CAD/FEA mechanics, custom PCB electronics, feedback control firmware, and telemetry analytics). It scores 7.3 rather than 10.0 due to being a stationary cyber-physical mechatronic system lacking multi-DOF kinematics or mobile locomotion.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s>
  <sheetData>
    <row r="1">
      <c r="A1" s="19" t="inlineStr">
        <is>
          <t>เมทริกซ์ประเมินความเป็นไปได้เชิงระบบ TELOS+S: CCTV on the road (Visual water flow) + ultrasonic to measure the flow rate of the canal + alarm</t>
        </is>
      </c>
    </row>
    <row r="2">
      <c r="A2" s="20" t="inlineStr">
        <is>
          <t>ระบบคะแนนจำนวนเต็มเด็ดขาด: 1, 2, 3, 4, 5 เท่านั้น (ไม่มีจุดทศนิยม / ไม่มี 0.5) | โครงสร้างแบบ Transposed แนวนอน</t>
        </is>
      </c>
    </row>
    <row r="4" ht="24" customHeight="1">
      <c r="A4" s="21" t="inlineStr">
        <is>
          <t>รหัสคำถาม (Question Code)</t>
        </is>
      </c>
      <c r="B4" s="22" t="inlineStr">
        <is>
          <t>T-01</t>
        </is>
      </c>
      <c r="C4" s="22" t="inlineStr">
        <is>
          <t>T-02</t>
        </is>
      </c>
      <c r="D4" s="22" t="inlineStr">
        <is>
          <t>T-03</t>
        </is>
      </c>
      <c r="E4" s="22" t="inlineStr">
        <is>
          <t>T-04</t>
        </is>
      </c>
      <c r="F4" s="22" t="inlineStr">
        <is>
          <t>T-05</t>
        </is>
      </c>
      <c r="G4" s="22" t="inlineStr">
        <is>
          <t>E-01</t>
        </is>
      </c>
      <c r="H4" s="22" t="inlineStr">
        <is>
          <t>E-02</t>
        </is>
      </c>
      <c r="I4" s="22" t="inlineStr">
        <is>
          <t>E-03</t>
        </is>
      </c>
      <c r="J4" s="22" t="inlineStr">
        <is>
          <t>L-01</t>
        </is>
      </c>
      <c r="K4" s="22" t="inlineStr">
        <is>
          <t>L-02</t>
        </is>
      </c>
      <c r="L4" s="22" t="inlineStr">
        <is>
          <t>O-01</t>
        </is>
      </c>
      <c r="M4" s="22" t="inlineStr">
        <is>
          <t>O-02</t>
        </is>
      </c>
      <c r="N4" s="22" t="inlineStr">
        <is>
          <t>O-03</t>
        </is>
      </c>
      <c r="O4" s="22" t="inlineStr">
        <is>
          <t>O-04</t>
        </is>
      </c>
      <c r="P4" s="22" t="inlineStr">
        <is>
          <t>S-01</t>
        </is>
      </c>
      <c r="Q4" s="22" t="inlineStr">
        <is>
          <t>SDG-01</t>
        </is>
      </c>
      <c r="R4" s="22" t="inlineStr">
        <is>
          <t>SDG-02</t>
        </is>
      </c>
      <c r="S4" s="22" t="inlineStr">
        <is>
          <t>SDG-03</t>
        </is>
      </c>
      <c r="T4" s="22" t="inlineStr">
        <is>
          <t>สรุปภาพรวม (SUMMARY)</t>
        </is>
      </c>
    </row>
    <row r="5" ht="24" customHeight="1">
      <c r="A5" s="23" t="inlineStr">
        <is>
          <t>มิติการประเมิน (TELOS+S Pillar)</t>
        </is>
      </c>
      <c r="B5" s="24" t="inlineStr">
        <is>
          <t>ด้านเทคโนโลยีและวิศวกรรม (Technical Feasibility)</t>
        </is>
      </c>
      <c r="C5" s="24" t="inlineStr">
        <is>
          <t>ด้านเทคโนโลยีและวิศวกรรม (Technical Feasibility)</t>
        </is>
      </c>
      <c r="D5" s="24" t="inlineStr">
        <is>
          <t>ด้านเทคโนโลยีและวิศวกรรม (Technical Feasibility)</t>
        </is>
      </c>
      <c r="E5" s="24" t="inlineStr">
        <is>
          <t>ด้านเทคโนโลยีและวิศวกรรม (Technical Feasibility)</t>
        </is>
      </c>
      <c r="F5" s="24" t="inlineStr">
        <is>
          <t>ด้านเทคโนโลยีและวิศวกรรม (Technical Feasibility)</t>
        </is>
      </c>
      <c r="G5" s="24" t="inlineStr">
        <is>
          <t>ด้านเศรษฐศาสตร์ (Economic Feasibility)</t>
        </is>
      </c>
      <c r="H5" s="24" t="inlineStr">
        <is>
          <t>ด้านเศรษฐศาสตร์ (Economic Feasibility)</t>
        </is>
      </c>
      <c r="I5" s="24" t="inlineStr">
        <is>
          <t>ด้านเศรษฐศาสตร์ (Economic Feasibility)</t>
        </is>
      </c>
      <c r="J5" s="24" t="inlineStr">
        <is>
          <t>ด้านกฎหมายและสถาบัน (Legal &amp; Institutional Feasibility)</t>
        </is>
      </c>
      <c r="K5" s="24" t="inlineStr">
        <is>
          <t>ด้านกฎหมายและสถาบัน (Legal &amp; Institutional Feasibility)</t>
        </is>
      </c>
      <c r="L5" s="24" t="inlineStr">
        <is>
          <t>ด้านการปฏิบัติการ (Operational Feasibility)</t>
        </is>
      </c>
      <c r="M5" s="24" t="inlineStr">
        <is>
          <t>ด้านการปฏิบัติการ (Operational Feasibility)</t>
        </is>
      </c>
      <c r="N5" s="24" t="inlineStr">
        <is>
          <t>ด้านการปฏิบัติการ (Operational Feasibility)</t>
        </is>
      </c>
      <c r="O5" s="24" t="inlineStr">
        <is>
          <t>ด้านการปฏิบัติการ (Operational Feasibility)</t>
        </is>
      </c>
      <c r="P5" s="24" t="inlineStr">
        <is>
          <t>ด้านแผนงานและเวลา (Schedule Feasibility)</t>
        </is>
      </c>
      <c r="Q5" s="24" t="inlineStr">
        <is>
          <t>+S ด้านความยั่งยืน (Sustainable Feasibility)</t>
        </is>
      </c>
      <c r="R5" s="24" t="inlineStr">
        <is>
          <t>+S ด้านความยั่งยืน (Sustainable Feasibility)</t>
        </is>
      </c>
      <c r="S5" s="24" t="inlineStr">
        <is>
          <t>+S ด้านความยั่งยืน (Sustainable Feasibility)</t>
        </is>
      </c>
      <c r="T5" s="25" t="inlineStr">
        <is>
          <t>ผลรวมทุกมิติ (All Pillars)</t>
        </is>
      </c>
    </row>
    <row r="6" ht="80" customHeight="1">
      <c r="A6" s="23" t="inlineStr">
        <is>
          <t>คำถามทดสอบความเสี่ยงจริง (Stress-Test Question)</t>
        </is>
      </c>
      <c r="B6" s="26" t="inlineStr">
        <is>
          <t>Implementation (Build vs. Buy Burden): ภาระการสร้างเองกับการเลือกซื้ออุปกรณ์สำเร็จรูป (COTS)</t>
        </is>
      </c>
      <c r="C6" s="26" t="inlineStr">
        <is>
          <t>Access (Tech Stack &amp; Ecosystem Permissions): สิทธิ์และการเข้าถึงสแตกเทคโนโลยีและระบบนิเวศน์</t>
        </is>
      </c>
      <c r="D6" s="26" t="inlineStr">
        <is>
          <t>Base Performance (Technology Readiness Level - TRL): ระดับความพร้อมและความเสถียรของเทคโนโลยีฐาน</t>
        </is>
      </c>
      <c r="E6" s="26" t="inlineStr">
        <is>
          <t>Team Compatibility (Manpower &amp; Skill Redundancy): ความเข้ากันได้ของทักษะทีมและความพร้อมทดแทน (SPOF)</t>
        </is>
      </c>
      <c r="F6" s="26" t="inlineStr">
        <is>
          <t>Learning Curve ("How much do we have to learn?"): เส้นทางการเรียนรู้และระยะเวลาปรับตัวของทีม</t>
        </is>
      </c>
      <c r="G6" s="26" t="inlineStr">
        <is>
          <t>ROI (Payback Period / Value Horizon): ระยะเวลาคืนทุนและกรอบความคุ้มค่าทางการเงิน</t>
        </is>
      </c>
      <c r="H6" s="26" t="inlineStr">
        <is>
          <t>Dependency of Component (Vendor Lock-in &amp; Reliability): การพึ่งพาผู้ขายภายนอกและความเสี่ยงการผูกขาด</t>
        </is>
      </c>
      <c r="I6" s="26" t="inlineStr">
        <is>
          <t>Scrap Margin (Safety Allowance for Blown ICs &amp; Iterations): สัดส่วนงบสำรองสำหรับความเสียหายและการทดลองซ้ำ</t>
        </is>
      </c>
      <c r="J6" s="26" t="inlineStr">
        <is>
          <t>Felony and Civil Law (Regulatory, Traffic &amp; Public Safety Compliance): ความสอดคล้องตามกฎหมายอาญา แพ่ง ระเบียบจราจร และความปลอดภัยสาธารณะ</t>
        </is>
      </c>
      <c r="K6" s="26" t="inlineStr">
        <is>
          <t>IP and Licensing: สิทธิ์ในทรัพย์สินทางปัญญาและการอนุญาตใช้งานซอฟต์แวร์/ฮาร์ดแวร์</t>
        </is>
      </c>
      <c r="L6" s="26" t="inlineStr">
        <is>
          <t>User — Failure Impact ("If it fails, how severe is the effect?"): ความรุนแรงของผลกระทบเมื่อระบบขัดข้องต่อผู้ใช้และสาธารณะ</t>
        </is>
      </c>
      <c r="M6" s="26" t="inlineStr">
        <is>
          <t>User — Behavior &amp; Problem-Solution Fit: ความสอดคล้องกับพฤติกรรมผู้ใช้และกระบวนการทำงานเดิม</t>
        </is>
      </c>
      <c r="N6" s="26" t="inlineStr">
        <is>
          <t>Developer — Contribution Dependency (Administrative &amp; Lab Gatekeeping): การพึ่งพาการอนุมัติและอุปสรรคการเข้าถึงห้องปฏิบัติการ/เครื่องมือ</t>
        </is>
      </c>
      <c r="O6" s="26" t="inlineStr">
        <is>
          <t>Developer — Complexity (Step Count &amp; Pipeline Friction): ความซับซ้อนของขั้นตอนการประกอบ ติดตั้ง และบิวด์ระบบ</t>
        </is>
      </c>
      <c r="P6" s="26" t="inlineStr">
        <is>
          <t>Production Time (Engineering Design Maturity by 5 Business Weeks): วุฒิภาวะของแบบทางวิศวกรรมและความพร้อมผลิตใน 5 สัปดาห์ทำการ</t>
        </is>
      </c>
      <c r="Q6" s="26" t="inlineStr">
        <is>
          <t>SDG-01: Public Impact vs. Academic Greenwashing (SDG 11.5 / 13.1): ผลกระทบเชิงประจักษ์ต่อสาธารณะกับการฟอกเขียวทางวิชาการ</t>
        </is>
      </c>
      <c r="R6" s="26" t="inlineStr">
        <is>
          <t>SDG-02: Environmental Footprint &amp; E-Waste ("Do No Harm" — SDG 6.3 / 12.4): ภาระสิ่งแวดล้อมและขยะอิเล็กทรอนิกส์ตามหลักไม่สร้างผลเสียซ้ำซ้อน</t>
        </is>
      </c>
      <c r="S6" s="26" t="inlineStr">
        <is>
          <t>SDG-03: Algorithmic Equity &amp; Decision Transparency (SDG 10.2 / 16.6): ความเป็นธรรมของอัลกอริทึมและความโปร่งใสในการตัดสินใจ</t>
        </is>
      </c>
      <c r="T6" s="27" t="inlineStr">
        <is>
          <t>ประเมินคำถามทั้งสิ้น 18 ข้อ</t>
        </is>
      </c>
    </row>
    <row r="7" ht="95" customHeight="1">
      <c r="A7" s="23" t="inlineStr">
        <is>
          <t>เหตุผลในการถาม &amp; โหมดความล้มเหลวที่เฝ้าระวัง (Rationale)</t>
        </is>
      </c>
      <c r="B7" s="26" t="inlineStr">
        <is>
          <t>ประเมินภาระงานวิจัยและพัฒนาชิ้นส่วนฮาร์ดแวร์/เฟิร์มแวร์ว่าต้องสร้างขึ้นใหม่ตั้งแต่ศูนย์หรือใช้อุปกรณ์สำเร็จรูปมาตรฐาน เพื่อควบคุมความเสี่ยงด้านความผิดพลาดและระยะเวลาพัฒนา</t>
        </is>
      </c>
      <c r="C7" s="26" t="inlineStr">
        <is>
          <t>ประเมินข้อจำกัดในการเข้าถึงซอร์สโค้ด สิทธิ์การพัฒนา สิทธิ์การเชื่อมต่อระบบคลาวด์ และสิทธิ์ผู้ดูแลระบบ เพื่อป้องกันปัญหาติดล็อกระบบปิด (Walled Garden)</t>
        </is>
      </c>
      <c r="D7" s="26" t="inlineStr">
        <is>
          <t>ประเมินระดับความพร้อมของเทคโนโลยีต้นแบบ (TRL) ว่าอยู่ในระดับแล็บหรือผ่านการทดสอบภาคสนามจริงมาแล้ว เพื่อลดความเสี่ยงจากการนำเทคโนโลยีที่ยังไม่เสถียรมาใช้งาน</t>
        </is>
      </c>
      <c r="E7" s="26" t="inlineStr">
        <is>
          <t>ประเมินการกระจายทักษะทางเทคนิคและความเสี่ยงจากการมีผู้เชี่ยวชาญเพียงคนเดียว (Single Point of Failure: SPOF) หากสมาชิกหลักไม่อยู่ โครงการจะหยุดชะงักหรือไม่</t>
        </is>
      </c>
      <c r="F7" s="26" t="inlineStr">
        <is>
          <t>ประเมินช่องว่างทางความรู้และทักษะที่ทีมต้องเรียนรู้เพิ่มขึ้นเมื่อเทียบกับประสบการณ์เดิม ป้องกันปัญหางานสะดุดจากการติดขัดช่วงเริ่มต้นการเรียนรู้เทคโนโลยีใหม่</t>
        </is>
      </c>
      <c r="G7" s="26" t="inlineStr">
        <is>
          <t>ประเมินระยะเวลาในการคืนทุนและมูลค่าทางเศรษฐกิจที่ได้กลับคืนจากการลดความสูญเสียเมื่อเทียบกับเงินลงทุนเริ่มต้น (CapEx) และค่าใช้จ่ายดำเนินงาน (OpEx)</t>
        </is>
      </c>
      <c r="H7" s="26" t="inlineStr">
        <is>
          <t>ประเมินความเสี่ยงจากการพึ่งพาระบบคลาวด์เฉพาะ อะไหล่ผูกขาด หรือค่าธรรมเนียมรายปีที่ส่งผลกระทบต่องบประมาณระยะยาวและความยืดหยั่งของระบบ</t>
        </is>
      </c>
      <c r="I7" s="26" t="inlineStr">
        <is>
          <t>ประเมินความเพียงพอของงบประมาณสำรองสำหรับชิ้นส่วนที่อาจเสียหายระหว่างการทดสอบ (Burn-in/Debugging) ป้องกันโครงการหยุดชะงักเมื่ออุปกรณ์เสียหาย</t>
        </is>
      </c>
      <c r="J7" s="26" t="inlineStr">
        <is>
          <t>ประเมินความเสี่ยงต่อการละเมิดกฎหมาย พ.ร.บ. คุ้มครองข้อมูลส่วนบุคคล (PDPA) การรบกวนสัญญาณคลื่นวิทยุ (กสทช.) หรือการติดตั้งที่กีดขวางทางสัญจรและเสี่ยงต่ออันตรายสาธารณะ</t>
        </is>
      </c>
      <c r="K7" s="26" t="inlineStr">
        <is>
          <t>ประเมินข้อกำหนดด้านสัญญาอนุญาตสิทธิ์ (Software/Hardware Licenses) และความเสี่ยงต่อการละเมิดสิทธิบัตรหรือข้อจำกัดแบบไวรัสลิขสิทธิ์ (Viral Copyleft)</t>
        </is>
      </c>
      <c r="L7" s="26" t="inlineStr">
        <is>
          <t>ประเมินความรุนแรงของผลกระทบกรณีระบบล้มเหลว (System Failure) ต่อชีวิต ทรัพย์สิน และการปฏิบัติการฉุกเฉินของเจ้าหน้าที่ เพื่อป้องกันโหมดความล้มเหลวขั้นวิกฤต</t>
        </is>
      </c>
      <c r="M7" s="26" t="inlineStr">
        <is>
          <t>ประเมินแรงต้านทานในการเปลี่ยนแปลงขั้นตอนการทำงานของผู้ปฏิบัติงาน (Operational Resistance) และภาระงานเอกสารหรือการฝึกอบรมที่เพิ่มขึ้น</t>
        </is>
      </c>
      <c r="N7" s="26" t="inlineStr">
        <is>
          <t>ประเมินขั้นตอนความยุ่งยากทางธุรการ การขออนุญาตเข้าใช้สถานที่ และการเข้าถึงอุปกรณ์เครื่องมือในการพัฒนาว่ามีความคล่องตัวหรือถูกปิดกั้น</t>
        </is>
      </c>
      <c r="O7" s="26" t="inlineStr">
        <is>
          <t>ประเมินจำนวนขั้นตอนและความเปราะบางของกระบวนการบิวด์ ติดตั้ง และทดสอบระบบ เพื่อลดโอกาสเกิดข้อผิดพลาดจากมนุษย์ (Human Error)</t>
        </is>
      </c>
      <c r="P7" s="26" t="inlineStr">
        <is>
          <t>ประเมินความสมบูรณ์ของแบบวิศวกรรม (CAD, Schematics, PCB Gerber, Firmware) เทียบกับกรอบเวลา 5 สัปดาห์ทำการก่อนช่วงสอบและการส่งมอบชิ้นงาน</t>
        </is>
      </c>
      <c r="Q7" s="26" t="inlineStr">
        <is>
          <t>ประเมินว่าโครงการสร้างผลกระทบที่วัดผลได้จริงในการลดความสูญเสียจากภัยพิบัติหรือฟื้นฟูเมือง หรือเป็นเพียงข้ออ้างด้านความยั่งยืนเชิงสัญลักษณ์</t>
        </is>
      </c>
      <c r="R7" s="26" t="inlineStr">
        <is>
          <t>ประเมินวงจรชีวิตของอุปกรณ์ การปลดปล่อยสารพิษ ปัญหาขยะอิเล็กทรอนิกส์ (E-Waste) และการหลุดรอดของสารเคมีลงสู่แหล่งน้ำสาธารณะ</t>
        </is>
      </c>
      <c r="S7" s="26" t="inlineStr">
        <is>
          <t>ประเมินความโปร่งใสของตรรกะการตัดสินใจและเกณฑ์การตัดคัดกรองเคส เพื่อป้องกันการเลือกปฏิบัติหรือการเพิกเฉยต่อพื้นที่ชุมชนเปราะบาง</t>
        </is>
      </c>
      <c r="T7" s="27" t="inlineStr">
        <is>
          <t>สังเคราะห์จาก AI Agents Group 2</t>
        </is>
      </c>
    </row>
    <row r="8" ht="150" customHeight="1">
      <c r="A8" s="23" t="inlineStr">
        <is>
          <t>เกณฑ์การให้คะแนน (Scoring Rubric Definition: ระดับ 1, 2, 3, 4, 5 ครบทุกระดับ)</t>
        </is>
      </c>
      <c r="B8" s="26" t="inlineStr">
        <is>
          <t>1: Build from Scratch (100% custom R&amp;D required; custom mechanism, bare-metal schematics, custom algorithm derivation; no reference designs or libraries exist)
2: Heavy Customization (Core components exist, but requires extensive custom adaptation, structural machining, and custom wrapper code)
3: Hybrid / COTS Integration (Standard off-the-shelf breakout boards and modules assembled with custom brackets, intermediate wiring, and glue code)
4: Modular COTS Assembly (Pre-engineered building blocks with standard mounting and standard communication buses e.g. DIN-rail modules, I2C/CAN shields; minimal custom fabrication)
5: Buy and Use / COTS (Buy and deploy directly out of the box / Plug-and-Play; zero mechanical or electrical fabrication required)</t>
        </is>
      </c>
      <c r="C8" s="26" t="inlineStr">
        <is>
          <t>1: Strictly Restricted (Proprietary stack under NDA, locked enterprise firewalls, or unavailable developer licenses)
2: Limited Access (Closed binary blobs or third-party proprietary firmware; black-box operation with zero telemetry or source code)
3: Request-Based Access (Educational/evaluation tier with strict rate limits or quotas; requires formal request or approval delays)
4: Open Developer Access (Free public SDKs, full documentation, and open developer APIs, but core low-level architecture cannot be modified)
5: Full-Stack Access (Fully open source with permissive license and open hardware; team has root/admin rights to inspect, modify, and deploy as both user and developer)</t>
        </is>
      </c>
      <c r="D8" s="26" t="inlineStr">
        <is>
          <t>1: Proof of Concept (TRL 2–3: Bench breadboard, simulation, or pure mathematical model; verified only in controlled laboratory conditions)
2: Functional Breadboard (TRL 4: Integrated components working together in a lab; fragile wiring, uncalibrated for harsh field environments)
3: Alpha Prototype (TRL 5–6: Enclosed prototype tested in a relevant simulated environment; operational, but requires human supervision)
4: Beta / Field-Proven (TRL 7: Pre-production hardware operating reliably in the actual operating environment under real-world stress)
5: Commercial Product (TRL 8–9: Fully certified, production-grade commercial product with documented MTBF and mass field reliability)</t>
        </is>
      </c>
      <c r="E8" s="26" t="inlineStr">
        <is>
          <t>1: Single Point of Failure / SPOF (Only 1 person has the required skill; if they are unavailable, subsystem development halts 100%)
2: Solo Lead with Minimal Backup (1 core developer; 1 teammate understands basic concepts but cannot debug code or fix hardware alone)
3: Primary + Secondary Pair (1 primary lead and 1 competent secondary backup who can maintain, troubleshoot, and push updates)
4: Broad Competence (3+ teammates can actively design, assemble, and debug the subsystem with minimal ramp-up time)
5: Full Team Redundancy (All team members are fully proficient; tasks can be swapped across anyone with zero friction or velocity loss)</t>
        </is>
      </c>
      <c r="F8" s="26" t="inlineStr">
        <is>
          <t>1: Total Reset (Every step requires learning completely unfamiliar tools, languages, and hardware from scratch with zero prior baseline)
2: Steep Learning Curve (High theoretical understanding, but zero hands-on experience; debugging basic syntax or wiring stalls progress)
3: Moderate Ramp-up (Proven adjacent mastery e.g. Arduino/ESP32 moving to STM32, or SolidWorks to Fusion 360; manageable 1-week curve)
4: Minor Adaptation (Familiar tech stack; only requires learning a specific minor library, sensor API, or configuration syntax)
5: Zero Learning Curve (Team can deploy verified past code, existing toolchains, and established muscle memory directly; no new learning required)</t>
        </is>
      </c>
      <c r="G8" s="26" t="inlineStr">
        <is>
          <t>1: Long Payback (&gt;= 10 Years: High initial CapEx with minimal recurring savings; economically non-viable for rapid deployment)
2: Slow Return (6–9 Years: Substantial capital investment with a long break-even horizon; requires long-term subsidization)
3: Moderate Return (3–5 Years: Reasonable public infrastructure payback; offsets costs across multi-year operational cycles)
4: Fast Return (2–3 Years: Strong operational cost reduction in fuel, labor, scrap; breaks even within normal equipment lifecycle)
5: Immediate Payback (&lt;= 1–2 Years: Rapid break-even; eliminates major recurring operational losses within the first operating season)</t>
        </is>
      </c>
      <c r="H8" s="26" t="inlineStr">
        <is>
          <t>1: Total Vendor Lock-in (100% dependent on proprietary cloud backend, encrypted telemetry, and single-source proprietary connectors)
2: High Dependency (Hardware requires vendor-licensed diagnostic tools or annual subscription fees to maintain operation)
3: Semi-Independent (Core hardware relies on proprietary firmware, but allows open API export and standard electrical interfaces)
4: High Autonomy (Uses standard open communication protocols e.g. Modbus, MQTT, CAN; parts can be serviced using generic tools)
5: Complete Independence (100% open architecture; hardware is interchangeable with generic substitutes; self-serviceable by any engineer)</t>
        </is>
      </c>
      <c r="I8" s="26" t="inlineStr">
        <is>
          <t>1: Zero Buffer (0%: Exactly 1x BOM purchased; any fried chip, cracked bracket, or wiring mistake halts the project)
2: Fragile Buffer (20–30%: Spares only for passive components; no backup microcontrollers or expensive sensors)
3: Moderate Buffer (50%: Spares for all critical passive parts and 1 spare for the primary controller board)
4: High Buffer (80%: Spares for nearly every active component and sensor; can sustain multiple prototype burn-ins)
5: Full Redundancy (&gt;= 100%: Complete 2x BOM budget on hand; can build two complete working units simultaneously)</t>
        </is>
      </c>
      <c r="J8" s="26" t="inlineStr">
        <is>
          <t>1: Severe Violation / No Privilege (Direct breach of statutory law e.g. unconsented public surveillance/PDPA, hazardous road blockage, illegal RF transmission)
2: High Legal Exposure (Ambiguous legal zone; high risk of civic complaints or traffic disruption; requires complex technical waivers)
3: Conditional / Requires Permit (Permitted strictly under formal written approval, official agency MoU, or municipal permits)
4: Low Legal Friction (Operates within standard public engineering exemptions; simple standard notification/safety compliance needed)
5: 100% Free Domain (Fully exempt from statutory licensing; zero public safety risk, zero personal data/Zero PII, fully unrestricted)</t>
        </is>
      </c>
      <c r="K8" s="26" t="inlineStr">
        <is>
          <t>1: Closed Commercial Barrier (Proprietary commercial license; cannot compile, flash, or operate without paying expensive commercial seat licenses)
2: Ambiguous / Gray IP (Unclear licensing terms or unlicensed public repos; risk of copyright strike or IP dispute upon public demonstration)
3: Restrictive Open Source / Copyleft (Permitted for educational use, but viral licenses e.g. GPLv3 force your entire codebase to be made public if distributed)
4: Permissive Open Source (Open source with minimal conditions e.g. LGPL, CC-BY; allows proprietary wrapping with simple attribution)
5: Completely Permissive / Public Domain (Permissive open source e.g. MIT, Apache 2.0, BSD or Public Domain; unrestricted freedom to commercialize, modify, and contribute)</t>
        </is>
      </c>
      <c r="L8" s="26" t="inlineStr">
        <is>
          <t>1: Life-Threatening (Failure causes electrocution, fire, traffic collisions, toxic chemical exposure, or structural collapse)
2: Severe Physical Hazard (Equipment destroys itself, causes acute environmental contamination, or halts major emergency infrastructure)
3: Chaotic Response from User (Panic, operational deadlock, conflicting manual dispatches, and severe operational confusion)
4: Minor Operational Delay (System trips safely; requires a manual reboot or standard fallback procedure; no safety risk or chaos)
5: Benign Budget Loss Only (Failure causes zero human or operational harm; results only in minor, easily absorbed component/battery replacement costs)</t>
        </is>
      </c>
      <c r="M8" s="26" t="inlineStr">
        <is>
          <t>1: Disruptive Overhaul (Forces operators to abandon existing standard procedures, adds 5+ extra tedious forms, and faces active user rejection)
2: High Friction (Adds notable extra documentation or redundant verification steps; operators will actively look for ways to bypass it)
3: Moderate Adaptation (Modifies daily routines slightly; requires 1–2 training sessions, but delivers clear operational trade-offs)
4: Low Friction (Integrates directly into existing tools e.g. sends alerts to existing LINE/Telegram or ticketing dashboard; minimal habit changes)
5: Smooth Transient Operation (Zero workflow disruption; runs transparently in the background and automates existing manual paperwork seamlessly)</t>
        </is>
      </c>
      <c r="N8" s="26" t="inlineStr">
        <is>
          <t>1: Heavy Gatekeeping (Blocked by supervisor approvals, locked lab cabinets, NDA signatures, purchasing bureaucracy, and restricted git branches)
2: Moderate Bureaucracy (Requires departmental request forms, tool booking queues, and waiting 3–5 days for administrative sign-offs)
3: Standard Campus Access (Workable access during university open hours; minor approval delays for specialized equipment or lab keys)
4: High Autonomy (Team has full repository write access, open 24/7 lab entry, and pre-approved discretionary stipends for rapid purchases)
5: Frictionless Contribution (Complete autonomy; decentralized cloud CI/CD, local prototyping tools at home/bench, zero administrative blockers)</t>
        </is>
      </c>
      <c r="O8" s="26" t="inlineStr">
        <is>
          <t>1: Highly Convoluted (Dozens of fragile build steps, complex toolchain dependencies, and high probability of human error during setup)
2: High Complexity (Multi-stage manual toolchains; frequent dependency conflicts and difficult multi-board flashing procedures)
3: Moderate Complexity (Standard multi-step build/assembly pipeline; manageable and repeatable when following a documented checklist)
4: Low Complexity (Straightforward workflow using automated build scripts, standard IDEs, or single-command flashing)
5: Simple &amp; Direct (Plug-and-play, 1-step linear workflow; idiot-proof setup requiring zero multi-stage manual configuration)</t>
        </is>
      </c>
      <c r="P8" s="26" t="inlineStr">
        <is>
          <t>1: Concept Only (0% Design: Napkin sketches and verbal ideas; 0% CAD models, 0% schematics, 0% firmware written)
2: Rough Drafts (25% Design: Preliminary block diagrams, hand-drawn schematics, unverified parts list, rough 3D bounding boxes)
3: Intermediate Maturity (50% Design: Complete CAD assembly with untested clearances, schematic capture complete, draft firmware architecture mapped)
4: Pre-Production (75–80% Design: Detailed 3D CAD ready for 3D print/CNC, routed PCB Gerber files verified with DRC, pinouts locked down)
5: Fully Engineered Design (100% Production Ready: Complete manufacturing package: verified Gerbers, mechanical tolerance drawings, locked BOM, and flashing scripts ready)</t>
        </is>
      </c>
      <c r="Q8" s="26" t="inlineStr">
        <is>
          <t>1: Pure Buzzword / Greenwashing (Claims sustainability benefits with zero data, zero measurable effect, and solves no real municipal problem)
2: Superficial Correlation (Indirect impact; functions only as an isolated school demo with no realistic way to measure damage prevention)
3: Localized Proof (Delivers a measurable, verified benefit e.g. cuts response time or drops localized temperature on a single test strip, but lacks a scaling model)
4: District-Level Viability (Clear pathway to protect municipal infrastructure or reduce public losses across multiple roads/alleys during extreme weather)
5: Systemic City Resilience (Backed by concrete empirical data showing significant reduction in public economic losses, vehicle damage, or human hazard)</t>
        </is>
      </c>
      <c r="R8" s="26" t="inlineStr">
        <is>
          <t>1: Toxic Field Hazard (Enclosure degrades under UV, or unsealed batteries leak toxic chemicals and detach into the urban drainage network as marine litter)
2: Fragile Disposable Tech (Short operational lifespan; sensors foul or corrode within 2–3 weeks and are abandoned because retrieval is impractical)
3: Standard Field Footprint (Requires periodic battery replacement and creates standard electronic scrap, but uses basic tethering to prevent total hardware loss)
4: Low-Impact Enclosure (Solar-trickle or long-life low-power architecture; uses recyclable casing and redundant physical tethers e.g. dual stainless lanyards)
5: Fully Circular &amp; Zero Footprint (100% fail-safe retrieval design; uses non-toxic materials, consumes minimal public resources, and leaves zero field trace)</t>
        </is>
      </c>
      <c r="S8" s="26" t="inlineStr">
        <is>
          <t>1: Opaque Black Box (Proprietary or unexplained threshold that cancels dispatches or alters public services with zero explanation, risking neglect of vulnerable areas)
2: Ambiguous Logic (Decision rules are buried in messy heuristic code; field operators cannot explain to a citizen why an alert was triggered or suppressed)
3: Documented Internal Rules (Logic is documented on paper for engineers, but has no public audit trail or clear appeal mechanism if the sensor misreads)
4: Open Empirical Standards (Decisions are driven by transparent physical equations applied equally across all city zones)
5: 100% Auditable &amp; Equitable (Full tamper-evident digital audit trail; open logic accessible to officials and citizens, guaranteeing equal public protection regardless of district wealth)</t>
        </is>
      </c>
      <c r="T8" s="27" t="inlineStr">
        <is>
          <t>เกณฑ์รวม: &gt;=80 ผ่านสูง, &gt;=60 มีเงื่อนไข, &lt;60 เสี่ยงสูง | หากมีข้อใดได้ 1 = VETOED ตกเกณฑ์ทันที</t>
        </is>
      </c>
    </row>
    <row r="9" ht="36" customHeight="1">
      <c r="A9" s="28" t="inlineStr">
        <is>
          <t>คะแนนที่ได้รับ (ASSIGNED SCORE: 1, 2, 3, 4, 5 STRICT INTEGER)</t>
        </is>
      </c>
      <c r="B9" s="29" t="n">
        <v>4</v>
      </c>
      <c r="C9" s="29" t="n">
        <v>3</v>
      </c>
      <c r="D9" s="29" t="n">
        <v>2</v>
      </c>
      <c r="E9" s="29" t="n">
        <v>4</v>
      </c>
      <c r="F9" s="29" t="n">
        <v>2</v>
      </c>
      <c r="G9" s="29" t="n">
        <v>4</v>
      </c>
      <c r="H9" s="29" t="n">
        <v>3</v>
      </c>
      <c r="I9" s="29" t="n">
        <v>5</v>
      </c>
      <c r="J9" s="29" t="n">
        <v>3</v>
      </c>
      <c r="K9" s="29" t="n">
        <v>5</v>
      </c>
      <c r="L9" s="29" t="n">
        <v>4</v>
      </c>
      <c r="M9" s="29" t="n">
        <v>4</v>
      </c>
      <c r="N9" s="29" t="n">
        <v>3</v>
      </c>
      <c r="O9" s="29" t="n">
        <v>3</v>
      </c>
      <c r="P9" s="29" t="n">
        <v>3</v>
      </c>
      <c r="Q9" s="29" t="n">
        <v>4</v>
      </c>
      <c r="R9" s="29" t="n">
        <v>5</v>
      </c>
      <c r="S9" s="29" t="n">
        <v>4</v>
      </c>
      <c r="T9" s="30">
        <f>IF(T10&gt;0, (T11/T10)*20, 0)</f>
        <v/>
      </c>
    </row>
    <row r="10" ht="22" customHeight="1">
      <c r="A10" s="23" t="inlineStr">
        <is>
          <t>ค่าน้ำหนัก (Weight %)</t>
        </is>
      </c>
      <c r="B10" s="31" t="n">
        <v>0.04</v>
      </c>
      <c r="C10" s="31" t="n">
        <v>0.04</v>
      </c>
      <c r="D10" s="31" t="n">
        <v>0.04</v>
      </c>
      <c r="E10" s="31" t="n">
        <v>0.04</v>
      </c>
      <c r="F10" s="31" t="n">
        <v>0.04</v>
      </c>
      <c r="G10" s="31" t="n">
        <v>0.0667</v>
      </c>
      <c r="H10" s="31" t="n">
        <v>0.0667</v>
      </c>
      <c r="I10" s="31" t="n">
        <v>0.06660000000000001</v>
      </c>
      <c r="J10" s="31" t="n">
        <v>0.075</v>
      </c>
      <c r="K10" s="31" t="n">
        <v>0.075</v>
      </c>
      <c r="L10" s="31" t="n">
        <v>0.05</v>
      </c>
      <c r="M10" s="31" t="n">
        <v>0.05</v>
      </c>
      <c r="N10" s="31" t="n">
        <v>0.05</v>
      </c>
      <c r="O10" s="31" t="n">
        <v>0.05</v>
      </c>
      <c r="P10" s="31" t="n">
        <v>0.15</v>
      </c>
      <c r="Q10" s="31" t="n">
        <v>0.0333</v>
      </c>
      <c r="R10" s="31" t="n">
        <v>0.0333</v>
      </c>
      <c r="S10" s="31" t="n">
        <v>0.0334</v>
      </c>
      <c r="T10" s="31">
        <f>SUM(B10:S10)</f>
        <v/>
      </c>
    </row>
    <row r="11" ht="24" customHeight="1">
      <c r="A11" s="23" t="inlineStr">
        <is>
          <t>คะแนนถ่วงน้ำหนัก (=Score * Weight)</t>
        </is>
      </c>
      <c r="B11" s="32">
        <f>B9*B10</f>
        <v/>
      </c>
      <c r="C11" s="32">
        <f>C9*C10</f>
        <v/>
      </c>
      <c r="D11" s="32">
        <f>D9*D10</f>
        <v/>
      </c>
      <c r="E11" s="32">
        <f>E9*E10</f>
        <v/>
      </c>
      <c r="F11" s="32">
        <f>F9*F10</f>
        <v/>
      </c>
      <c r="G11" s="32">
        <f>G9*G10</f>
        <v/>
      </c>
      <c r="H11" s="32">
        <f>H9*H10</f>
        <v/>
      </c>
      <c r="I11" s="32">
        <f>I9*I10</f>
        <v/>
      </c>
      <c r="J11" s="32">
        <f>J9*J10</f>
        <v/>
      </c>
      <c r="K11" s="32">
        <f>K9*K10</f>
        <v/>
      </c>
      <c r="L11" s="32">
        <f>L9*L10</f>
        <v/>
      </c>
      <c r="M11" s="32">
        <f>M9*M10</f>
        <v/>
      </c>
      <c r="N11" s="32">
        <f>N9*N10</f>
        <v/>
      </c>
      <c r="O11" s="32">
        <f>O9*O10</f>
        <v/>
      </c>
      <c r="P11" s="32">
        <f>P9*P10</f>
        <v/>
      </c>
      <c r="Q11" s="32">
        <f>Q9*Q10</f>
        <v/>
      </c>
      <c r="R11" s="32">
        <f>R9*R10</f>
        <v/>
      </c>
      <c r="S11" s="32">
        <f>S9*S10</f>
        <v/>
      </c>
      <c r="T11" s="32">
        <f>SUM(B11:S11)</f>
        <v/>
      </c>
    </row>
    <row r="12" ht="115" customHeight="1">
      <c r="A12" s="23" t="inlineStr">
        <is>
          <t>คำอธิบาย &amp; หลักฐานอ้างอิงจากไฟล์ Intake (Evidence Citation)</t>
        </is>
      </c>
      <c r="B12" s="26" t="inlineStr">
        <is>
          <t>solution-1.md หน้าที่ 1-2 ระบุการใช้กล้อง CCTV เดิมและดึงข้อมูล ultrasonic เซนเซอร์คลองเดิม เป็นสถาปัตยกรรม Modular COTS ซอฟต์แวร์</t>
        </is>
      </c>
      <c r="C12" s="26" t="inlineStr">
        <is>
          <t>solution-1.md ระบุการดึงข้อมูลจาก CCTV จราจรและเซนเซอร์คลองของ กทม. ซึ่งต้องทำเรื่องขอสิทธิ์เข้าถึงสตรีมวิดีโอ (Request-Based Access)</t>
        </is>
      </c>
      <c r="D12" s="26" t="inlineStr">
        <is>
          <t>solution-1.md Weak point ระบุว่า 'ดู flow ได้เฉพาะช่วงที่มีแสง' และ PIV/PTV บนผิวน้ำกลางแจ้งมีความแปรปรวนสูง อยู่ในระดับ Functional Breadboard (TRL 4)</t>
        </is>
      </c>
      <c r="E12" s="26" t="inlineStr">
        <is>
          <t>jk.md (OpenCV, Python), kin.md (Telemetry Ingestion, Data Analysis), due.md (API, Web) มีทักษะสอดคล้องมากกว่า 3 คน</t>
        </is>
      </c>
      <c r="F12" s="26" t="inlineStr">
        <is>
          <t>solution-1.md Tech stack ใช้ Particle Tracking Velocimetry (PTV) และ PIV ซึ่งเป็นอัลกอริทึมชลศาสตร์ขั้นสูงที่ทีมยังไม่มีประสบการณ์ตรง (Steep Curve)</t>
        </is>
      </c>
      <c r="G12" s="26" t="inlineStr">
        <is>
          <t>solution-1.md ส่วน Function ช่วยวิเคราะห์จัดคิวลอกท่อและแจ้งเตือน QRT ตรงจุด โดยไม่ต้องติดตั้งฮาร์ดแวร์แพง คืนทุนรวดเร็วใน 2-3 ปี</t>
        </is>
      </c>
      <c r="H12" s="26" t="inlineStr">
        <is>
          <t>solution-1.md พึ่งพาข้อมูลสตรีมวิดีโอจากกล้อง CCTV ของหน่วยงานรัฐ หากกล้องเสียหรือมุมกล้องเปลี่ยนระบบจะคำนวณไม่ได้</t>
        </is>
      </c>
      <c r="I12" s="26" t="inlineStr">
        <is>
          <t>solution-1.md เป็นระบบประมวลผลซอฟต์แวร์จากเซนเซอร์ที่มีอยู่แล้ว งบประมาณการทดสอบฮาร์ดแวร์มีสำรองเกิน 100%</t>
        </is>
      </c>
      <c r="J12" s="26" t="inlineStr">
        <is>
          <t>solution-1.md การดึงภาพวิดีโอจาก CCTV บนถนนสาธารณะติดภาพบุคคลและยานพาหนะ ต้องขออนุญาตและมีระบบเบลอภาพตาม พ.ร.บ. PDPA</t>
        </is>
      </c>
      <c r="K12" s="26" t="inlineStr">
        <is>
          <t>solution-1.md ใช้งาน OpenCV และอัลกอริทึม Optical Flow โอเพนซอร์ส ปราศจากสิทธิบัตรปิดกั้น</t>
        </is>
      </c>
      <c r="L12" s="26" t="inlineStr">
        <is>
          <t>solution-1.md หากระบบ Optical Flow วิเคราะห์ผิดพลาด เป็นเพียงการแจ้งเตือนล่าช้า เจ้าหน้าที่สามารถสลับไปดูภาพสดได้ ไม่เกิดอันตรายร้ายแรง</t>
        </is>
      </c>
      <c r="M12" s="26" t="inlineStr">
        <is>
          <t>solution-1.md แจ้ง alert เข้าหน่วยงานที่เกี่ยวข้องและจัดคิวลอกท่อ สอดคล้องกับกระบวนการทำงานของหน่วย QRT และฝ่ายซ่อมบำรุง</t>
        </is>
      </c>
      <c r="N12" s="26" t="inlineStr">
        <is>
          <t>solution-1.md ต้องขอไฟล์วิดีโอบันทึกย้อนหลังจากกล้อง CCTV ของมหาวิทยาลัยหรือ กทม. เพื่อนำมาใช้เทรนและทดสอบระบบ</t>
        </is>
      </c>
      <c r="O12" s="26" t="inlineStr">
        <is>
          <t>solution-1.md การเชื่อมต่อสตรีมวิดีโอแบบเรียลไทม์ร่วมกับการคำนวณ Optical Flow ทีละเฟรม มีขั้นตอนการบิวด์และปรับแต่งปานกลาง</t>
        </is>
      </c>
      <c r="P12" s="26" t="inlineStr">
        <is>
          <t>schedule.md ระบุ TRL 3 ในสัปดาห์ที่ 13 โดย Solution 1 สามารถสร้างระบบต้นแบบวิเคราะห์วิดีโอบน Bench ได้ทันกำหนด (50% Design)</t>
        </is>
      </c>
      <c r="Q12" s="26" t="inlineStr">
        <is>
          <t>solution-1.md ช่วยชี้เป้าว่าน้ำท่วมเกิดจากท่อตันหรือฝนตกหนัก สนับสนุนการลอกท่อระดับเขตตาม SDG 11.5 อย่างมีนัยสำคัญ</t>
        </is>
      </c>
      <c r="R12" s="26" t="inlineStr">
        <is>
          <t>solution-1.md พยายามใช้ local sensor ที่มีอยู่แล้ว ไม่ติดตั้งอุปกรณ์ใหม่ในท่อ ไม่สร้างขยะอิเล็กทรอนิกส์ในระบบระบายน้ำ</t>
        </is>
      </c>
      <c r="S12" s="26" t="inlineStr">
        <is>
          <t>solution-1.md ตัดสินใจจากข้อมูลความเร็วการไหลของน้ำและระดับน้ำเชิงกายภาพ มีตรรกะที่เปิดเผยและตรวจสอบได้</t>
        </is>
      </c>
      <c r="T12" s="33">
        <f>IF(MIN(B9:S9)=1, "VETOED / ตกเกณฑ์ข้อบังคับวิกฤต (คะแนนระดับ 1)", IF(T9&gt;=80, "ผ่านเกณฑ์ระดับสูง (HIGHLY VIABLE)", IF(T9&gt;=60, "ผ่านแบบมีเงื่อนไข (CONDITIONALLY VIABLE)", "ความเสี่ยงสูง (HIGH RISK)")))</f>
        <v/>
      </c>
    </row>
    <row r="13" ht="70" customHeight="1">
      <c r="A13" s="23" t="inlineStr">
        <is>
          <t>แผนลดขอบเขตงาน &amp; มาตรการลดความเสี่ยง (De-scoping Action)</t>
        </is>
      </c>
      <c r="B13" s="26" t="inlineStr">
        <is>
          <t>ใช้ Video Ingestion Library มาตรฐานและเชื่อมต่อ REST API เซนเซอร์คลอง</t>
        </is>
      </c>
      <c r="C13" s="26" t="inlineStr">
        <is>
          <t>ทำหนังสือขอเชื่อมต่อสัญญาณ RTSP กับสำนักการจราจรและขนส่ง กทม.</t>
        </is>
      </c>
      <c r="D13" s="26" t="inlineStr">
        <is>
          <t>ทดสอบอัลกอริทึมในสภาพแสงแดดจ้า แสงสะท้อน และช่วงฝนตกหนักในห้องแล็บก่อน</t>
        </is>
      </c>
      <c r="E13" s="26" t="inlineStr">
        <is>
          <t>JK ดูแล Computer Vision, Kin ดูแลการรวมข้อมูลโทรมาตร, Due ดูแลระบบแจ้งเตือน</t>
        </is>
      </c>
      <c r="F13" s="26" t="inlineStr">
        <is>
          <t>เลือกใช้อัลกอริทึม Optical Flow มาตรฐานอย่าง Farneback ใน OpenCV แทน PTV เต็มรูปแบบ</t>
        </is>
      </c>
      <c r="G13" s="26" t="inlineStr">
        <is>
          <t>คำนวณต้นทุนที่ประหยัดได้จากการลดเที่ยววิ่งตรวจสอบของเจ้าหน้าที่</t>
        </is>
      </c>
      <c r="H13" s="26" t="inlineStr">
        <is>
          <t>ออกแบบระบบ Fallback ไปใช้เฉพาะระดับน้ำในคลองหาก CCTV ออฟไลน์</t>
        </is>
      </c>
      <c r="I13" s="26" t="inlineStr">
        <is>
          <t>ใช้คอมพิวเตอร์ส่วนตัวและเซิร์ฟเวอร์จำลองในการทดสอบทั้งหมด</t>
        </is>
      </c>
      <c r="J13" s="26" t="inlineStr">
        <is>
          <t>ติดตั้งโมดูล Edge Anonymization เบลอป้ายทะเบียนและบุคคลก่อนประมวลผล</t>
        </is>
      </c>
      <c r="K13" s="26" t="inlineStr">
        <is>
          <t>ใช้ไลบรารีภายใต้สัญญาอนุญาต Apache 2.0 และ MIT</t>
        </is>
      </c>
      <c r="L13" s="26" t="inlineStr">
        <is>
          <t>ตั้งค่า Threshold ความเชื่อมั่น หากคะแนนความเชื่อมั่นต่ำให้แจ้งเตือนเป็น Warning</t>
        </is>
      </c>
      <c r="M13" s="26" t="inlineStr">
        <is>
          <t>ส่งข้อมูลการแจ้งเตือนเข้าสู่ระบบ LINE Notify ของเจ้าหน้าที่หน้างาน</t>
        </is>
      </c>
      <c r="N13" s="26" t="inlineStr">
        <is>
          <t>ติดตั้งกล้องเว็บแคมทดสอบบันทึกภาพผิวน้ำจำลองในมหาวิทยาลัย</t>
        </is>
      </c>
      <c r="O13" s="26" t="inlineStr">
        <is>
          <t>สร้างสคริปต์ Python อัตโนมัติสำหรับดึงภาพและวิเคราะห์เฟรมแบบ batch</t>
        </is>
      </c>
      <c r="P13" s="26" t="inlineStr">
        <is>
          <t>ล็อกชุดวิดีโอทดสอบภายในสัปดาห์ที่ 9 เพื่อเตรียมทำ PoC ในสัปดาห์ที่ 13</t>
        </is>
      </c>
      <c r="Q13" s="26" t="inlineStr">
        <is>
          <t>จัดทำรายงานสถิติจุดท่อตันเทียบกับประวัติน้ำท่วมซ้ำซาก</t>
        </is>
      </c>
      <c r="R13" s="26" t="inlineStr">
        <is>
          <t>ไม่ก่อให้เกิดมลภาวะหรือขยะพลาสติกตกค้างในสิ่งแวดล้อม</t>
        </is>
      </c>
      <c r="S13" s="26" t="inlineStr">
        <is>
          <t>บันทึกค่าความเร็วผิวน้ำและระดับน้ำเป็นตัวเลขเชิงประจักษ์ทุก 5 นาที</t>
        </is>
      </c>
      <c r="T13" s="25" t="inlineStr">
        <is>
          <t>ปฏิบัติตามแผนลดขอบเขตงาน (De-scoping Advisory)</t>
        </is>
      </c>
    </row>
    <row r="14" ht="15" customHeight="1"/>
    <row r="15" ht="26" customHeight="1">
      <c r="A15" s="19" t="inlineStr">
        <is>
          <t>ตารางสรุปคะแนนแยกตามมิติ TELOS+S (Pillar Score Breakdown)</t>
        </is>
      </c>
    </row>
    <row r="16" ht="24" customHeight="1">
      <c r="A16" s="34" t="inlineStr">
        <is>
          <t>มิติการประเมิน (TELOS+S Pillar)</t>
        </is>
      </c>
      <c r="B16" s="34" t="inlineStr">
        <is>
          <t>สัดส่วนน้ำหนัก (Weight %)</t>
        </is>
      </c>
      <c r="C16" s="34" t="inlineStr">
        <is>
          <t>คะแนนเต็มมิติ (Max Points)</t>
        </is>
      </c>
      <c r="D16" s="34" t="inlineStr">
        <is>
          <t>คะแนนที่ได้รับจริง (Earned Points)</t>
        </is>
      </c>
      <c r="E16" s="34" t="inlineStr">
        <is>
          <t>คะแนนเฉลี่ย (Score 1-5)</t>
        </is>
      </c>
      <c r="F16" s="34" t="inlineStr">
        <is>
          <t>ระดับความพร้อม (Readiness Level)</t>
        </is>
      </c>
    </row>
    <row r="17" ht="22" customHeight="1">
      <c r="A17" s="35" t="inlineStr">
        <is>
          <t>T : ด้านเทคโนโลยีและวิศวกรรม (Technical)</t>
        </is>
      </c>
      <c r="B17" s="36" t="n">
        <v>0.2</v>
      </c>
      <c r="C17" s="37" t="n">
        <v>20</v>
      </c>
      <c r="D17" s="38">
        <f>SUM(B11:F11)*20</f>
        <v/>
      </c>
      <c r="E17" s="39">
        <f>IF(C17&gt;0, (D17/C17)*5, 0)</f>
        <v/>
      </c>
      <c r="F17" s="25">
        <f>IF(D17&gt;=16.0, "พร้อมระดับสูง (High)", IF(D17&gt;=12.0, "ปานกลาง (Medium)", "เสี่ยงวิกฤต (Critical)"))</f>
        <v/>
      </c>
    </row>
    <row r="18" ht="22" customHeight="1">
      <c r="A18" s="35" t="inlineStr">
        <is>
          <t>E : ด้านเศรษฐศาสตร์และความคุ้มค่า (Economic)</t>
        </is>
      </c>
      <c r="B18" s="36" t="n">
        <v>0.2</v>
      </c>
      <c r="C18" s="37" t="n">
        <v>20</v>
      </c>
      <c r="D18" s="38">
        <f>SUM(G11:I11)*20</f>
        <v/>
      </c>
      <c r="E18" s="39">
        <f>IF(C18&gt;0, (D18/C18)*5, 0)</f>
        <v/>
      </c>
      <c r="F18" s="25">
        <f>IF(D18&gt;=16.0, "พร้อมระดับสูง (High)", IF(D18&gt;=12.0, "ปานกลาง (Medium)", "เสี่ยงวิกฤต (Critical)"))</f>
        <v/>
      </c>
    </row>
    <row r="19" ht="22" customHeight="1">
      <c r="A19" s="35" t="inlineStr">
        <is>
          <t>L : ด้านกฎหมาย ระเบียบ และภาคประชาชน (Legal &amp; Outreach)</t>
        </is>
      </c>
      <c r="B19" s="36" t="n">
        <v>0.15</v>
      </c>
      <c r="C19" s="37" t="n">
        <v>15</v>
      </c>
      <c r="D19" s="38">
        <f>SUM(J11:K11)*20</f>
        <v/>
      </c>
      <c r="E19" s="39">
        <f>IF(C19&gt;0, (D19/C19)*5, 0)</f>
        <v/>
      </c>
      <c r="F19" s="25">
        <f>IF(D19&gt;=12.0, "พร้อมระดับสูง (High)", IF(D19&gt;=9.0, "ปานกลาง (Medium)", "เสี่ยงวิกฤต (Critical)"))</f>
        <v/>
      </c>
    </row>
    <row r="20" ht="22" customHeight="1">
      <c r="A20" s="35" t="inlineStr">
        <is>
          <t>O : ด้านการปฏิบัติการและหน้างาน (Operational)</t>
        </is>
      </c>
      <c r="B20" s="36" t="n">
        <v>0.2</v>
      </c>
      <c r="C20" s="37" t="n">
        <v>20</v>
      </c>
      <c r="D20" s="38">
        <f>SUM(L11:O11)*20</f>
        <v/>
      </c>
      <c r="E20" s="39">
        <f>IF(C20&gt;0, (D20/C20)*5, 0)</f>
        <v/>
      </c>
      <c r="F20" s="25">
        <f>IF(D20&gt;=16.0, "พร้อมระดับสูง (High)", IF(D20&gt;=12.0, "ปานกลาง (Medium)", "เสี่ยงวิกฤต (Critical)"))</f>
        <v/>
      </c>
    </row>
    <row r="21" ht="22" customHeight="1">
      <c r="A21" s="35" t="inlineStr">
        <is>
          <t>S : ด้านแผนงานและเวลาส่งมอบ (Schedule)</t>
        </is>
      </c>
      <c r="B21" s="36" t="n">
        <v>0.15</v>
      </c>
      <c r="C21" s="37" t="n">
        <v>15</v>
      </c>
      <c r="D21" s="38">
        <f>P11*20</f>
        <v/>
      </c>
      <c r="E21" s="39">
        <f>IF(C21&gt;0, (D21/C21)*5, 0)</f>
        <v/>
      </c>
      <c r="F21" s="25">
        <f>IF(D21&gt;=12.0, "พร้อมระดับสูง (High)", IF(D21&gt;=9.0, "ปานกลาง (Medium)", "เสี่ยงวิกฤต (Critical)"))</f>
        <v/>
      </c>
    </row>
    <row r="22" ht="22" customHeight="1">
      <c r="A22" s="35" t="inlineStr">
        <is>
          <t>+S : ด้านความยั่งยืนและสิ่งแวดล้อม (Sustainability / SDG)</t>
        </is>
      </c>
      <c r="B22" s="36" t="n">
        <v>0.1</v>
      </c>
      <c r="C22" s="37" t="n">
        <v>10</v>
      </c>
      <c r="D22" s="38">
        <f>SUM(Q11:S11)*20</f>
        <v/>
      </c>
      <c r="E22" s="39">
        <f>IF(C22&gt;0, (D22/C22)*5, 0)</f>
        <v/>
      </c>
      <c r="F22" s="25">
        <f>IF(D22&gt;=8.0, "พร้อมระดับสูง (High)", IF(D22&gt;=6.0, "ปานกลาง (Medium)", "เสี่ยงวิกฤต (Critical)"))</f>
        <v/>
      </c>
    </row>
    <row r="23" ht="26" customHeight="1">
      <c r="A23" s="40" t="inlineStr">
        <is>
          <t>คะแนนรวมทุกมิติ (Total Feasibility Score)</t>
        </is>
      </c>
      <c r="B23" s="31">
        <f>SUM(B17:B22)</f>
        <v/>
      </c>
      <c r="C23" s="41">
        <f>SUM(C17:C22)</f>
        <v/>
      </c>
      <c r="D23" s="42">
        <f>SUM(D17:D22)</f>
        <v/>
      </c>
      <c r="E23" s="32">
        <f>IF(C23&gt;0, (D23/C23)*5, 0)</f>
        <v/>
      </c>
      <c r="F23" s="43">
        <f>IF(D23&gt;=80, "ผ่านเกณฑ์ระดับสูง (HIGHLY VIABLE)", IF(D23&gt;=60, "ผ่านแบบมีเงื่อนไข (CONDITIONALLY VIABLE)", "ความเสี่ยงสูง (HIGH RISK)"))</f>
        <v/>
      </c>
    </row>
    <row r="24" ht="12" customHeight="1"/>
    <row r="25" ht="26" customHeight="1">
      <c r="A25" s="19" t="inlineStr">
        <is>
          <t>เมทริกซ์ประเมินความเข้ากันได้กับองค์ความรู้ด้านวิศวกรรมหุ่นยนต์ (Robotics Knowledge Compatibility)</t>
        </is>
      </c>
    </row>
    <row r="26" ht="22" customHeight="1">
      <c r="A26" s="20" t="inlineStr">
        <is>
          <t>* หมายเหตุ: การประเมินส่วนนี้วัดศักยภาพในการประยุกต์ใช้องค์ความรู้ด้านวิศวกรรมหุ่นยนต์ (Perception, Control, Actuation, Mechatronics) เต็ม 10 คะแนน | เป็นเอกเทศ ไม่นับรวมในคะแนน TELOS 100 คะแนน</t>
        </is>
      </c>
    </row>
    <row r="27" ht="24" customHeight="1">
      <c r="A27" s="44" t="inlineStr">
        <is>
          <t>มิติการประเมิน (Robotics Dimension)</t>
        </is>
      </c>
      <c r="B27" s="44" t="inlineStr">
        <is>
          <t>คะแนนศักยภาพ (/10)</t>
        </is>
      </c>
      <c r="C27" s="44" t="inlineStr">
        <is>
          <t>แกน Perception &amp; Sensing (การรับรู้)</t>
        </is>
      </c>
      <c r="D27" s="44" t="inlineStr">
        <is>
          <t>แกน Control &amp; Algorithms (การควบคุม)</t>
        </is>
      </c>
      <c r="E27" s="44" t="inlineStr">
        <is>
          <t>แกน Actuation &amp; Mechanisms (กลไก)</t>
        </is>
      </c>
      <c r="F27" s="44" t="inlineStr">
        <is>
          <t>บทวิเคราะห์เชิงวิศวกรรมหุ่นยนต์ (FIBO Alignment Rationale)</t>
        </is>
      </c>
    </row>
    <row r="28" ht="95" customHeight="1">
      <c r="A28" s="45" t="inlineStr">
        <is>
          <t>ศักยภาพการประยุกต์ใช้องค์ความรู้หุ่นยนต์และระบบอัตโนมัติ</t>
        </is>
      </c>
      <c r="B28" s="46" t="n">
        <v>4</v>
      </c>
      <c r="C28" s="26" t="inlineStr">
        <is>
          <t>Computer vision optical flow, PIV, PTV for surface runoff velocity estimation and ultrasonic canal level monitoring.</t>
        </is>
      </c>
      <c r="D28" s="26" t="inlineStr">
        <is>
          <t>Heuristic threshold classification and drainage capacity diagnostics; lacks dynamic plant state estimation and closed-loop feedback.</t>
        </is>
      </c>
      <c r="E28" s="26" t="inlineStr">
        <is>
          <t>Static sensor mounts with zero mechanical actuation, moving parts, or dynamic physical intervention on the environment.</t>
        </is>
      </c>
      <c r="F28" s="26" t="inlineStr">
        <is>
          <t>Solution 1 functions as a municipal IoT telemetry and computer vision monitoring system rather than a robotic system. The operational loop breaks at actuation because output is strictly restricted to alerting human operators. It heavily neglects the core mechanical design, power transmission, and physical control capabilities of the team.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s>
  <sheetData>
    <row r="1">
      <c r="A1" s="19" t="inlineStr">
        <is>
          <t>เมทริกซ์ประเมินความเป็นไปได้เชิงระบบ TELOS+S: Sewer Inspection by transmitter and receiver. Mapping Sewer profile</t>
        </is>
      </c>
    </row>
    <row r="2">
      <c r="A2" s="20" t="inlineStr">
        <is>
          <t>ระบบคะแนนจำนวนเต็มเด็ดขาด: 1, 2, 3, 4, 5 เท่านั้น (ไม่มีจุดทศนิยม / ไม่มี 0.5) | โครงสร้างแบบ Transposed แนวนอน</t>
        </is>
      </c>
    </row>
    <row r="4" ht="24" customHeight="1">
      <c r="A4" s="21" t="inlineStr">
        <is>
          <t>รหัสคำถาม (Question Code)</t>
        </is>
      </c>
      <c r="B4" s="22" t="inlineStr">
        <is>
          <t>T-01</t>
        </is>
      </c>
      <c r="C4" s="22" t="inlineStr">
        <is>
          <t>T-02</t>
        </is>
      </c>
      <c r="D4" s="22" t="inlineStr">
        <is>
          <t>T-03</t>
        </is>
      </c>
      <c r="E4" s="22" t="inlineStr">
        <is>
          <t>T-04</t>
        </is>
      </c>
      <c r="F4" s="22" t="inlineStr">
        <is>
          <t>T-05</t>
        </is>
      </c>
      <c r="G4" s="22" t="inlineStr">
        <is>
          <t>E-01</t>
        </is>
      </c>
      <c r="H4" s="22" t="inlineStr">
        <is>
          <t>E-02</t>
        </is>
      </c>
      <c r="I4" s="22" t="inlineStr">
        <is>
          <t>E-03</t>
        </is>
      </c>
      <c r="J4" s="22" t="inlineStr">
        <is>
          <t>L-01</t>
        </is>
      </c>
      <c r="K4" s="22" t="inlineStr">
        <is>
          <t>L-02</t>
        </is>
      </c>
      <c r="L4" s="22" t="inlineStr">
        <is>
          <t>O-01</t>
        </is>
      </c>
      <c r="M4" s="22" t="inlineStr">
        <is>
          <t>O-02</t>
        </is>
      </c>
      <c r="N4" s="22" t="inlineStr">
        <is>
          <t>O-03</t>
        </is>
      </c>
      <c r="O4" s="22" t="inlineStr">
        <is>
          <t>O-04</t>
        </is>
      </c>
      <c r="P4" s="22" t="inlineStr">
        <is>
          <t>S-01</t>
        </is>
      </c>
      <c r="Q4" s="22" t="inlineStr">
        <is>
          <t>SDG-01</t>
        </is>
      </c>
      <c r="R4" s="22" t="inlineStr">
        <is>
          <t>SDG-02</t>
        </is>
      </c>
      <c r="S4" s="22" t="inlineStr">
        <is>
          <t>SDG-03</t>
        </is>
      </c>
      <c r="T4" s="22" t="inlineStr">
        <is>
          <t>สรุปภาพรวม (SUMMARY)</t>
        </is>
      </c>
    </row>
    <row r="5" ht="24" customHeight="1">
      <c r="A5" s="23" t="inlineStr">
        <is>
          <t>มิติการประเมิน (TELOS+S Pillar)</t>
        </is>
      </c>
      <c r="B5" s="24" t="inlineStr">
        <is>
          <t>ด้านเทคโนโลยีและวิศวกรรม (Technical Feasibility)</t>
        </is>
      </c>
      <c r="C5" s="24" t="inlineStr">
        <is>
          <t>ด้านเทคโนโลยีและวิศวกรรม (Technical Feasibility)</t>
        </is>
      </c>
      <c r="D5" s="24" t="inlineStr">
        <is>
          <t>ด้านเทคโนโลยีและวิศวกรรม (Technical Feasibility)</t>
        </is>
      </c>
      <c r="E5" s="24" t="inlineStr">
        <is>
          <t>ด้านเทคโนโลยีและวิศวกรรม (Technical Feasibility)</t>
        </is>
      </c>
      <c r="F5" s="24" t="inlineStr">
        <is>
          <t>ด้านเทคโนโลยีและวิศวกรรม (Technical Feasibility)</t>
        </is>
      </c>
      <c r="G5" s="24" t="inlineStr">
        <is>
          <t>ด้านเศรษฐศาสตร์ (Economic Feasibility)</t>
        </is>
      </c>
      <c r="H5" s="24" t="inlineStr">
        <is>
          <t>ด้านเศรษฐศาสตร์ (Economic Feasibility)</t>
        </is>
      </c>
      <c r="I5" s="24" t="inlineStr">
        <is>
          <t>ด้านเศรษฐศาสตร์ (Economic Feasibility)</t>
        </is>
      </c>
      <c r="J5" s="24" t="inlineStr">
        <is>
          <t>ด้านกฎหมายและสถาบัน (Legal &amp; Institutional Feasibility)</t>
        </is>
      </c>
      <c r="K5" s="24" t="inlineStr">
        <is>
          <t>ด้านกฎหมายและสถาบัน (Legal &amp; Institutional Feasibility)</t>
        </is>
      </c>
      <c r="L5" s="24" t="inlineStr">
        <is>
          <t>ด้านการปฏิบัติการ (Operational Feasibility)</t>
        </is>
      </c>
      <c r="M5" s="24" t="inlineStr">
        <is>
          <t>ด้านการปฏิบัติการ (Operational Feasibility)</t>
        </is>
      </c>
      <c r="N5" s="24" t="inlineStr">
        <is>
          <t>ด้านการปฏิบัติการ (Operational Feasibility)</t>
        </is>
      </c>
      <c r="O5" s="24" t="inlineStr">
        <is>
          <t>ด้านการปฏิบัติการ (Operational Feasibility)</t>
        </is>
      </c>
      <c r="P5" s="24" t="inlineStr">
        <is>
          <t>ด้านแผนงานและเวลา (Schedule Feasibility)</t>
        </is>
      </c>
      <c r="Q5" s="24" t="inlineStr">
        <is>
          <t>+S ด้านความยั่งยืน (Sustainable Feasibility)</t>
        </is>
      </c>
      <c r="R5" s="24" t="inlineStr">
        <is>
          <t>+S ด้านความยั่งยืน (Sustainable Feasibility)</t>
        </is>
      </c>
      <c r="S5" s="24" t="inlineStr">
        <is>
          <t>+S ด้านความยั่งยืน (Sustainable Feasibility)</t>
        </is>
      </c>
      <c r="T5" s="25" t="inlineStr">
        <is>
          <t>ผลรวมทุกมิติ (All Pillars)</t>
        </is>
      </c>
    </row>
    <row r="6" ht="80" customHeight="1">
      <c r="A6" s="23" t="inlineStr">
        <is>
          <t>คำถามทดสอบความเสี่ยงจริง (Stress-Test Question)</t>
        </is>
      </c>
      <c r="B6" s="26" t="inlineStr">
        <is>
          <t>Implementation (Build vs. Buy Burden): ภาระการสร้างเองกับการเลือกซื้ออุปกรณ์สำเร็จรูป (COTS)</t>
        </is>
      </c>
      <c r="C6" s="26" t="inlineStr">
        <is>
          <t>Access (Tech Stack &amp; Ecosystem Permissions): สิทธิ์และการเข้าถึงสแตกเทคโนโลยีและระบบนิเวศน์</t>
        </is>
      </c>
      <c r="D6" s="26" t="inlineStr">
        <is>
          <t>Base Performance (Technology Readiness Level - TRL): ระดับความพร้อมและความเสถียรของเทคโนโลยีฐาน</t>
        </is>
      </c>
      <c r="E6" s="26" t="inlineStr">
        <is>
          <t>Team Compatibility (Manpower &amp; Skill Redundancy): ความเข้ากันได้ของทักษะทีมและความพร้อมทดแทน (SPOF)</t>
        </is>
      </c>
      <c r="F6" s="26" t="inlineStr">
        <is>
          <t>Learning Curve ("How much do we have to learn?"): เส้นทางการเรียนรู้และระยะเวลาปรับตัวของทีม</t>
        </is>
      </c>
      <c r="G6" s="26" t="inlineStr">
        <is>
          <t>ROI (Payback Period / Value Horizon): ระยะเวลาคืนทุนและกรอบความคุ้มค่าทางการเงิน</t>
        </is>
      </c>
      <c r="H6" s="26" t="inlineStr">
        <is>
          <t>Dependency of Component (Vendor Lock-in &amp; Reliability): การพึ่งพาผู้ขายภายนอกและความเสี่ยงการผูกขาด</t>
        </is>
      </c>
      <c r="I6" s="26" t="inlineStr">
        <is>
          <t>Scrap Margin (Safety Allowance for Blown ICs &amp; Iterations): สัดส่วนงบสำรองสำหรับความเสียหายและการทดลองซ้ำ</t>
        </is>
      </c>
      <c r="J6" s="26" t="inlineStr">
        <is>
          <t>Felony and Civil Law (Regulatory, Traffic &amp; Public Safety Compliance): ความสอดคล้องตามกฎหมายอาญา แพ่ง ระเบียบจราจร และความปลอดภัยสาธารณะ</t>
        </is>
      </c>
      <c r="K6" s="26" t="inlineStr">
        <is>
          <t>IP and Licensing: สิทธิ์ในทรัพย์สินทางปัญญาและการอนุญาตใช้งานซอฟต์แวร์/ฮาร์ดแวร์</t>
        </is>
      </c>
      <c r="L6" s="26" t="inlineStr">
        <is>
          <t>User — Failure Impact ("If it fails, how severe is the effect?"): ความรุนแรงของผลกระทบเมื่อระบบขัดข้องต่อผู้ใช้และสาธารณะ</t>
        </is>
      </c>
      <c r="M6" s="26" t="inlineStr">
        <is>
          <t>User — Behavior &amp; Problem-Solution Fit: ความสอดคล้องกับพฤติกรรมผู้ใช้และกระบวนการทำงานเดิม</t>
        </is>
      </c>
      <c r="N6" s="26" t="inlineStr">
        <is>
          <t>Developer — Contribution Dependency (Administrative &amp; Lab Gatekeeping): การพึ่งพาการอนุมัติและอุปสรรคการเข้าถึงห้องปฏิบัติการ/เครื่องมือ</t>
        </is>
      </c>
      <c r="O6" s="26" t="inlineStr">
        <is>
          <t>Developer — Complexity (Step Count &amp; Pipeline Friction): ความซับซ้อนของขั้นตอนการประกอบ ติดตั้ง และบิวด์ระบบ</t>
        </is>
      </c>
      <c r="P6" s="26" t="inlineStr">
        <is>
          <t>Production Time (Engineering Design Maturity by 5 Business Weeks): วุฒิภาวะของแบบทางวิศวกรรมและความพร้อมผลิตใน 5 สัปดาห์ทำการ</t>
        </is>
      </c>
      <c r="Q6" s="26" t="inlineStr">
        <is>
          <t>SDG-01: Public Impact vs. Academic Greenwashing (SDG 11.5 / 13.1): ผลกระทบเชิงประจักษ์ต่อสาธารณะกับการฟอกเขียวทางวิชาการ</t>
        </is>
      </c>
      <c r="R6" s="26" t="inlineStr">
        <is>
          <t>SDG-02: Environmental Footprint &amp; E-Waste ("Do No Harm" — SDG 6.3 / 12.4): ภาระสิ่งแวดล้อมและขยะอิเล็กทรอนิกส์ตามหลักไม่สร้างผลเสียซ้ำซ้อน</t>
        </is>
      </c>
      <c r="S6" s="26" t="inlineStr">
        <is>
          <t>SDG-03: Algorithmic Equity &amp; Decision Transparency (SDG 10.2 / 16.6): ความเป็นธรรมของอัลกอริทึมและความโปร่งใสในการตัดสินใจ</t>
        </is>
      </c>
      <c r="T6" s="27" t="inlineStr">
        <is>
          <t>ประเมินคำถามทั้งสิ้น 18 ข้อ</t>
        </is>
      </c>
    </row>
    <row r="7" ht="95" customHeight="1">
      <c r="A7" s="23" t="inlineStr">
        <is>
          <t>เหตุผลในการถาม &amp; โหมดความล้มเหลวที่เฝ้าระวัง (Rationale)</t>
        </is>
      </c>
      <c r="B7" s="26" t="inlineStr">
        <is>
          <t>ประเมินภาระงานวิจัยและพัฒนาชิ้นส่วนฮาร์ดแวร์/เฟิร์มแวร์ว่าต้องสร้างขึ้นใหม่ตั้งแต่ศูนย์หรือใช้อุปกรณ์สำเร็จรูปมาตรฐาน เพื่อควบคุมความเสี่ยงด้านความผิดพลาดและระยะเวลาพัฒนา</t>
        </is>
      </c>
      <c r="C7" s="26" t="inlineStr">
        <is>
          <t>ประเมินข้อจำกัดในการเข้าถึงซอร์สโค้ด สิทธิ์การพัฒนา สิทธิ์การเชื่อมต่อระบบคลาวด์ และสิทธิ์ผู้ดูแลระบบ เพื่อป้องกันปัญหาติดล็อกระบบปิด (Walled Garden)</t>
        </is>
      </c>
      <c r="D7" s="26" t="inlineStr">
        <is>
          <t>ประเมินระดับความพร้อมของเทคโนโลยีต้นแบบ (TRL) ว่าอยู่ในระดับแล็บหรือผ่านการทดสอบภาคสนามจริงมาแล้ว เพื่อลดความเสี่ยงจากการนำเทคโนโลยีที่ยังไม่เสถียรมาใช้งาน</t>
        </is>
      </c>
      <c r="E7" s="26" t="inlineStr">
        <is>
          <t>ประเมินการกระจายทักษะทางเทคนิคและความเสี่ยงจากการมีผู้เชี่ยวชาญเพียงคนเดียว (Single Point of Failure: SPOF) หากสมาชิกหลักไม่อยู่ โครงการจะหยุดชะงักหรือไม่</t>
        </is>
      </c>
      <c r="F7" s="26" t="inlineStr">
        <is>
          <t>ประเมินช่องว่างทางความรู้และทักษะที่ทีมต้องเรียนรู้เพิ่มขึ้นเมื่อเทียบกับประสบการณ์เดิม ป้องกันปัญหางานสะดุดจากการติดขัดช่วงเริ่มต้นการเรียนรู้เทคโนโลยีใหม่</t>
        </is>
      </c>
      <c r="G7" s="26" t="inlineStr">
        <is>
          <t>ประเมินระยะเวลาในการคืนทุนและมูลค่าทางเศรษฐกิจที่ได้กลับคืนจากการลดความสูญเสียเมื่อเทียบกับเงินลงทุนเริ่มต้น (CapEx) และค่าใช้จ่ายดำเนินงาน (OpEx)</t>
        </is>
      </c>
      <c r="H7" s="26" t="inlineStr">
        <is>
          <t>ประเมินความเสี่ยงจากการพึ่งพาระบบคลาวด์เฉพาะ อะไหล่ผูกขาด หรือค่าธรรมเนียมรายปีที่ส่งผลกระทบต่องบประมาณระยะยาวและความยืดหยั่งของระบบ</t>
        </is>
      </c>
      <c r="I7" s="26" t="inlineStr">
        <is>
          <t>ประเมินความเพียงพอของงบประมาณสำรองสำหรับชิ้นส่วนที่อาจเสียหายระหว่างการทดสอบ (Burn-in/Debugging) ป้องกันโครงการหยุดชะงักเมื่ออุปกรณ์เสียหาย</t>
        </is>
      </c>
      <c r="J7" s="26" t="inlineStr">
        <is>
          <t>ประเมินความเสี่ยงต่อการละเมิดกฎหมาย พ.ร.บ. คุ้มครองข้อมูลส่วนบุคคล (PDPA) การรบกวนสัญญาณคลื่นวิทยุ (กสทช.) หรือการติดตั้งที่กีดขวางทางสัญจรและเสี่ยงต่ออันตรายสาธารณะ</t>
        </is>
      </c>
      <c r="K7" s="26" t="inlineStr">
        <is>
          <t>ประเมินข้อกำหนดด้านสัญญาอนุญาตสิทธิ์ (Software/Hardware Licenses) และความเสี่ยงต่อการละเมิดสิทธิบัตรหรือข้อจำกัดแบบไวรัสลิขสิทธิ์ (Viral Copyleft)</t>
        </is>
      </c>
      <c r="L7" s="26" t="inlineStr">
        <is>
          <t>ประเมินความรุนแรงของผลกระทบกรณีระบบล้มเหลว (System Failure) ต่อชีวิต ทรัพย์สิน และการปฏิบัติการฉุกเฉินของเจ้าหน้าที่ เพื่อป้องกันโหมดความล้มเหลวขั้นวิกฤต</t>
        </is>
      </c>
      <c r="M7" s="26" t="inlineStr">
        <is>
          <t>ประเมินแรงต้านทานในการเปลี่ยนแปลงขั้นตอนการทำงานของผู้ปฏิบัติงาน (Operational Resistance) และภาระงานเอกสารหรือการฝึกอบรมที่เพิ่มขึ้น</t>
        </is>
      </c>
      <c r="N7" s="26" t="inlineStr">
        <is>
          <t>ประเมินขั้นตอนความยุ่งยากทางธุรการ การขออนุญาตเข้าใช้สถานที่ และการเข้าถึงอุปกรณ์เครื่องมือในการพัฒนาว่ามีความคล่องตัวหรือถูกปิดกั้น</t>
        </is>
      </c>
      <c r="O7" s="26" t="inlineStr">
        <is>
          <t>ประเมินจำนวนขั้นตอนและความเปราะบางของกระบวนการบิวด์ ติดตั้ง และทดสอบระบบ เพื่อลดโอกาสเกิดข้อผิดพลาดจากมนุษย์ (Human Error)</t>
        </is>
      </c>
      <c r="P7" s="26" t="inlineStr">
        <is>
          <t>ประเมินความสมบูรณ์ของแบบวิศวกรรม (CAD, Schematics, PCB Gerber, Firmware) เทียบกับกรอบเวลา 5 สัปดาห์ทำการก่อนช่วงสอบและการส่งมอบชิ้นงาน</t>
        </is>
      </c>
      <c r="Q7" s="26" t="inlineStr">
        <is>
          <t>ประเมินว่าโครงการสร้างผลกระทบที่วัดผลได้จริงในการลดความสูญเสียจากภัยพิบัติหรือฟื้นฟูเมือง หรือเป็นเพียงข้ออ้างด้านความยั่งยืนเชิงสัญลักษณ์</t>
        </is>
      </c>
      <c r="R7" s="26" t="inlineStr">
        <is>
          <t>ประเมินวงจรชีวิตของอุปกรณ์ การปลดปล่อยสารพิษ ปัญหาขยะอิเล็กทรอนิกส์ (E-Waste) และการหลุดรอดของสารเคมีลงสู่แหล่งน้ำสาธารณะ</t>
        </is>
      </c>
      <c r="S7" s="26" t="inlineStr">
        <is>
          <t>ประเมินความโปร่งใสของตรรกะการตัดสินใจและเกณฑ์การตัดคัดกรองเคส เพื่อป้องกันการเลือกปฏิบัติหรือการเพิกเฉยต่อพื้นที่ชุมชนเปราะบาง</t>
        </is>
      </c>
      <c r="T7" s="27" t="inlineStr">
        <is>
          <t>สังเคราะห์จาก AI Agents Group 2</t>
        </is>
      </c>
    </row>
    <row r="8" ht="150" customHeight="1">
      <c r="A8" s="23" t="inlineStr">
        <is>
          <t>เกณฑ์การให้คะแนน (Scoring Rubric Definition: ระดับ 1, 2, 3, 4, 5 ครบทุกระดับ)</t>
        </is>
      </c>
      <c r="B8" s="26" t="inlineStr">
        <is>
          <t>1: Build from Scratch (100% custom R&amp;D required; custom mechanism, bare-metal schematics, custom algorithm derivation; no reference designs or libraries exist)
2: Heavy Customization (Core components exist, but requires extensive custom adaptation, structural machining, and custom wrapper code)
3: Hybrid / COTS Integration (Standard off-the-shelf breakout boards and modules assembled with custom brackets, intermediate wiring, and glue code)
4: Modular COTS Assembly (Pre-engineered building blocks with standard mounting and standard communication buses e.g. DIN-rail modules, I2C/CAN shields; minimal custom fabrication)
5: Buy and Use / COTS (Buy and deploy directly out of the box / Plug-and-Play; zero mechanical or electrical fabrication required)</t>
        </is>
      </c>
      <c r="C8" s="26" t="inlineStr">
        <is>
          <t>1: Strictly Restricted (Proprietary stack under NDA, locked enterprise firewalls, or unavailable developer licenses)
2: Limited Access (Closed binary blobs or third-party proprietary firmware; black-box operation with zero telemetry or source code)
3: Request-Based Access (Educational/evaluation tier with strict rate limits or quotas; requires formal request or approval delays)
4: Open Developer Access (Free public SDKs, full documentation, and open developer APIs, but core low-level architecture cannot be modified)
5: Full-Stack Access (Fully open source with permissive license and open hardware; team has root/admin rights to inspect, modify, and deploy as both user and developer)</t>
        </is>
      </c>
      <c r="D8" s="26" t="inlineStr">
        <is>
          <t>1: Proof of Concept (TRL 2–3: Bench breadboard, simulation, or pure mathematical model; verified only in controlled laboratory conditions)
2: Functional Breadboard (TRL 4: Integrated components working together in a lab; fragile wiring, uncalibrated for harsh field environments)
3: Alpha Prototype (TRL 5–6: Enclosed prototype tested in a relevant simulated environment; operational, but requires human supervision)
4: Beta / Field-Proven (TRL 7: Pre-production hardware operating reliably in the actual operating environment under real-world stress)
5: Commercial Product (TRL 8–9: Fully certified, production-grade commercial product with documented MTBF and mass field reliability)</t>
        </is>
      </c>
      <c r="E8" s="26" t="inlineStr">
        <is>
          <t>1: Single Point of Failure / SPOF (Only 1 person has the required skill; if they are unavailable, subsystem development halts 100%)
2: Solo Lead with Minimal Backup (1 core developer; 1 teammate understands basic concepts but cannot debug code or fix hardware alone)
3: Primary + Secondary Pair (1 primary lead and 1 competent secondary backup who can maintain, troubleshoot, and push updates)
4: Broad Competence (3+ teammates can actively design, assemble, and debug the subsystem with minimal ramp-up time)
5: Full Team Redundancy (All team members are fully proficient; tasks can be swapped across anyone with zero friction or velocity loss)</t>
        </is>
      </c>
      <c r="F8" s="26" t="inlineStr">
        <is>
          <t>1: Total Reset (Every step requires learning completely unfamiliar tools, languages, and hardware from scratch with zero prior baseline)
2: Steep Learning Curve (High theoretical understanding, but zero hands-on experience; debugging basic syntax or wiring stalls progress)
3: Moderate Ramp-up (Proven adjacent mastery e.g. Arduino/ESP32 moving to STM32, or SolidWorks to Fusion 360; manageable 1-week curve)
4: Minor Adaptation (Familiar tech stack; only requires learning a specific minor library, sensor API, or configuration syntax)
5: Zero Learning Curve (Team can deploy verified past code, existing toolchains, and established muscle memory directly; no new learning required)</t>
        </is>
      </c>
      <c r="G8" s="26" t="inlineStr">
        <is>
          <t>1: Long Payback (&gt;= 10 Years: High initial CapEx with minimal recurring savings; economically non-viable for rapid deployment)
2: Slow Return (6–9 Years: Substantial capital investment with a long break-even horizon; requires long-term subsidization)
3: Moderate Return (3–5 Years: Reasonable public infrastructure payback; offsets costs across multi-year operational cycles)
4: Fast Return (2–3 Years: Strong operational cost reduction in fuel, labor, scrap; breaks even within normal equipment lifecycle)
5: Immediate Payback (&lt;= 1–2 Years: Rapid break-even; eliminates major recurring operational losses within the first operating season)</t>
        </is>
      </c>
      <c r="H8" s="26" t="inlineStr">
        <is>
          <t>1: Total Vendor Lock-in (100% dependent on proprietary cloud backend, encrypted telemetry, and single-source proprietary connectors)
2: High Dependency (Hardware requires vendor-licensed diagnostic tools or annual subscription fees to maintain operation)
3: Semi-Independent (Core hardware relies on proprietary firmware, but allows open API export and standard electrical interfaces)
4: High Autonomy (Uses standard open communication protocols e.g. Modbus, MQTT, CAN; parts can be serviced using generic tools)
5: Complete Independence (100% open architecture; hardware is interchangeable with generic substitutes; self-serviceable by any engineer)</t>
        </is>
      </c>
      <c r="I8" s="26" t="inlineStr">
        <is>
          <t>1: Zero Buffer (0%: Exactly 1x BOM purchased; any fried chip, cracked bracket, or wiring mistake halts the project)
2: Fragile Buffer (20–30%: Spares only for passive components; no backup microcontrollers or expensive sensors)
3: Moderate Buffer (50%: Spares for all critical passive parts and 1 spare for the primary controller board)
4: High Buffer (80%: Spares for nearly every active component and sensor; can sustain multiple prototype burn-ins)
5: Full Redundancy (&gt;= 100%: Complete 2x BOM budget on hand; can build two complete working units simultaneously)</t>
        </is>
      </c>
      <c r="J8" s="26" t="inlineStr">
        <is>
          <t>1: Severe Violation / No Privilege (Direct breach of statutory law e.g. unconsented public surveillance/PDPA, hazardous road blockage, illegal RF transmission)
2: High Legal Exposure (Ambiguous legal zone; high risk of civic complaints or traffic disruption; requires complex technical waivers)
3: Conditional / Requires Permit (Permitted strictly under formal written approval, official agency MoU, or municipal permits)
4: Low Legal Friction (Operates within standard public engineering exemptions; simple standard notification/safety compliance needed)
5: 100% Free Domain (Fully exempt from statutory licensing; zero public safety risk, zero personal data/Zero PII, fully unrestricted)</t>
        </is>
      </c>
      <c r="K8" s="26" t="inlineStr">
        <is>
          <t>1: Closed Commercial Barrier (Proprietary commercial license; cannot compile, flash, or operate without paying expensive commercial seat licenses)
2: Ambiguous / Gray IP (Unclear licensing terms or unlicensed public repos; risk of copyright strike or IP dispute upon public demonstration)
3: Restrictive Open Source / Copyleft (Permitted for educational use, but viral licenses e.g. GPLv3 force your entire codebase to be made public if distributed)
4: Permissive Open Source (Open source with minimal conditions e.g. LGPL, CC-BY; allows proprietary wrapping with simple attribution)
5: Completely Permissive / Public Domain (Permissive open source e.g. MIT, Apache 2.0, BSD or Public Domain; unrestricted freedom to commercialize, modify, and contribute)</t>
        </is>
      </c>
      <c r="L8" s="26" t="inlineStr">
        <is>
          <t>1: Life-Threatening (Failure causes electrocution, fire, traffic collisions, toxic chemical exposure, or structural collapse)
2: Severe Physical Hazard (Equipment destroys itself, causes acute environmental contamination, or halts major emergency infrastructure)
3: Chaotic Response from User (Panic, operational deadlock, conflicting manual dispatches, and severe operational confusion)
4: Minor Operational Delay (System trips safely; requires a manual reboot or standard fallback procedure; no safety risk or chaos)
5: Benign Budget Loss Only (Failure causes zero human or operational harm; results only in minor, easily absorbed component/battery replacement costs)</t>
        </is>
      </c>
      <c r="M8" s="26" t="inlineStr">
        <is>
          <t>1: Disruptive Overhaul (Forces operators to abandon existing standard procedures, adds 5+ extra tedious forms, and faces active user rejection)
2: High Friction (Adds notable extra documentation or redundant verification steps; operators will actively look for ways to bypass it)
3: Moderate Adaptation (Modifies daily routines slightly; requires 1–2 training sessions, but delivers clear operational trade-offs)
4: Low Friction (Integrates directly into existing tools e.g. sends alerts to existing LINE/Telegram or ticketing dashboard; minimal habit changes)
5: Smooth Transient Operation (Zero workflow disruption; runs transparently in the background and automates existing manual paperwork seamlessly)</t>
        </is>
      </c>
      <c r="N8" s="26" t="inlineStr">
        <is>
          <t>1: Heavy Gatekeeping (Blocked by supervisor approvals, locked lab cabinets, NDA signatures, purchasing bureaucracy, and restricted git branches)
2: Moderate Bureaucracy (Requires departmental request forms, tool booking queues, and waiting 3–5 days for administrative sign-offs)
3: Standard Campus Access (Workable access during university open hours; minor approval delays for specialized equipment or lab keys)
4: High Autonomy (Team has full repository write access, open 24/7 lab entry, and pre-approved discretionary stipends for rapid purchases)
5: Frictionless Contribution (Complete autonomy; decentralized cloud CI/CD, local prototyping tools at home/bench, zero administrative blockers)</t>
        </is>
      </c>
      <c r="O8" s="26" t="inlineStr">
        <is>
          <t>1: Highly Convoluted (Dozens of fragile build steps, complex toolchain dependencies, and high probability of human error during setup)
2: High Complexity (Multi-stage manual toolchains; frequent dependency conflicts and difficult multi-board flashing procedures)
3: Moderate Complexity (Standard multi-step build/assembly pipeline; manageable and repeatable when following a documented checklist)
4: Low Complexity (Straightforward workflow using automated build scripts, standard IDEs, or single-command flashing)
5: Simple &amp; Direct (Plug-and-play, 1-step linear workflow; idiot-proof setup requiring zero multi-stage manual configuration)</t>
        </is>
      </c>
      <c r="P8" s="26" t="inlineStr">
        <is>
          <t>1: Concept Only (0% Design: Napkin sketches and verbal ideas; 0% CAD models, 0% schematics, 0% firmware written)
2: Rough Drafts (25% Design: Preliminary block diagrams, hand-drawn schematics, unverified parts list, rough 3D bounding boxes)
3: Intermediate Maturity (50% Design: Complete CAD assembly with untested clearances, schematic capture complete, draft firmware architecture mapped)
4: Pre-Production (75–80% Design: Detailed 3D CAD ready for 3D print/CNC, routed PCB Gerber files verified with DRC, pinouts locked down)
5: Fully Engineered Design (100% Production Ready: Complete manufacturing package: verified Gerbers, mechanical tolerance drawings, locked BOM, and flashing scripts ready)</t>
        </is>
      </c>
      <c r="Q8" s="26" t="inlineStr">
        <is>
          <t>1: Pure Buzzword / Greenwashing (Claims sustainability benefits with zero data, zero measurable effect, and solves no real municipal problem)
2: Superficial Correlation (Indirect impact; functions only as an isolated school demo with no realistic way to measure damage prevention)
3: Localized Proof (Delivers a measurable, verified benefit e.g. cuts response time or drops localized temperature on a single test strip, but lacks a scaling model)
4: District-Level Viability (Clear pathway to protect municipal infrastructure or reduce public losses across multiple roads/alleys during extreme weather)
5: Systemic City Resilience (Backed by concrete empirical data showing significant reduction in public economic losses, vehicle damage, or human hazard)</t>
        </is>
      </c>
      <c r="R8" s="26" t="inlineStr">
        <is>
          <t>1: Toxic Field Hazard (Enclosure degrades under UV, or unsealed batteries leak toxic chemicals and detach into the urban drainage network as marine litter)
2: Fragile Disposable Tech (Short operational lifespan; sensors foul or corrode within 2–3 weeks and are abandoned because retrieval is impractical)
3: Standard Field Footprint (Requires periodic battery replacement and creates standard electronic scrap, but uses basic tethering to prevent total hardware loss)
4: Low-Impact Enclosure (Solar-trickle or long-life low-power architecture; uses recyclable casing and redundant physical tethers e.g. dual stainless lanyards)
5: Fully Circular &amp; Zero Footprint (100% fail-safe retrieval design; uses non-toxic materials, consumes minimal public resources, and leaves zero field trace)</t>
        </is>
      </c>
      <c r="S8" s="26" t="inlineStr">
        <is>
          <t>1: Opaque Black Box (Proprietary or unexplained threshold that cancels dispatches or alters public services with zero explanation, risking neglect of vulnerable areas)
2: Ambiguous Logic (Decision rules are buried in messy heuristic code; field operators cannot explain to a citizen why an alert was triggered or suppressed)
3: Documented Internal Rules (Logic is documented on paper for engineers, but has no public audit trail or clear appeal mechanism if the sensor misreads)
4: Open Empirical Standards (Decisions are driven by transparent physical equations applied equally across all city zones)
5: 100% Auditable &amp; Equitable (Full tamper-evident digital audit trail; open logic accessible to officials and citizens, guaranteeing equal public protection regardless of district wealth)</t>
        </is>
      </c>
      <c r="T8" s="27" t="inlineStr">
        <is>
          <t>เกณฑ์รวม: &gt;=80 ผ่านสูง, &gt;=60 มีเงื่อนไข, &lt;60 เสี่ยงสูง | หากมีข้อใดได้ 1 = VETOED ตกเกณฑ์ทันที</t>
        </is>
      </c>
    </row>
    <row r="9" ht="36" customHeight="1">
      <c r="A9" s="28" t="inlineStr">
        <is>
          <t>คะแนนที่ได้รับ (ASSIGNED SCORE: 1, 2, 3, 4, 5 STRICT INTEGER)</t>
        </is>
      </c>
      <c r="B9" s="29" t="n">
        <v>3</v>
      </c>
      <c r="C9" s="29" t="n">
        <v>4</v>
      </c>
      <c r="D9" s="29" t="n">
        <v>2</v>
      </c>
      <c r="E9" s="29" t="n">
        <v>3</v>
      </c>
      <c r="F9" s="29" t="n">
        <v>2</v>
      </c>
      <c r="G9" s="29" t="n">
        <v>4</v>
      </c>
      <c r="H9" s="29" t="n">
        <v>4</v>
      </c>
      <c r="I9" s="29" t="n">
        <v>3</v>
      </c>
      <c r="J9" s="29" t="n">
        <v>3</v>
      </c>
      <c r="K9" s="29" t="n">
        <v>3</v>
      </c>
      <c r="L9" s="29" t="n">
        <v>4</v>
      </c>
      <c r="M9" s="29" t="n">
        <v>4</v>
      </c>
      <c r="N9" s="29" t="n">
        <v>3</v>
      </c>
      <c r="O9" s="29" t="n">
        <v>3</v>
      </c>
      <c r="P9" s="29" t="n">
        <v>3</v>
      </c>
      <c r="Q9" s="29" t="n">
        <v>4</v>
      </c>
      <c r="R9" s="29" t="n">
        <v>5</v>
      </c>
      <c r="S9" s="29" t="n">
        <v>4</v>
      </c>
      <c r="T9" s="30">
        <f>IF(T10&gt;0, (T11/T10)*20, 0)</f>
        <v/>
      </c>
    </row>
    <row r="10" ht="22" customHeight="1">
      <c r="A10" s="23" t="inlineStr">
        <is>
          <t>ค่าน้ำหนัก (Weight %)</t>
        </is>
      </c>
      <c r="B10" s="31" t="n">
        <v>0.04</v>
      </c>
      <c r="C10" s="31" t="n">
        <v>0.04</v>
      </c>
      <c r="D10" s="31" t="n">
        <v>0.04</v>
      </c>
      <c r="E10" s="31" t="n">
        <v>0.04</v>
      </c>
      <c r="F10" s="31" t="n">
        <v>0.04</v>
      </c>
      <c r="G10" s="31" t="n">
        <v>0.0667</v>
      </c>
      <c r="H10" s="31" t="n">
        <v>0.0667</v>
      </c>
      <c r="I10" s="31" t="n">
        <v>0.06660000000000001</v>
      </c>
      <c r="J10" s="31" t="n">
        <v>0.075</v>
      </c>
      <c r="K10" s="31" t="n">
        <v>0.075</v>
      </c>
      <c r="L10" s="31" t="n">
        <v>0.05</v>
      </c>
      <c r="M10" s="31" t="n">
        <v>0.05</v>
      </c>
      <c r="N10" s="31" t="n">
        <v>0.05</v>
      </c>
      <c r="O10" s="31" t="n">
        <v>0.05</v>
      </c>
      <c r="P10" s="31" t="n">
        <v>0.15</v>
      </c>
      <c r="Q10" s="31" t="n">
        <v>0.0333</v>
      </c>
      <c r="R10" s="31" t="n">
        <v>0.0333</v>
      </c>
      <c r="S10" s="31" t="n">
        <v>0.0334</v>
      </c>
      <c r="T10" s="31">
        <f>SUM(B10:S10)</f>
        <v/>
      </c>
    </row>
    <row r="11" ht="24" customHeight="1">
      <c r="A11" s="23" t="inlineStr">
        <is>
          <t>คะแนนถ่วงน้ำหนัก (=Score * Weight)</t>
        </is>
      </c>
      <c r="B11" s="32">
        <f>B9*B10</f>
        <v/>
      </c>
      <c r="C11" s="32">
        <f>C9*C10</f>
        <v/>
      </c>
      <c r="D11" s="32">
        <f>D9*D10</f>
        <v/>
      </c>
      <c r="E11" s="32">
        <f>E9*E10</f>
        <v/>
      </c>
      <c r="F11" s="32">
        <f>F9*F10</f>
        <v/>
      </c>
      <c r="G11" s="32">
        <f>G9*G10</f>
        <v/>
      </c>
      <c r="H11" s="32">
        <f>H9*H10</f>
        <v/>
      </c>
      <c r="I11" s="32">
        <f>I9*I10</f>
        <v/>
      </c>
      <c r="J11" s="32">
        <f>J9*J10</f>
        <v/>
      </c>
      <c r="K11" s="32">
        <f>K9*K10</f>
        <v/>
      </c>
      <c r="L11" s="32">
        <f>L9*L10</f>
        <v/>
      </c>
      <c r="M11" s="32">
        <f>M9*M10</f>
        <v/>
      </c>
      <c r="N11" s="32">
        <f>N9*N10</f>
        <v/>
      </c>
      <c r="O11" s="32">
        <f>O9*O10</f>
        <v/>
      </c>
      <c r="P11" s="32">
        <f>P9*P10</f>
        <v/>
      </c>
      <c r="Q11" s="32">
        <f>Q9*Q10</f>
        <v/>
      </c>
      <c r="R11" s="32">
        <f>R9*R10</f>
        <v/>
      </c>
      <c r="S11" s="32">
        <f>S9*S10</f>
        <v/>
      </c>
      <c r="T11" s="32">
        <f>SUM(B11:S11)</f>
        <v/>
      </c>
    </row>
    <row r="12" ht="115" customHeight="1">
      <c r="A12" s="23" t="inlineStr">
        <is>
          <t>คำอธิบาย &amp; หลักฐานอ้างอิงจากไฟล์ Intake (Evidence Citation)</t>
        </is>
      </c>
      <c r="B12" s="26" t="inlineStr">
        <is>
          <t>solution-2.md ส่วน Operation flow ต้องประกอบชุด Transmitter และ Receiver ก้านหย่อน และวงจรวิเคราะห์สัญญาณเสียง (Hybrid Integration)</t>
        </is>
      </c>
      <c r="C12" s="26" t="inlineStr">
        <is>
          <t>solution-2.md ใช้หลักการ Airborne Acoustic Reflectometry และการกรองสัญญาณ เป็นหลักฟิสิกส์เปิดที่ทีมพัฒนาโค้ดประมวลผลได้เอง</t>
        </is>
      </c>
      <c r="D12" s="26" t="inlineStr">
        <is>
          <t>solution-2.md Weak point ระบุว่า 'Can’t use in water in pipe situation' แต่ท่อ กทม. มีน้ำขังตลอดเวลา อยู่ในระดับ Functional Breadboard (TRL 4)</t>
        </is>
      </c>
      <c r="E12" s="26" t="inlineStr">
        <is>
          <t>due.md (ระบบเสียง/แอมป์ MAX98357), fifa.md (โครงสร้างก้านหย่อน), jk.md (ฟิสิกส์คลื่น/การคำนวณ) มีทีมงานหลัก 3 คน</t>
        </is>
      </c>
      <c r="F12" s="26" t="inlineStr">
        <is>
          <t>solution-2.md การสร้างภาพตัดขวาง 2D ของท่อจากการลดทอนของพลังงานเสียงในอากาศเป็นทฤษฎีใหม่ที่ทีมไม่มีประสบการณ์ตรง (Steep Curve)</t>
        </is>
      </c>
      <c r="G12" s="26" t="inlineStr">
        <is>
          <t>solution-2.md ช่วยคัดกรองสภาพท่อได้อย่างรวดเร็ว ลดการส่งรถดูดเลนไปล้างท่อที่ไม่ตัน ประหยัดงบประมาณบำรุงรักษา คืนทุนใน 2-3 ปี</t>
        </is>
      </c>
      <c r="H12" s="26" t="inlineStr">
        <is>
          <t>solution-2.md หัวส่งสัญญาณ ตัวรับสัญญาณ และอุปกรณ์ประมวลผลสามารถหาซื้อได้ทั่วไป ไม่ผูกขาดกับผู้ผลิตรายเดียว</t>
        </is>
      </c>
      <c r="I12" s="26" t="inlineStr">
        <is>
          <t>solution-2.md การหย่อนอุปกรณ์ลงในบ่อพักน้ำมีความเสี่ยงต่อความชื้นและน้ำกระเด็น งบประมาณสำรองชิ้นส่วนรองรับที่ 50%</t>
        </is>
      </c>
      <c r="J12" s="26" t="inlineStr">
        <is>
          <t>solution-2.md การเปิดฝาท่อพักน้ำเพื่อวางตัวรับ-ส่งสัญญาณบนทางเท้า ต้องขออนุญาตสำนักงานเขตและวางกรวยกั้นความปลอดภัยจราจร</t>
        </is>
      </c>
      <c r="K12" s="26" t="inlineStr">
        <is>
          <t>solution-2.md ระบบตรวจวัดด้วยเสียงในท่อมีสิทธิบัตรคุ้มครองของ SL-RAT ในต่างประเทศ ทำเพื่อการศึกษาได้แต่ต้องระวังหากผลิตเชิงพาณิชย์</t>
        </is>
      </c>
      <c r="L12" s="26" t="inlineStr">
        <is>
          <t>solution-2.md ปฏิบัติงานจากผิวทางเท้าโดยไม่ต้องมุดลงไปในท่อระบายน้ำ หากอุปกรณ์ขัดข้องไม่ส่งผลกระทบต่อความปลอดภัยของมนุษย์</t>
        </is>
      </c>
      <c r="M12" s="26" t="inlineStr">
        <is>
          <t>solution-2.md แสดงผลเป็นภาพตัดขวาง 2D และจำแนก Good/Bad เข้าใจง่าย สอดคล้องกับความต้องการของฝ่ายวางแผนจัดคิวลอกท่อ</t>
        </is>
      </c>
      <c r="N12" s="26" t="inlineStr">
        <is>
          <t>solution-2.md ต้องขออนุญาตเข้าใช้สถานที่ทดสอบท่อระบายน้ำจำลองในมหาวิทยาลัยเพื่อสอบเทียบค่าการลดทอนของเสียง</t>
        </is>
      </c>
      <c r="O12" s="26" t="inlineStr">
        <is>
          <t>solution-2.md มีขั้นตอนการตั้งค่าความถี่เสียง การตัดสัญญาณรบกวน และการจัดแนวหัวส่ง-รับให้ตรงกันในท่อ</t>
        </is>
      </c>
      <c r="P12" s="26" t="inlineStr">
        <is>
          <t>schedule.md สามารถสร้างต้นแบบกระบอกส่ง-รับสัญญาณเสียงและโค้ดวิเคราะห์ระดับ TRL 3 ได้ใน 5 สัปดาห์ก่อนสอบ</t>
        </is>
      </c>
      <c r="Q12" s="26" t="inlineStr">
        <is>
          <t>solution-2.md ช่วยสนับสนุนการทำแผนที่ท่อระบายน้ำและวางแผนซ่อมบำรุงเชิงรุก ลดความเสี่ยงน้ำท่วมเมืองตาม SDG 11.5</t>
        </is>
      </c>
      <c r="R12" s="26" t="inlineStr">
        <is>
          <t>solution-2.md เครื่องมือติดอยู่กับก้านหย่อน ไม่ทิ้งอุปกรณ์หรือสารเคมีไว้ในท่อระบายน้ำ ปลอดภัยต่อสิ่งแวดล้อม 100%</t>
        </is>
      </c>
      <c r="S12" s="26" t="inlineStr">
        <is>
          <t>solution-2.md ประเมินจากค่าการลดทอนของพลังงานเสียงตามหลักฟิสิกส์ โปร่งใส ขจัดปัญหาการใช้ดุลยพินิจส่วนบุคคล</t>
        </is>
      </c>
      <c r="T12" s="33">
        <f>IF(MIN(B9:S9)=1, "VETOED / ตกเกณฑ์ข้อบังคับวิกฤต (คะแนนระดับ 1)", IF(T9&gt;=80, "ผ่านเกณฑ์ระดับสูง (HIGHLY VIABLE)", IF(T9&gt;=60, "ผ่านแบบมีเงื่อนไข (CONDITIONALLY VIABLE)", "ความเสี่ยงสูง (HIGH RISK)")))</f>
        <v/>
      </c>
    </row>
    <row r="13" ht="70" customHeight="1">
      <c r="A13" s="23" t="inlineStr">
        <is>
          <t>แผนลดขอบเขตงาน &amp; มาตรการลดความเสี่ยง (De-scoping Action)</t>
        </is>
      </c>
      <c r="B13" s="26" t="inlineStr">
        <is>
          <t>ใช้โมดูลลำโพงและไมโครโฟน COTS ประกบกับก้านวัดสำเร็จรูป</t>
        </is>
      </c>
      <c r="C13" s="26" t="inlineStr">
        <is>
          <t>เขียนเฟิร์มแวร์วิเคราะห์สัญญาณเสียงสะท้อนด้วย C/C++ บน ESP32</t>
        </is>
      </c>
      <c r="D13" s="26" t="inlineStr">
        <is>
          <t>ทดสอบในท่อคอนกรีตจำลองที่มีระดับน้ำขังและความชื้นสูงเพื่อหาข้อจำกัด</t>
        </is>
      </c>
      <c r="E13" s="26" t="inlineStr">
        <is>
          <t>Due ดูแลวงจรกำเนิดและรับเสียง, Fifa ดูแลงานกลไก, JK คำนวณการลดทอนของคลื่น</t>
        </is>
      </c>
      <c r="F13" s="26" t="inlineStr">
        <is>
          <t>ปรึกษาอาจารย์ภาควิชาฟิสิกส์/วิศวกรรมเรื่อง Acoustic Attenuation</t>
        </is>
      </c>
      <c r="G13" s="26" t="inlineStr">
        <is>
          <t>ทำตารางเปรียบเทียบค่าใช้จ่ายการตรวจด้วยเสียงเทียบกับการใช้กล้องมุดท่อ</t>
        </is>
      </c>
      <c r="H13" s="26" t="inlineStr">
        <is>
          <t>เลือกลำโพงและไมโครโฟนเกรดกันน้ำที่มีจำหน่ายแพร่หลาย</t>
        </is>
      </c>
      <c r="I13" s="26" t="inlineStr">
        <is>
          <t>จัดซื้อหัวไมโครโฟนและทรานสดิวเซอร์สำรองอย่างน้อย 1 ชุด</t>
        </is>
      </c>
      <c r="J13" s="26" t="inlineStr">
        <is>
          <t>ทำหนังสือขออนุญาตลงพื้นที่และจัดเตรียมกรวยจราจรสะท้อนแสง</t>
        </is>
      </c>
      <c r="K13" s="26" t="inlineStr">
        <is>
          <t>ศึกษารายละเอียดสิทธิบัตรเพื่อหลีกเลี่ยงการละเมิดกระบวนการเฉพาะ</t>
        </is>
      </c>
      <c r="L13" s="26" t="inlineStr">
        <is>
          <t>กำหนดแนวทางปฏิบัติห้ามเจ้าหน้าที่ลงไปในท่อระบายน้ำโดยเด็ดขาด</t>
        </is>
      </c>
      <c r="M13" s="26" t="inlineStr">
        <is>
          <t>ออกแบบหน้าจอสรุปผลบนสมาร์ตโฟนแสดงผลแถบสี เขียว-เหลือง-แดง</t>
        </is>
      </c>
      <c r="N13" s="26" t="inlineStr">
        <is>
          <t>ติดต่อห้องปฏิบัติการสิ่งแวดล้อมเพื่อขอใช้ท่อทดสอบ</t>
        </is>
      </c>
      <c r="O13" s="26" t="inlineStr">
        <is>
          <t>ทำเครื่องหมายล็อกตำแหน่งบนก้านหย่อนเพื่อความแม่นยำในการวางตำแหน่ง</t>
        </is>
      </c>
      <c r="P13" s="26" t="inlineStr">
        <is>
          <t>ขึ้นรูปเคส 3D Print สำหรับยึดลำโพงและไมโครโฟนให้เสร็จในสัปดาห์ที่ 11</t>
        </is>
      </c>
      <c r="Q13" s="26" t="inlineStr">
        <is>
          <t>นำร่องตรวจประเมินท่อระบายน้ำรอบมหาวิทยาลัยเพื่อสร้างฐานข้อมูลตัวอย่าง</t>
        </is>
      </c>
      <c r="R13" s="26" t="inlineStr">
        <is>
          <t>ใช้วัสดุก้านหย่อนที่ทนทานและเช็ดทำความสะอาดได้ง่าย</t>
        </is>
      </c>
      <c r="S13" s="26" t="inlineStr">
        <is>
          <t>แสดงค่ากราฟการลดทอนของคลื่นเสียงเป็นหลักฐานประกอบทุกรายงาน</t>
        </is>
      </c>
      <c r="T13" s="25" t="inlineStr">
        <is>
          <t>ปฏิบัติตามแผนลดขอบเขตงาน (De-scoping Advisory)</t>
        </is>
      </c>
    </row>
    <row r="14" ht="15" customHeight="1"/>
    <row r="15" ht="26" customHeight="1">
      <c r="A15" s="19" t="inlineStr">
        <is>
          <t>ตารางสรุปคะแนนแยกตามมิติ TELOS+S (Pillar Score Breakdown)</t>
        </is>
      </c>
    </row>
    <row r="16" ht="24" customHeight="1">
      <c r="A16" s="34" t="inlineStr">
        <is>
          <t>มิติการประเมิน (TELOS+S Pillar)</t>
        </is>
      </c>
      <c r="B16" s="34" t="inlineStr">
        <is>
          <t>สัดส่วนน้ำหนัก (Weight %)</t>
        </is>
      </c>
      <c r="C16" s="34" t="inlineStr">
        <is>
          <t>คะแนนเต็มมิติ (Max Points)</t>
        </is>
      </c>
      <c r="D16" s="34" t="inlineStr">
        <is>
          <t>คะแนนที่ได้รับจริง (Earned Points)</t>
        </is>
      </c>
      <c r="E16" s="34" t="inlineStr">
        <is>
          <t>คะแนนเฉลี่ย (Score 1-5)</t>
        </is>
      </c>
      <c r="F16" s="34" t="inlineStr">
        <is>
          <t>ระดับความพร้อม (Readiness Level)</t>
        </is>
      </c>
    </row>
    <row r="17" ht="22" customHeight="1">
      <c r="A17" s="35" t="inlineStr">
        <is>
          <t>T : ด้านเทคโนโลยีและวิศวกรรม (Technical)</t>
        </is>
      </c>
      <c r="B17" s="36" t="n">
        <v>0.2</v>
      </c>
      <c r="C17" s="37" t="n">
        <v>20</v>
      </c>
      <c r="D17" s="38">
        <f>SUM(B11:F11)*20</f>
        <v/>
      </c>
      <c r="E17" s="39">
        <f>IF(C17&gt;0, (D17/C17)*5, 0)</f>
        <v/>
      </c>
      <c r="F17" s="25">
        <f>IF(D17&gt;=16.0, "พร้อมระดับสูง (High)", IF(D17&gt;=12.0, "ปานกลาง (Medium)", "เสี่ยงวิกฤต (Critical)"))</f>
        <v/>
      </c>
    </row>
    <row r="18" ht="22" customHeight="1">
      <c r="A18" s="35" t="inlineStr">
        <is>
          <t>E : ด้านเศรษฐศาสตร์และความคุ้มค่า (Economic)</t>
        </is>
      </c>
      <c r="B18" s="36" t="n">
        <v>0.2</v>
      </c>
      <c r="C18" s="37" t="n">
        <v>20</v>
      </c>
      <c r="D18" s="38">
        <f>SUM(G11:I11)*20</f>
        <v/>
      </c>
      <c r="E18" s="39">
        <f>IF(C18&gt;0, (D18/C18)*5, 0)</f>
        <v/>
      </c>
      <c r="F18" s="25">
        <f>IF(D18&gt;=16.0, "พร้อมระดับสูง (High)", IF(D18&gt;=12.0, "ปานกลาง (Medium)", "เสี่ยงวิกฤต (Critical)"))</f>
        <v/>
      </c>
    </row>
    <row r="19" ht="22" customHeight="1">
      <c r="A19" s="35" t="inlineStr">
        <is>
          <t>L : ด้านกฎหมาย ระเบียบ และภาคประชาชน (Legal &amp; Outreach)</t>
        </is>
      </c>
      <c r="B19" s="36" t="n">
        <v>0.15</v>
      </c>
      <c r="C19" s="37" t="n">
        <v>15</v>
      </c>
      <c r="D19" s="38">
        <f>SUM(J11:K11)*20</f>
        <v/>
      </c>
      <c r="E19" s="39">
        <f>IF(C19&gt;0, (D19/C19)*5, 0)</f>
        <v/>
      </c>
      <c r="F19" s="25">
        <f>IF(D19&gt;=12.0, "พร้อมระดับสูง (High)", IF(D19&gt;=9.0, "ปานกลาง (Medium)", "เสี่ยงวิกฤต (Critical)"))</f>
        <v/>
      </c>
    </row>
    <row r="20" ht="22" customHeight="1">
      <c r="A20" s="35" t="inlineStr">
        <is>
          <t>O : ด้านการปฏิบัติการและหน้างาน (Operational)</t>
        </is>
      </c>
      <c r="B20" s="36" t="n">
        <v>0.2</v>
      </c>
      <c r="C20" s="37" t="n">
        <v>20</v>
      </c>
      <c r="D20" s="38">
        <f>SUM(L11:O11)*20</f>
        <v/>
      </c>
      <c r="E20" s="39">
        <f>IF(C20&gt;0, (D20/C20)*5, 0)</f>
        <v/>
      </c>
      <c r="F20" s="25">
        <f>IF(D20&gt;=16.0, "พร้อมระดับสูง (High)", IF(D20&gt;=12.0, "ปานกลาง (Medium)", "เสี่ยงวิกฤต (Critical)"))</f>
        <v/>
      </c>
    </row>
    <row r="21" ht="22" customHeight="1">
      <c r="A21" s="35" t="inlineStr">
        <is>
          <t>S : ด้านแผนงานและเวลาส่งมอบ (Schedule)</t>
        </is>
      </c>
      <c r="B21" s="36" t="n">
        <v>0.15</v>
      </c>
      <c r="C21" s="37" t="n">
        <v>15</v>
      </c>
      <c r="D21" s="38">
        <f>P11*20</f>
        <v/>
      </c>
      <c r="E21" s="39">
        <f>IF(C21&gt;0, (D21/C21)*5, 0)</f>
        <v/>
      </c>
      <c r="F21" s="25">
        <f>IF(D21&gt;=12.0, "พร้อมระดับสูง (High)", IF(D21&gt;=9.0, "ปานกลาง (Medium)", "เสี่ยงวิกฤต (Critical)"))</f>
        <v/>
      </c>
    </row>
    <row r="22" ht="22" customHeight="1">
      <c r="A22" s="35" t="inlineStr">
        <is>
          <t>+S : ด้านความยั่งยืนและสิ่งแวดล้อม (Sustainability / SDG)</t>
        </is>
      </c>
      <c r="B22" s="36" t="n">
        <v>0.1</v>
      </c>
      <c r="C22" s="37" t="n">
        <v>10</v>
      </c>
      <c r="D22" s="38">
        <f>SUM(Q11:S11)*20</f>
        <v/>
      </c>
      <c r="E22" s="39">
        <f>IF(C22&gt;0, (D22/C22)*5, 0)</f>
        <v/>
      </c>
      <c r="F22" s="25">
        <f>IF(D22&gt;=8.0, "พร้อมระดับสูง (High)", IF(D22&gt;=6.0, "ปานกลาง (Medium)", "เสี่ยงวิกฤต (Critical)"))</f>
        <v/>
      </c>
    </row>
    <row r="23" ht="26" customHeight="1">
      <c r="A23" s="40" t="inlineStr">
        <is>
          <t>คะแนนรวมทุกมิติ (Total Feasibility Score)</t>
        </is>
      </c>
      <c r="B23" s="31">
        <f>SUM(B17:B22)</f>
        <v/>
      </c>
      <c r="C23" s="41">
        <f>SUM(C17:C22)</f>
        <v/>
      </c>
      <c r="D23" s="42">
        <f>SUM(D17:D22)</f>
        <v/>
      </c>
      <c r="E23" s="32">
        <f>IF(C23&gt;0, (D23/C23)*5, 0)</f>
        <v/>
      </c>
      <c r="F23" s="43">
        <f>IF(D23&gt;=80, "ผ่านเกณฑ์ระดับสูง (HIGHLY VIABLE)", IF(D23&gt;=60, "ผ่านแบบมีเงื่อนไข (CONDITIONALLY VIABLE)", "ความเสี่ยงสูง (HIGH RISK)"))</f>
        <v/>
      </c>
    </row>
    <row r="24" ht="12" customHeight="1"/>
    <row r="25" ht="26" customHeight="1">
      <c r="A25" s="19" t="inlineStr">
        <is>
          <t>เมทริกซ์ประเมินความเข้ากันได้กับองค์ความรู้ด้านวิศวกรรมหุ่นยนต์ (Robotics Knowledge Compatibility)</t>
        </is>
      </c>
    </row>
    <row r="26" ht="22" customHeight="1">
      <c r="A26" s="20" t="inlineStr">
        <is>
          <t>* หมายเหตุ: การประเมินส่วนนี้วัดศักยภาพในการประยุกต์ใช้องค์ความรู้ด้านวิศวกรรมหุ่นยนต์ (Perception, Control, Actuation, Mechatronics) เต็ม 10 คะแนน | เป็นเอกเทศ ไม่นับรวมในคะแนน TELOS 100 คะแนน</t>
        </is>
      </c>
    </row>
    <row r="27" ht="24" customHeight="1">
      <c r="A27" s="44" t="inlineStr">
        <is>
          <t>มิติการประเมิน (Robotics Dimension)</t>
        </is>
      </c>
      <c r="B27" s="44" t="inlineStr">
        <is>
          <t>คะแนนศักยภาพ (/10)</t>
        </is>
      </c>
      <c r="C27" s="44" t="inlineStr">
        <is>
          <t>แกน Perception &amp; Sensing (การรับรู้)</t>
        </is>
      </c>
      <c r="D27" s="44" t="inlineStr">
        <is>
          <t>แกน Control &amp; Algorithms (การควบคุม)</t>
        </is>
      </c>
      <c r="E27" s="44" t="inlineStr">
        <is>
          <t>แกน Actuation &amp; Mechanisms (กลไก)</t>
        </is>
      </c>
      <c r="F27" s="44" t="inlineStr">
        <is>
          <t>บทวิเคราะห์เชิงวิศวกรรมหุ่นยนต์ (FIBO Alignment Rationale)</t>
        </is>
      </c>
    </row>
    <row r="28" ht="95" customHeight="1">
      <c r="A28" s="45" t="inlineStr">
        <is>
          <t>ศักยภาพการประยุกต์ใช้องค์ความรู้หุ่นยนต์และระบบอัตโนมัติ</t>
        </is>
      </c>
      <c r="B28" s="46" t="n">
        <v>3.5</v>
      </c>
      <c r="C28" s="26" t="inlineStr">
        <is>
          <t>Airborne Acoustic Reflectometry (AAR) using acoustic transceivers to measure sound attenuation and acoustic impedance within sewer pipes.</t>
        </is>
      </c>
      <c r="D28" s="26" t="inlineStr">
        <is>
          <t>Digital signal processing (FFT, bandpass filtering, time-of-flight cross-correlation) and cross-sectional 2D profile reconstruction without feedback control.</t>
        </is>
      </c>
      <c r="E28" s="26" t="inlineStr">
        <is>
          <t>Purely manual transmitter/receiver deployment across manholes; actuation is limited to acoustic transducer sound vibration without mechanical traversal or robotic manipulation.</t>
        </is>
      </c>
      <c r="F28" s="26" t="inlineStr">
        <is>
          <t>Solution 2 is an acoustic Non-Destructive Testing (NDT) diagnostic instrument rather than an autonomous robotic system. While technically grounded in sensor wave physics, it operates in an open loop terminating at human-interpreted cross-section imagery. It lacks any automated locomotion or physical actuation, underutilizing mechanical and control engineering competencies.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8"/>
  <sheetViews>
    <sheetView showGridLines="1" workbookViewId="0">
      <selection activeCell="A1" sqref="A1"/>
    </sheetView>
  </sheetViews>
  <sheetFormatPr baseColWidth="8" defaultRowHeight="15"/>
  <cols>
    <col width="3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s>
  <sheetData>
    <row r="1">
      <c r="A1" s="19" t="inlineStr">
        <is>
          <t>เมทริกซ์ประเมินความเป็นไปได้เชิงระบบ TELOS+S: ระบบปล่อยน้ำแบบ Adaptive เพื่อระบายความร้อนบนทางเดินเท้าและตรอกซอยอย่างมีประสิทธิภาพสูงสุด</t>
        </is>
      </c>
    </row>
    <row r="2">
      <c r="A2" s="20" t="inlineStr">
        <is>
          <t>ระบบคะแนนจำนวนเต็มเด็ดขาด: 1, 2, 3, 4, 5 เท่านั้น (ไม่มีจุดทศนิยม / ไม่มี 0.5) | โครงสร้างแบบ Transposed แนวนอน</t>
        </is>
      </c>
    </row>
    <row r="4" ht="24" customHeight="1">
      <c r="A4" s="21" t="inlineStr">
        <is>
          <t>รหัสคำถาม (Question Code)</t>
        </is>
      </c>
      <c r="B4" s="22" t="inlineStr">
        <is>
          <t>T-01</t>
        </is>
      </c>
      <c r="C4" s="22" t="inlineStr">
        <is>
          <t>T-02</t>
        </is>
      </c>
      <c r="D4" s="22" t="inlineStr">
        <is>
          <t>T-03</t>
        </is>
      </c>
      <c r="E4" s="22" t="inlineStr">
        <is>
          <t>T-04</t>
        </is>
      </c>
      <c r="F4" s="22" t="inlineStr">
        <is>
          <t>T-05</t>
        </is>
      </c>
      <c r="G4" s="22" t="inlineStr">
        <is>
          <t>E-01</t>
        </is>
      </c>
      <c r="H4" s="22" t="inlineStr">
        <is>
          <t>E-02</t>
        </is>
      </c>
      <c r="I4" s="22" t="inlineStr">
        <is>
          <t>E-03</t>
        </is>
      </c>
      <c r="J4" s="22" t="inlineStr">
        <is>
          <t>L-01</t>
        </is>
      </c>
      <c r="K4" s="22" t="inlineStr">
        <is>
          <t>L-02</t>
        </is>
      </c>
      <c r="L4" s="22" t="inlineStr">
        <is>
          <t>O-01</t>
        </is>
      </c>
      <c r="M4" s="22" t="inlineStr">
        <is>
          <t>O-02</t>
        </is>
      </c>
      <c r="N4" s="22" t="inlineStr">
        <is>
          <t>O-03</t>
        </is>
      </c>
      <c r="O4" s="22" t="inlineStr">
        <is>
          <t>O-04</t>
        </is>
      </c>
      <c r="P4" s="22" t="inlineStr">
        <is>
          <t>S-01</t>
        </is>
      </c>
      <c r="Q4" s="22" t="inlineStr">
        <is>
          <t>SDG-01</t>
        </is>
      </c>
      <c r="R4" s="22" t="inlineStr">
        <is>
          <t>SDG-02</t>
        </is>
      </c>
      <c r="S4" s="22" t="inlineStr">
        <is>
          <t>SDG-03</t>
        </is>
      </c>
      <c r="T4" s="22" t="inlineStr">
        <is>
          <t>สรุปภาพรวม (SUMMARY)</t>
        </is>
      </c>
    </row>
    <row r="5" ht="24" customHeight="1">
      <c r="A5" s="23" t="inlineStr">
        <is>
          <t>มิติการประเมิน (TELOS+S Pillar)</t>
        </is>
      </c>
      <c r="B5" s="24" t="inlineStr">
        <is>
          <t>ด้านเทคโนโลยีและวิศวกรรม (Technical Feasibility)</t>
        </is>
      </c>
      <c r="C5" s="24" t="inlineStr">
        <is>
          <t>ด้านเทคโนโลยีและวิศวกรรม (Technical Feasibility)</t>
        </is>
      </c>
      <c r="D5" s="24" t="inlineStr">
        <is>
          <t>ด้านเทคโนโลยีและวิศวกรรม (Technical Feasibility)</t>
        </is>
      </c>
      <c r="E5" s="24" t="inlineStr">
        <is>
          <t>ด้านเทคโนโลยีและวิศวกรรม (Technical Feasibility)</t>
        </is>
      </c>
      <c r="F5" s="24" t="inlineStr">
        <is>
          <t>ด้านเทคโนโลยีและวิศวกรรม (Technical Feasibility)</t>
        </is>
      </c>
      <c r="G5" s="24" t="inlineStr">
        <is>
          <t>ด้านเศรษฐศาสตร์ (Economic Feasibility)</t>
        </is>
      </c>
      <c r="H5" s="24" t="inlineStr">
        <is>
          <t>ด้านเศรษฐศาสตร์ (Economic Feasibility)</t>
        </is>
      </c>
      <c r="I5" s="24" t="inlineStr">
        <is>
          <t>ด้านเศรษฐศาสตร์ (Economic Feasibility)</t>
        </is>
      </c>
      <c r="J5" s="24" t="inlineStr">
        <is>
          <t>ด้านกฎหมายและสถาบัน (Legal &amp; Institutional Feasibility)</t>
        </is>
      </c>
      <c r="K5" s="24" t="inlineStr">
        <is>
          <t>ด้านกฎหมายและสถาบัน (Legal &amp; Institutional Feasibility)</t>
        </is>
      </c>
      <c r="L5" s="24" t="inlineStr">
        <is>
          <t>ด้านการปฏิบัติการ (Operational Feasibility)</t>
        </is>
      </c>
      <c r="M5" s="24" t="inlineStr">
        <is>
          <t>ด้านการปฏิบัติการ (Operational Feasibility)</t>
        </is>
      </c>
      <c r="N5" s="24" t="inlineStr">
        <is>
          <t>ด้านการปฏิบัติการ (Operational Feasibility)</t>
        </is>
      </c>
      <c r="O5" s="24" t="inlineStr">
        <is>
          <t>ด้านการปฏิบัติการ (Operational Feasibility)</t>
        </is>
      </c>
      <c r="P5" s="24" t="inlineStr">
        <is>
          <t>ด้านแผนงานและเวลา (Schedule Feasibility)</t>
        </is>
      </c>
      <c r="Q5" s="24" t="inlineStr">
        <is>
          <t>+S ด้านความยั่งยืน (Sustainable Feasibility)</t>
        </is>
      </c>
      <c r="R5" s="24" t="inlineStr">
        <is>
          <t>+S ด้านความยั่งยืน (Sustainable Feasibility)</t>
        </is>
      </c>
      <c r="S5" s="24" t="inlineStr">
        <is>
          <t>+S ด้านความยั่งยืน (Sustainable Feasibility)</t>
        </is>
      </c>
      <c r="T5" s="25" t="inlineStr">
        <is>
          <t>ผลรวมทุกมิติ (All Pillars)</t>
        </is>
      </c>
    </row>
    <row r="6" ht="80" customHeight="1">
      <c r="A6" s="23" t="inlineStr">
        <is>
          <t>คำถามทดสอบความเสี่ยงจริง (Stress-Test Question)</t>
        </is>
      </c>
      <c r="B6" s="26" t="inlineStr">
        <is>
          <t>Implementation (Build vs. Buy Burden): ภาระการสร้างเองกับการเลือกซื้ออุปกรณ์สำเร็จรูป (COTS)</t>
        </is>
      </c>
      <c r="C6" s="26" t="inlineStr">
        <is>
          <t>Access (Tech Stack &amp; Ecosystem Permissions): สิทธิ์และการเข้าถึงสแตกเทคโนโลยีและระบบนิเวศน์</t>
        </is>
      </c>
      <c r="D6" s="26" t="inlineStr">
        <is>
          <t>Base Performance (Technology Readiness Level - TRL): ระดับความพร้อมและความเสถียรของเทคโนโลยีฐาน</t>
        </is>
      </c>
      <c r="E6" s="26" t="inlineStr">
        <is>
          <t>Team Compatibility (Manpower &amp; Skill Redundancy): ความเข้ากันได้ของทักษะทีมและความพร้อมทดแทน (SPOF)</t>
        </is>
      </c>
      <c r="F6" s="26" t="inlineStr">
        <is>
          <t>Learning Curve ("How much do we have to learn?"): เส้นทางการเรียนรู้และระยะเวลาปรับตัวของทีม</t>
        </is>
      </c>
      <c r="G6" s="26" t="inlineStr">
        <is>
          <t>ROI (Payback Period / Value Horizon): ระยะเวลาคืนทุนและกรอบความคุ้มค่าทางการเงิน</t>
        </is>
      </c>
      <c r="H6" s="26" t="inlineStr">
        <is>
          <t>Dependency of Component (Vendor Lock-in &amp; Reliability): การพึ่งพาผู้ขายภายนอกและความเสี่ยงการผูกขาด</t>
        </is>
      </c>
      <c r="I6" s="26" t="inlineStr">
        <is>
          <t>Scrap Margin (Safety Allowance for Blown ICs &amp; Iterations): สัดส่วนงบสำรองสำหรับความเสียหายและการทดลองซ้ำ</t>
        </is>
      </c>
      <c r="J6" s="26" t="inlineStr">
        <is>
          <t>Felony and Civil Law (Regulatory, Traffic &amp; Public Safety Compliance): ความสอดคล้องตามกฎหมายอาญา แพ่ง ระเบียบจราจร และความปลอดภัยสาธารณะ</t>
        </is>
      </c>
      <c r="K6" s="26" t="inlineStr">
        <is>
          <t>IP and Licensing: สิทธิ์ในทรัพย์สินทางปัญญาและการอนุญาตใช้งานซอฟต์แวร์/ฮาร์ดแวร์</t>
        </is>
      </c>
      <c r="L6" s="26" t="inlineStr">
        <is>
          <t>User — Failure Impact ("If it fails, how severe is the effect?"): ความรุนแรงของผลกระทบเมื่อระบบขัดข้องต่อผู้ใช้และสาธารณะ</t>
        </is>
      </c>
      <c r="M6" s="26" t="inlineStr">
        <is>
          <t>User — Behavior &amp; Problem-Solution Fit: ความสอดคล้องกับพฤติกรรมผู้ใช้และกระบวนการทำงานเดิม</t>
        </is>
      </c>
      <c r="N6" s="26" t="inlineStr">
        <is>
          <t>Developer — Contribution Dependency (Administrative &amp; Lab Gatekeeping): การพึ่งพาการอนุมัติและอุปสรรคการเข้าถึงห้องปฏิบัติการ/เครื่องมือ</t>
        </is>
      </c>
      <c r="O6" s="26" t="inlineStr">
        <is>
          <t>Developer — Complexity (Step Count &amp; Pipeline Friction): ความซับซ้อนของขั้นตอนการประกอบ ติดตั้ง และบิวด์ระบบ</t>
        </is>
      </c>
      <c r="P6" s="26" t="inlineStr">
        <is>
          <t>Production Time (Engineering Design Maturity by 5 Business Weeks): วุฒิภาวะของแบบทางวิศวกรรมและความพร้อมผลิตใน 5 สัปดาห์ทำการ</t>
        </is>
      </c>
      <c r="Q6" s="26" t="inlineStr">
        <is>
          <t>SDG-01: Public Impact vs. Academic Greenwashing (SDG 11.5 / 13.1): ผลกระทบเชิงประจักษ์ต่อสาธารณะกับการฟอกเขียวทางวิชาการ</t>
        </is>
      </c>
      <c r="R6" s="26" t="inlineStr">
        <is>
          <t>SDG-02: Environmental Footprint &amp; E-Waste ("Do No Harm" — SDG 6.3 / 12.4): ภาระสิ่งแวดล้อมและขยะอิเล็กทรอนิกส์ตามหลักไม่สร้างผลเสียซ้ำซ้อน</t>
        </is>
      </c>
      <c r="S6" s="26" t="inlineStr">
        <is>
          <t>SDG-03: Algorithmic Equity &amp; Decision Transparency (SDG 10.2 / 16.6): ความเป็นธรรมของอัลกอริทึมและความโปร่งใสในการตัดสินใจ</t>
        </is>
      </c>
      <c r="T6" s="27" t="inlineStr">
        <is>
          <t>ประเมินคำถามทั้งสิ้น 18 ข้อ</t>
        </is>
      </c>
    </row>
    <row r="7" ht="95" customHeight="1">
      <c r="A7" s="23" t="inlineStr">
        <is>
          <t>เหตุผลในการถาม &amp; โหมดความล้มเหลวที่เฝ้าระวัง (Rationale)</t>
        </is>
      </c>
      <c r="B7" s="26" t="inlineStr">
        <is>
          <t>ประเมินภาระงานวิจัยและพัฒนาชิ้นส่วนฮาร์ดแวร์/เฟิร์มแวร์ว่าต้องสร้างขึ้นใหม่ตั้งแต่ศูนย์หรือใช้อุปกรณ์สำเร็จรูปมาตรฐาน เพื่อควบคุมความเสี่ยงด้านความผิดพลาดและระยะเวลาพัฒนา</t>
        </is>
      </c>
      <c r="C7" s="26" t="inlineStr">
        <is>
          <t>ประเมินข้อจำกัดในการเข้าถึงซอร์สโค้ด สิทธิ์การพัฒนา สิทธิ์การเชื่อมต่อระบบคลาวด์ และสิทธิ์ผู้ดูแลระบบ เพื่อป้องกันปัญหาติดล็อกระบบปิด (Walled Garden)</t>
        </is>
      </c>
      <c r="D7" s="26" t="inlineStr">
        <is>
          <t>ประเมินระดับความพร้อมของเทคโนโลยีต้นแบบ (TRL) ว่าอยู่ในระดับแล็บหรือผ่านการทดสอบภาคสนามจริงมาแล้ว เพื่อลดความเสี่ยงจากการนำเทคโนโลยีที่ยังไม่เสถียรมาใช้งาน</t>
        </is>
      </c>
      <c r="E7" s="26" t="inlineStr">
        <is>
          <t>ประเมินการกระจายทักษะทางเทคนิคและความเสี่ยงจากการมีผู้เชี่ยวชาญเพียงคนเดียว (Single Point of Failure: SPOF) หากสมาชิกหลักไม่อยู่ โครงการจะหยุดชะงักหรือไม่</t>
        </is>
      </c>
      <c r="F7" s="26" t="inlineStr">
        <is>
          <t>ประเมินช่องว่างทางความรู้และทักษะที่ทีมต้องเรียนรู้เพิ่มขึ้นเมื่อเทียบกับประสบการณ์เดิม ป้องกันปัญหางานสะดุดจากการติดขัดช่วงเริ่มต้นการเรียนรู้เทคโนโลยีใหม่</t>
        </is>
      </c>
      <c r="G7" s="26" t="inlineStr">
        <is>
          <t>ประเมินระยะเวลาในการคืนทุนและมูลค่าทางเศรษฐกิจที่ได้กลับคืนจากการลดความสูญเสียเมื่อเทียบกับเงินลงทุนเริ่มต้น (CapEx) และค่าใช้จ่ายดำเนินงาน (OpEx)</t>
        </is>
      </c>
      <c r="H7" s="26" t="inlineStr">
        <is>
          <t>ประเมินความเสี่ยงจากการพึ่งพาระบบคลาวด์เฉพาะ อะไหล่ผูกขาด หรือค่าธรรมเนียมรายปีที่ส่งผลกระทบต่องบประมาณระยะยาวและความยืดหยั่งของระบบ</t>
        </is>
      </c>
      <c r="I7" s="26" t="inlineStr">
        <is>
          <t>ประเมินความเพียงพอของงบประมาณสำรองสำหรับชิ้นส่วนที่อาจเสียหายระหว่างการทดสอบ (Burn-in/Debugging) ป้องกันโครงการหยุดชะงักเมื่ออุปกรณ์เสียหาย</t>
        </is>
      </c>
      <c r="J7" s="26" t="inlineStr">
        <is>
          <t>ประเมินความเสี่ยงต่อการละเมิดกฎหมาย พ.ร.บ. คุ้มครองข้อมูลส่วนบุคคล (PDPA) การรบกวนสัญญาณคลื่นวิทยุ (กสทช.) หรือการติดตั้งที่กีดขวางทางสัญจรและเสี่ยงต่ออันตรายสาธารณะ</t>
        </is>
      </c>
      <c r="K7" s="26" t="inlineStr">
        <is>
          <t>ประเมินข้อกำหนดด้านสัญญาอนุญาตสิทธิ์ (Software/Hardware Licenses) และความเสี่ยงต่อการละเมิดสิทธิบัตรหรือข้อจำกัดแบบไวรัสลิขสิทธิ์ (Viral Copyleft)</t>
        </is>
      </c>
      <c r="L7" s="26" t="inlineStr">
        <is>
          <t>ประเมินความรุนแรงของผลกระทบกรณีระบบล้มเหลว (System Failure) ต่อชีวิต ทรัพย์สิน และการปฏิบัติการฉุกเฉินของเจ้าหน้าที่ เพื่อป้องกันโหมดความล้มเหลวขั้นวิกฤต</t>
        </is>
      </c>
      <c r="M7" s="26" t="inlineStr">
        <is>
          <t>ประเมินแรงต้านทานในการเปลี่ยนแปลงขั้นตอนการทำงานของผู้ปฏิบัติงาน (Operational Resistance) และภาระงานเอกสารหรือการฝึกอบรมที่เพิ่มขึ้น</t>
        </is>
      </c>
      <c r="N7" s="26" t="inlineStr">
        <is>
          <t>ประเมินขั้นตอนความยุ่งยากทางธุรการ การขออนุญาตเข้าใช้สถานที่ และการเข้าถึงอุปกรณ์เครื่องมือในการพัฒนาว่ามีความคล่องตัวหรือถูกปิดกั้น</t>
        </is>
      </c>
      <c r="O7" s="26" t="inlineStr">
        <is>
          <t>ประเมินจำนวนขั้นตอนและความเปราะบางของกระบวนการบิวด์ ติดตั้ง และทดสอบระบบ เพื่อลดโอกาสเกิดข้อผิดพลาดจากมนุษย์ (Human Error)</t>
        </is>
      </c>
      <c r="P7" s="26" t="inlineStr">
        <is>
          <t>ประเมินความสมบูรณ์ของแบบวิศวกรรม (CAD, Schematics, PCB Gerber, Firmware) เทียบกับกรอบเวลา 5 สัปดาห์ทำการก่อนช่วงสอบและการส่งมอบชิ้นงาน</t>
        </is>
      </c>
      <c r="Q7" s="26" t="inlineStr">
        <is>
          <t>ประเมินว่าโครงการสร้างผลกระทบที่วัดผลได้จริงในการลดความสูญเสียจากภัยพิบัติหรือฟื้นฟูเมือง หรือเป็นเพียงข้ออ้างด้านความยั่งยืนเชิงสัญลักษณ์</t>
        </is>
      </c>
      <c r="R7" s="26" t="inlineStr">
        <is>
          <t>ประเมินวงจรชีวิตของอุปกรณ์ การปลดปล่อยสารพิษ ปัญหาขยะอิเล็กทรอนิกส์ (E-Waste) และการหลุดรอดของสารเคมีลงสู่แหล่งน้ำสาธารณะ</t>
        </is>
      </c>
      <c r="S7" s="26" t="inlineStr">
        <is>
          <t>ประเมินความโปร่งใสของตรรกะการตัดสินใจและเกณฑ์การตัดคัดกรองเคส เพื่อป้องกันการเลือกปฏิบัติหรือการเพิกเฉยต่อพื้นที่ชุมชนเปราะบาง</t>
        </is>
      </c>
      <c r="T7" s="27" t="inlineStr">
        <is>
          <t>สังเคราะห์จาก AI Agents Group 2</t>
        </is>
      </c>
    </row>
    <row r="8" ht="150" customHeight="1">
      <c r="A8" s="23" t="inlineStr">
        <is>
          <t>เกณฑ์การให้คะแนน (Scoring Rubric Definition: ระดับ 1, 2, 3, 4, 5 ครบทุกระดับ)</t>
        </is>
      </c>
      <c r="B8" s="26" t="inlineStr">
        <is>
          <t>1: Build from Scratch (100% custom R&amp;D required; custom mechanism, bare-metal schematics, custom algorithm derivation; no reference designs or libraries exist)
2: Heavy Customization (Core components exist, but requires extensive custom adaptation, structural machining, and custom wrapper code)
3: Hybrid / COTS Integration (Standard off-the-shelf breakout boards and modules assembled with custom brackets, intermediate wiring, and glue code)
4: Modular COTS Assembly (Pre-engineered building blocks with standard mounting and standard communication buses e.g. DIN-rail modules, I2C/CAN shields; minimal custom fabrication)
5: Buy and Use / COTS (Buy and deploy directly out of the box / Plug-and-Play; zero mechanical or electrical fabrication required)</t>
        </is>
      </c>
      <c r="C8" s="26" t="inlineStr">
        <is>
          <t>1: Strictly Restricted (Proprietary stack under NDA, locked enterprise firewalls, or unavailable developer licenses)
2: Limited Access (Closed binary blobs or third-party proprietary firmware; black-box operation with zero telemetry or source code)
3: Request-Based Access (Educational/evaluation tier with strict rate limits or quotas; requires formal request or approval delays)
4: Open Developer Access (Free public SDKs, full documentation, and open developer APIs, but core low-level architecture cannot be modified)
5: Full-Stack Access (Fully open source with permissive license and open hardware; team has root/admin rights to inspect, modify, and deploy as both user and developer)</t>
        </is>
      </c>
      <c r="D8" s="26" t="inlineStr">
        <is>
          <t>1: Proof of Concept (TRL 2–3: Bench breadboard, simulation, or pure mathematical model; verified only in controlled laboratory conditions)
2: Functional Breadboard (TRL 4: Integrated components working together in a lab; fragile wiring, uncalibrated for harsh field environments)
3: Alpha Prototype (TRL 5–6: Enclosed prototype tested in a relevant simulated environment; operational, but requires human supervision)
4: Beta / Field-Proven (TRL 7: Pre-production hardware operating reliably in the actual operating environment under real-world stress)
5: Commercial Product (TRL 8–9: Fully certified, production-grade commercial product with documented MTBF and mass field reliability)</t>
        </is>
      </c>
      <c r="E8" s="26" t="inlineStr">
        <is>
          <t>1: Single Point of Failure / SPOF (Only 1 person has the required skill; if they are unavailable, subsystem development halts 100%)
2: Solo Lead with Minimal Backup (1 core developer; 1 teammate understands basic concepts but cannot debug code or fix hardware alone)
3: Primary + Secondary Pair (1 primary lead and 1 competent secondary backup who can maintain, troubleshoot, and push updates)
4: Broad Competence (3+ teammates can actively design, assemble, and debug the subsystem with minimal ramp-up time)
5: Full Team Redundancy (All team members are fully proficient; tasks can be swapped across anyone with zero friction or velocity loss)</t>
        </is>
      </c>
      <c r="F8" s="26" t="inlineStr">
        <is>
          <t>1: Total Reset (Every step requires learning completely unfamiliar tools, languages, and hardware from scratch with zero prior baseline)
2: Steep Learning Curve (High theoretical understanding, but zero hands-on experience; debugging basic syntax or wiring stalls progress)
3: Moderate Ramp-up (Proven adjacent mastery e.g. Arduino/ESP32 moving to STM32, or SolidWorks to Fusion 360; manageable 1-week curve)
4: Minor Adaptation (Familiar tech stack; only requires learning a specific minor library, sensor API, or configuration syntax)
5: Zero Learning Curve (Team can deploy verified past code, existing toolchains, and established muscle memory directly; no new learning required)</t>
        </is>
      </c>
      <c r="G8" s="26" t="inlineStr">
        <is>
          <t>1: Long Payback (&gt;= 10 Years: High initial CapEx with minimal recurring savings; economically non-viable for rapid deployment)
2: Slow Return (6–9 Years: Substantial capital investment with a long break-even horizon; requires long-term subsidization)
3: Moderate Return (3–5 Years: Reasonable public infrastructure payback; offsets costs across multi-year operational cycles)
4: Fast Return (2–3 Years: Strong operational cost reduction in fuel, labor, scrap; breaks even within normal equipment lifecycle)
5: Immediate Payback (&lt;= 1–2 Years: Rapid break-even; eliminates major recurring operational losses within the first operating season)</t>
        </is>
      </c>
      <c r="H8" s="26" t="inlineStr">
        <is>
          <t>1: Total Vendor Lock-in (100% dependent on proprietary cloud backend, encrypted telemetry, and single-source proprietary connectors)
2: High Dependency (Hardware requires vendor-licensed diagnostic tools or annual subscription fees to maintain operation)
3: Semi-Independent (Core hardware relies on proprietary firmware, but allows open API export and standard electrical interfaces)
4: High Autonomy (Uses standard open communication protocols e.g. Modbus, MQTT, CAN; parts can be serviced using generic tools)
5: Complete Independence (100% open architecture; hardware is interchangeable with generic substitutes; self-serviceable by any engineer)</t>
        </is>
      </c>
      <c r="I8" s="26" t="inlineStr">
        <is>
          <t>1: Zero Buffer (0%: Exactly 1x BOM purchased; any fried chip, cracked bracket, or wiring mistake halts the project)
2: Fragile Buffer (20–30%: Spares only for passive components; no backup microcontrollers or expensive sensors)
3: Moderate Buffer (50%: Spares for all critical passive parts and 1 spare for the primary controller board)
4: High Buffer (80%: Spares for nearly every active component and sensor; can sustain multiple prototype burn-ins)
5: Full Redundancy (&gt;= 100%: Complete 2x BOM budget on hand; can build two complete working units simultaneously)</t>
        </is>
      </c>
      <c r="J8" s="26" t="inlineStr">
        <is>
          <t>1: Severe Violation / No Privilege (Direct breach of statutory law e.g. unconsented public surveillance/PDPA, hazardous road blockage, illegal RF transmission)
2: High Legal Exposure (Ambiguous legal zone; high risk of civic complaints or traffic disruption; requires complex technical waivers)
3: Conditional / Requires Permit (Permitted strictly under formal written approval, official agency MoU, or municipal permits)
4: Low Legal Friction (Operates within standard public engineering exemptions; simple standard notification/safety compliance needed)
5: 100% Free Domain (Fully exempt from statutory licensing; zero public safety risk, zero personal data/Zero PII, fully unrestricted)</t>
        </is>
      </c>
      <c r="K8" s="26" t="inlineStr">
        <is>
          <t>1: Closed Commercial Barrier (Proprietary commercial license; cannot compile, flash, or operate without paying expensive commercial seat licenses)
2: Ambiguous / Gray IP (Unclear licensing terms or unlicensed public repos; risk of copyright strike or IP dispute upon public demonstration)
3: Restrictive Open Source / Copyleft (Permitted for educational use, but viral licenses e.g. GPLv3 force your entire codebase to be made public if distributed)
4: Permissive Open Source (Open source with minimal conditions e.g. LGPL, CC-BY; allows proprietary wrapping with simple attribution)
5: Completely Permissive / Public Domain (Permissive open source e.g. MIT, Apache 2.0, BSD or Public Domain; unrestricted freedom to commercialize, modify, and contribute)</t>
        </is>
      </c>
      <c r="L8" s="26" t="inlineStr">
        <is>
          <t>1: Life-Threatening (Failure causes electrocution, fire, traffic collisions, toxic chemical exposure, or structural collapse)
2: Severe Physical Hazard (Equipment destroys itself, causes acute environmental contamination, or halts major emergency infrastructure)
3: Chaotic Response from User (Panic, operational deadlock, conflicting manual dispatches, and severe operational confusion)
4: Minor Operational Delay (System trips safely; requires a manual reboot or standard fallback procedure; no safety risk or chaos)
5: Benign Budget Loss Only (Failure causes zero human or operational harm; results only in minor, easily absorbed component/battery replacement costs)</t>
        </is>
      </c>
      <c r="M8" s="26" t="inlineStr">
        <is>
          <t>1: Disruptive Overhaul (Forces operators to abandon existing standard procedures, adds 5+ extra tedious forms, and faces active user rejection)
2: High Friction (Adds notable extra documentation or redundant verification steps; operators will actively look for ways to bypass it)
3: Moderate Adaptation (Modifies daily routines slightly; requires 1–2 training sessions, but delivers clear operational trade-offs)
4: Low Friction (Integrates directly into existing tools e.g. sends alerts to existing LINE/Telegram or ticketing dashboard; minimal habit changes)
5: Smooth Transient Operation (Zero workflow disruption; runs transparently in the background and automates existing manual paperwork seamlessly)</t>
        </is>
      </c>
      <c r="N8" s="26" t="inlineStr">
        <is>
          <t>1: Heavy Gatekeeping (Blocked by supervisor approvals, locked lab cabinets, NDA signatures, purchasing bureaucracy, and restricted git branches)
2: Moderate Bureaucracy (Requires departmental request forms, tool booking queues, and waiting 3–5 days for administrative sign-offs)
3: Standard Campus Access (Workable access during university open hours; minor approval delays for specialized equipment or lab keys)
4: High Autonomy (Team has full repository write access, open 24/7 lab entry, and pre-approved discretionary stipends for rapid purchases)
5: Frictionless Contribution (Complete autonomy; decentralized cloud CI/CD, local prototyping tools at home/bench, zero administrative blockers)</t>
        </is>
      </c>
      <c r="O8" s="26" t="inlineStr">
        <is>
          <t>1: Highly Convoluted (Dozens of fragile build steps, complex toolchain dependencies, and high probability of human error during setup)
2: High Complexity (Multi-stage manual toolchains; frequent dependency conflicts and difficult multi-board flashing procedures)
3: Moderate Complexity (Standard multi-step build/assembly pipeline; manageable and repeatable when following a documented checklist)
4: Low Complexity (Straightforward workflow using automated build scripts, standard IDEs, or single-command flashing)
5: Simple &amp; Direct (Plug-and-play, 1-step linear workflow; idiot-proof setup requiring zero multi-stage manual configuration)</t>
        </is>
      </c>
      <c r="P8" s="26" t="inlineStr">
        <is>
          <t>1: Concept Only (0% Design: Napkin sketches and verbal ideas; 0% CAD models, 0% schematics, 0% firmware written)
2: Rough Drafts (25% Design: Preliminary block diagrams, hand-drawn schematics, unverified parts list, rough 3D bounding boxes)
3: Intermediate Maturity (50% Design: Complete CAD assembly with untested clearances, schematic capture complete, draft firmware architecture mapped)
4: Pre-Production (75–80% Design: Detailed 3D CAD ready for 3D print/CNC, routed PCB Gerber files verified with DRC, pinouts locked down)
5: Fully Engineered Design (100% Production Ready: Complete manufacturing package: verified Gerbers, mechanical tolerance drawings, locked BOM, and flashing scripts ready)</t>
        </is>
      </c>
      <c r="Q8" s="26" t="inlineStr">
        <is>
          <t>1: Pure Buzzword / Greenwashing (Claims sustainability benefits with zero data, zero measurable effect, and solves no real municipal problem)
2: Superficial Correlation (Indirect impact; functions only as an isolated school demo with no realistic way to measure damage prevention)
3: Localized Proof (Delivers a measurable, verified benefit e.g. cuts response time or drops localized temperature on a single test strip, but lacks a scaling model)
4: District-Level Viability (Clear pathway to protect municipal infrastructure or reduce public losses across multiple roads/alleys during extreme weather)
5: Systemic City Resilience (Backed by concrete empirical data showing significant reduction in public economic losses, vehicle damage, or human hazard)</t>
        </is>
      </c>
      <c r="R8" s="26" t="inlineStr">
        <is>
          <t>1: Toxic Field Hazard (Enclosure degrades under UV, or unsealed batteries leak toxic chemicals and detach into the urban drainage network as marine litter)
2: Fragile Disposable Tech (Short operational lifespan; sensors foul or corrode within 2–3 weeks and are abandoned because retrieval is impractical)
3: Standard Field Footprint (Requires periodic battery replacement and creates standard electronic scrap, but uses basic tethering to prevent total hardware loss)
4: Low-Impact Enclosure (Solar-trickle or long-life low-power architecture; uses recyclable casing and redundant physical tethers e.g. dual stainless lanyards)
5: Fully Circular &amp; Zero Footprint (100% fail-safe retrieval design; uses non-toxic materials, consumes minimal public resources, and leaves zero field trace)</t>
        </is>
      </c>
      <c r="S8" s="26" t="inlineStr">
        <is>
          <t>1: Opaque Black Box (Proprietary or unexplained threshold that cancels dispatches or alters public services with zero explanation, risking neglect of vulnerable areas)
2: Ambiguous Logic (Decision rules are buried in messy heuristic code; field operators cannot explain to a citizen why an alert was triggered or suppressed)
3: Documented Internal Rules (Logic is documented on paper for engineers, but has no public audit trail or clear appeal mechanism if the sensor misreads)
4: Open Empirical Standards (Decisions are driven by transparent physical equations applied equally across all city zones)
5: 100% Auditable &amp; Equitable (Full tamper-evident digital audit trail; open logic accessible to officials and citizens, guaranteeing equal public protection regardless of district wealth)</t>
        </is>
      </c>
      <c r="T8" s="27" t="inlineStr">
        <is>
          <t>เกณฑ์รวม: &gt;=80 ผ่านสูง, &gt;=60 มีเงื่อนไข, &lt;60 เสี่ยงสูง | หากมีข้อใดได้ 1 = VETOED ตกเกณฑ์ทันที</t>
        </is>
      </c>
    </row>
    <row r="9" ht="36" customHeight="1">
      <c r="A9" s="28" t="inlineStr">
        <is>
          <t>คะแนนที่ได้รับ (ASSIGNED SCORE: 1, 2, 3, 4, 5 STRICT INTEGER)</t>
        </is>
      </c>
      <c r="B9" s="29" t="n">
        <v>3</v>
      </c>
      <c r="C9" s="29" t="n">
        <v>5</v>
      </c>
      <c r="D9" s="29" t="n">
        <v>3</v>
      </c>
      <c r="E9" s="29" t="n">
        <v>3</v>
      </c>
      <c r="F9" s="29" t="n">
        <v>4</v>
      </c>
      <c r="G9" s="29" t="n">
        <v>2</v>
      </c>
      <c r="H9" s="29" t="n">
        <v>5</v>
      </c>
      <c r="I9" s="29" t="n">
        <v>3</v>
      </c>
      <c r="J9" s="29" t="n">
        <v>2</v>
      </c>
      <c r="K9" s="29" t="n">
        <v>5</v>
      </c>
      <c r="L9" s="29" t="n">
        <v>2</v>
      </c>
      <c r="M9" s="29" t="n">
        <v>2</v>
      </c>
      <c r="N9" s="29" t="n">
        <v>4</v>
      </c>
      <c r="O9" s="29" t="n">
        <v>4</v>
      </c>
      <c r="P9" s="29" t="n">
        <v>4</v>
      </c>
      <c r="Q9" s="29" t="n">
        <v>2</v>
      </c>
      <c r="R9" s="29" t="n">
        <v>3</v>
      </c>
      <c r="S9" s="29" t="n">
        <v>4</v>
      </c>
      <c r="T9" s="30">
        <f>IF(T10&gt;0, (T11/T10)*20, 0)</f>
        <v/>
      </c>
    </row>
    <row r="10" ht="22" customHeight="1">
      <c r="A10" s="23" t="inlineStr">
        <is>
          <t>ค่าน้ำหนัก (Weight %)</t>
        </is>
      </c>
      <c r="B10" s="31" t="n">
        <v>0.04</v>
      </c>
      <c r="C10" s="31" t="n">
        <v>0.04</v>
      </c>
      <c r="D10" s="31" t="n">
        <v>0.04</v>
      </c>
      <c r="E10" s="31" t="n">
        <v>0.04</v>
      </c>
      <c r="F10" s="31" t="n">
        <v>0.04</v>
      </c>
      <c r="G10" s="31" t="n">
        <v>0.0667</v>
      </c>
      <c r="H10" s="31" t="n">
        <v>0.0667</v>
      </c>
      <c r="I10" s="31" t="n">
        <v>0.06660000000000001</v>
      </c>
      <c r="J10" s="31" t="n">
        <v>0.075</v>
      </c>
      <c r="K10" s="31" t="n">
        <v>0.075</v>
      </c>
      <c r="L10" s="31" t="n">
        <v>0.05</v>
      </c>
      <c r="M10" s="31" t="n">
        <v>0.05</v>
      </c>
      <c r="N10" s="31" t="n">
        <v>0.05</v>
      </c>
      <c r="O10" s="31" t="n">
        <v>0.05</v>
      </c>
      <c r="P10" s="31" t="n">
        <v>0.15</v>
      </c>
      <c r="Q10" s="31" t="n">
        <v>0.0333</v>
      </c>
      <c r="R10" s="31" t="n">
        <v>0.0333</v>
      </c>
      <c r="S10" s="31" t="n">
        <v>0.0334</v>
      </c>
      <c r="T10" s="31">
        <f>SUM(B10:S10)</f>
        <v/>
      </c>
    </row>
    <row r="11" ht="24" customHeight="1">
      <c r="A11" s="23" t="inlineStr">
        <is>
          <t>คะแนนถ่วงน้ำหนัก (=Score * Weight)</t>
        </is>
      </c>
      <c r="B11" s="32">
        <f>B9*B10</f>
        <v/>
      </c>
      <c r="C11" s="32">
        <f>C9*C10</f>
        <v/>
      </c>
      <c r="D11" s="32">
        <f>D9*D10</f>
        <v/>
      </c>
      <c r="E11" s="32">
        <f>E9*E10</f>
        <v/>
      </c>
      <c r="F11" s="32">
        <f>F9*F10</f>
        <v/>
      </c>
      <c r="G11" s="32">
        <f>G9*G10</f>
        <v/>
      </c>
      <c r="H11" s="32">
        <f>H9*H10</f>
        <v/>
      </c>
      <c r="I11" s="32">
        <f>I9*I10</f>
        <v/>
      </c>
      <c r="J11" s="32">
        <f>J9*J10</f>
        <v/>
      </c>
      <c r="K11" s="32">
        <f>K9*K10</f>
        <v/>
      </c>
      <c r="L11" s="32">
        <f>L9*L10</f>
        <v/>
      </c>
      <c r="M11" s="32">
        <f>M9*M10</f>
        <v/>
      </c>
      <c r="N11" s="32">
        <f>N9*N10</f>
        <v/>
      </c>
      <c r="O11" s="32">
        <f>O9*O10</f>
        <v/>
      </c>
      <c r="P11" s="32">
        <f>P9*P10</f>
        <v/>
      </c>
      <c r="Q11" s="32">
        <f>Q9*Q10</f>
        <v/>
      </c>
      <c r="R11" s="32">
        <f>R9*R10</f>
        <v/>
      </c>
      <c r="S11" s="32">
        <f>S9*S10</f>
        <v/>
      </c>
      <c r="T11" s="32">
        <f>SUM(B11:S11)</f>
        <v/>
      </c>
    </row>
    <row r="12" ht="115" customHeight="1">
      <c r="A12" s="23" t="inlineStr">
        <is>
          <t>คำอธิบาย &amp; หลักฐานอ้างอิงจากไฟล์ Intake (Evidence Citation)</t>
        </is>
      </c>
      <c r="B12" s="26" t="inlineStr">
        <is>
          <t>solution-3.md ต้องประกอบระบบท่อส่งน้ำ โซลินอยด์วาล์ว หัวฉีดละอองน้ำ และเซนเซอร์วัดอุณหภูมิ IR เป็นการรวม COTS ทั่วไป</t>
        </is>
      </c>
      <c r="C12" s="26" t="inlineStr">
        <is>
          <t>solution-3.md ใช้เซนเซอร์ IR กล้องวัดความร้อน และระบบควบคุมอัตโนมัติแบบเปิด ทีมมีสิทธิ์ในการเข้าถึงและปรับแต่งได้ 100%</t>
        </is>
      </c>
      <c r="D12" s="26" t="inlineStr">
        <is>
          <t>solution-3.md วงจรวัดอุณหภูมิและควบคุมการเปิดปิดวาล์วพ่นละอองน้ำสามารถประกอบทดสอบในแล็บได้เสถียร (Alpha Prototype / TRL 5-6)</t>
        </is>
      </c>
      <c r="E12" s="26" t="inlineStr">
        <is>
          <t>fifa.md (ระบบท่อ/กลไก), due.md (วงจรขับโซลินอยด์วาล์ว), jk.md (การเขียนโปรแกรมควบคุม) มีทีมงานหลัก 3 คน</t>
        </is>
      </c>
      <c r="F12" s="26" t="inlineStr">
        <is>
          <t>solution-3.md การต่อวงจรขับโซลินอยด์วาล์วผ่านรีเลย์/MOSFET และอ่านเซนเซอร์ IR เป็นทักษะพื้นฐานที่ทีมมีความเชี่ยวชาญอยู่แล้ว</t>
        </is>
      </c>
      <c r="G12" s="26" t="inlineStr">
        <is>
          <t>solution-3.md Weak point ระบุว่า 'ต้องใช้พื้นที่ในปริมาณมากเพื่อทำให้เกิดผล' และมีค่าน้ำประปาต่อเนื่อง ให้ผลลดความร้อนเฉพาะจุด คืนทุนช้า 6-9 ปี</t>
        </is>
      </c>
      <c r="H12" s="26" t="inlineStr">
        <is>
          <t>solution-3.md อุปกรณ์หัวฉีด ท่อประปา และโซลินอยด์วาล์วสามารถหาซื้อได้ตามร้านวัสดุก่อสร้างทั่วไป ปราศจากการผูกขาด</t>
        </is>
      </c>
      <c r="I12" s="26" t="inlineStr">
        <is>
          <t>solution-3.md หัวฉีดละอองน้ำเสี่ยงต่อการอุดตันจากตะกรันน้ำ และโซลินอยด์วาล์วอาจไหม้หากเปิดค้าง งบประมาณสำรองรองรับ 50%</t>
        </is>
      </c>
      <c r="J12" s="26" t="inlineStr">
        <is>
          <t>solution-3.md Weak point ระบุว่า 'ต้องต่อท่อน้ำจากอาคารซึ่งอาจมีข้อจำกัดด้านสิทธิ์' และการพ่นน้ำบนทางเท้าเสี่ยงต่อคนเดินถนนลื่นล้ม (ละเมิด)</t>
        </is>
      </c>
      <c r="K12" s="26" t="inlineStr">
        <is>
          <t>solution-3.md ระบบรดน้ำอัตโนมัติตามอุณหภูมิและความชื้นเป็นเทคโนโลยีสาธารณะ ปราศจากปัญหาทรัพย์สินทางปัญญา</t>
        </is>
      </c>
      <c r="L12" s="26" t="inlineStr">
        <is>
          <t>solution-3.md หากโซลินอยด์วาล์วค้างปล่อยน้ำตลอดเวลา ทางเดินเท้าจะเปียกแฉะ ทำให้คนเดินถนนหรือมอเตอร์ไซค์ในซอยลื่นล้มได้รับบาดเจ็บ</t>
        </is>
      </c>
      <c r="M12" s="26" t="inlineStr">
        <is>
          <t>solution-3.md เจ้าของอาคารในซอยอาจไม่ยินยอมให้ต่อท่อน้ำหรือเจาะผนังติดตั้ง และประชาชนอาจรำคาญละอองน้ำหากพ่นโดนตัว</t>
        </is>
      </c>
      <c r="N12" s="26" t="inlineStr">
        <is>
          <t>solution-3.md สามารถประกอบและทดสอบระบบพ่นละอองน้ำกับก๊อกน้ำและบอร์ดควบคุมที่บ้านหรือแล็บได้โดยไม่ต้องขออนุมัติพิเศษ</t>
        </is>
      </c>
      <c r="O12" s="26" t="inlineStr">
        <is>
          <t>solution-3.md ขั้นตอนการต่อวงจรและเขียนโค้ดตรงไปตรงมา ไม่มีความซับซ้อนของทูลเชนหลายชั้น</t>
        </is>
      </c>
      <c r="P12" s="26" t="inlineStr">
        <is>
          <t>schedule.md โครงสร้างระบบไม่ซับซ้อน สามารถประกอบแท่นทดสอบ Bench PoC (TRL 3) ได้เสร็จสมบูรณ์ภายใน 5 สัปดาห์</t>
        </is>
      </c>
      <c r="Q12" s="26" t="inlineStr">
        <is>
          <t>solution-3.md Weak point ระบุว่าต้องใช้พื้นที่มากเพื่อเห็นผล การพ่นละอองน้ำในซอยลดความร้อนได้เฉพาะจุด ไม่สามารถแก้ปัญหา UHI ระดับเมืองได้จริง</t>
        </is>
      </c>
      <c r="R12" s="26" t="inlineStr">
        <is>
          <t>solution-3.md ใช้น้ำประปาในการพ่นระเหย ต้องระมัดระวังการสิ้นเปลืองทรัพยากรน้ำสะอาดในช่วงฤดูแล้ง</t>
        </is>
      </c>
      <c r="S12" s="26" t="inlineStr">
        <is>
          <t>solution-3.md ควบคุมการเปิดปิดน้ำด้วยเซนเซอร์วัดอุณหภูมิผิวคอนกรีต (&gt;45 °C) และระดับความชื้นอย่างโปร่งใส</t>
        </is>
      </c>
      <c r="T12" s="33">
        <f>IF(MIN(B9:S9)=1, "VETOED / ตกเกณฑ์ข้อบังคับวิกฤต (คะแนนระดับ 1)", IF(T9&gt;=80, "ผ่านเกณฑ์ระดับสูง (HIGHLY VIABLE)", IF(T9&gt;=60, "ผ่านแบบมีเงื่อนไข (CONDITIONALLY VIABLE)", "ความเสี่ยงสูง (HIGH RISK)")))</f>
        <v/>
      </c>
    </row>
    <row r="13" ht="70" customHeight="1">
      <c r="A13" s="23" t="inlineStr">
        <is>
          <t>แผนลดขอบเขตงาน &amp; มาตรการลดความเสี่ยง (De-scoping Action)</t>
        </is>
      </c>
      <c r="B13" s="26" t="inlineStr">
        <is>
          <t>ใช้ชุดหัวพ่นหมอกแรงดันต่ำและโซลินอยด์วาล์วประปาสำเร็จรูป</t>
        </is>
      </c>
      <c r="C13" s="26" t="inlineStr">
        <is>
          <t>เขียนโปรแกรมควบคุมบนไมโครคอนโทรลเลอร์ ESP32 ได้โดยตรง</t>
        </is>
      </c>
      <c r="D13" s="26" t="inlineStr">
        <is>
          <t>ทดสอบการเปิดปิดวาล์วซ้ำๆ 500 ครั้งเพื่อยืนยันความทนทาน</t>
        </is>
      </c>
      <c r="E13" s="26" t="inlineStr">
        <is>
          <t>Fifa ดูแลระบบท่อและหัวฉีด, Due ดูแลวงจรไฟฟ้า, JK ดูแลเงื่อนไขการทำงาน</t>
        </is>
      </c>
      <c r="F13" s="26" t="inlineStr">
        <is>
          <t>ใช้โค้ดควบคุม GPIO พื้นฐานร่วมกับไลบรารีเซนเซอร์ IR สำเร็จรูป</t>
        </is>
      </c>
      <c r="G13" s="26" t="inlineStr">
        <is>
          <t>คำนวณค่าน้ำประปาและค่าบำรุงรักษาหัวฉีดเทียบกับประโยชน์ที่ได้รับ</t>
        </is>
      </c>
      <c r="H13" s="26" t="inlineStr">
        <is>
          <t>เลือกใช้เกลียวท่อมาตรฐาน 4 หุน (1/2 นิ้ว) ที่หาอะไหล่ง่าย</t>
        </is>
      </c>
      <c r="I13" s="26" t="inlineStr">
        <is>
          <t>จัดซื้อหัวฉีดสำรองและไส้กรองตะกอนดักก่อนเข้าวาล์ว</t>
        </is>
      </c>
      <c r="J13" s="26" t="inlineStr">
        <is>
          <t>ทำบันทึกข้อตกลง (MOU) ยินยอมการใช้น้ำกับอาคาร และติดตั้งป้ายเตือนระวังพื้นลื่น</t>
        </is>
      </c>
      <c r="K13" s="26" t="inlineStr">
        <is>
          <t>เปิดเผยวงจรควบคุมเป็น Public Domain สำหรับการศึกษา</t>
        </is>
      </c>
      <c r="L13" s="26" t="inlineStr">
        <is>
          <t>ติดตั้งวาล์วแบบปิดอัตโนมัติเมื่อไฟดับ (Normally-Closed) และฟิวส์ตัดน้ำ</t>
        </is>
      </c>
      <c r="M13" s="26" t="inlineStr">
        <is>
          <t>เปลี่ยนเป้าหมายไปติดตั้งในพื้นที่สาธารณะของรัฐ เช่น ลานหน้าสำนักงานเขต</t>
        </is>
      </c>
      <c r="N13" s="26" t="inlineStr">
        <is>
          <t>ทดสอบการทำงานของระบบบนระเบียงหรือลานกลางแจ้งของคณะ</t>
        </is>
      </c>
      <c r="O13" s="26" t="inlineStr">
        <is>
          <t>จัดทำแผนผังการต่อสายไฟและไดอะแกรมท่อประปาฉบับเข้าใจง่าย</t>
        </is>
      </c>
      <c r="P13" s="26" t="inlineStr">
        <is>
          <t>จัดซื้ออุปกรณ์ทั้งหมดในสัปดาห์ที่ 9 เพื่อเริ่มประกอบทันที</t>
        </is>
      </c>
      <c r="Q13" s="26" t="inlineStr">
        <is>
          <t>เก็บข้อมูลอุณหภูมิเพื่อศึกษาผลกระทบเฉพาะจุลภูมิอากาศ (Microclimate)</t>
        </is>
      </c>
      <c r="R13" s="26" t="inlineStr">
        <is>
          <t>ตั้งระบบจำกัดการใช้น้ำไม่เกิน 10 ลิตรต่อชั่วโมงต่อจุด</t>
        </is>
      </c>
      <c r="S13" s="26" t="inlineStr">
        <is>
          <t>แสดงค่าอุณหภูมิและสถานะวาล์วบนหน้าจอดิจิทัลแบบเรียลไทม์</t>
        </is>
      </c>
      <c r="T13" s="25" t="inlineStr">
        <is>
          <t>ปฏิบัติตามแผนลดขอบเขตงาน (De-scoping Advisory)</t>
        </is>
      </c>
    </row>
    <row r="14" ht="15" customHeight="1"/>
    <row r="15" ht="26" customHeight="1">
      <c r="A15" s="19" t="inlineStr">
        <is>
          <t>ตารางสรุปคะแนนแยกตามมิติ TELOS+S (Pillar Score Breakdown)</t>
        </is>
      </c>
    </row>
    <row r="16" ht="24" customHeight="1">
      <c r="A16" s="34" t="inlineStr">
        <is>
          <t>มิติการประเมิน (TELOS+S Pillar)</t>
        </is>
      </c>
      <c r="B16" s="34" t="inlineStr">
        <is>
          <t>สัดส่วนน้ำหนัก (Weight %)</t>
        </is>
      </c>
      <c r="C16" s="34" t="inlineStr">
        <is>
          <t>คะแนนเต็มมิติ (Max Points)</t>
        </is>
      </c>
      <c r="D16" s="34" t="inlineStr">
        <is>
          <t>คะแนนที่ได้รับจริง (Earned Points)</t>
        </is>
      </c>
      <c r="E16" s="34" t="inlineStr">
        <is>
          <t>คะแนนเฉลี่ย (Score 1-5)</t>
        </is>
      </c>
      <c r="F16" s="34" t="inlineStr">
        <is>
          <t>ระดับความพร้อม (Readiness Level)</t>
        </is>
      </c>
    </row>
    <row r="17" ht="22" customHeight="1">
      <c r="A17" s="35" t="inlineStr">
        <is>
          <t>T : ด้านเทคโนโลยีและวิศวกรรม (Technical)</t>
        </is>
      </c>
      <c r="B17" s="36" t="n">
        <v>0.2</v>
      </c>
      <c r="C17" s="37" t="n">
        <v>20</v>
      </c>
      <c r="D17" s="38">
        <f>SUM(B11:F11)*20</f>
        <v/>
      </c>
      <c r="E17" s="39">
        <f>IF(C17&gt;0, (D17/C17)*5, 0)</f>
        <v/>
      </c>
      <c r="F17" s="25">
        <f>IF(D17&gt;=16.0, "พร้อมระดับสูง (High)", IF(D17&gt;=12.0, "ปานกลาง (Medium)", "เสี่ยงวิกฤต (Critical)"))</f>
        <v/>
      </c>
    </row>
    <row r="18" ht="22" customHeight="1">
      <c r="A18" s="35" t="inlineStr">
        <is>
          <t>E : ด้านเศรษฐศาสตร์และความคุ้มค่า (Economic)</t>
        </is>
      </c>
      <c r="B18" s="36" t="n">
        <v>0.2</v>
      </c>
      <c r="C18" s="37" t="n">
        <v>20</v>
      </c>
      <c r="D18" s="38">
        <f>SUM(G11:I11)*20</f>
        <v/>
      </c>
      <c r="E18" s="39">
        <f>IF(C18&gt;0, (D18/C18)*5, 0)</f>
        <v/>
      </c>
      <c r="F18" s="25">
        <f>IF(D18&gt;=16.0, "พร้อมระดับสูง (High)", IF(D18&gt;=12.0, "ปานกลาง (Medium)", "เสี่ยงวิกฤต (Critical)"))</f>
        <v/>
      </c>
    </row>
    <row r="19" ht="22" customHeight="1">
      <c r="A19" s="35" t="inlineStr">
        <is>
          <t>L : ด้านกฎหมาย ระเบียบ และภาคประชาชน (Legal &amp; Outreach)</t>
        </is>
      </c>
      <c r="B19" s="36" t="n">
        <v>0.15</v>
      </c>
      <c r="C19" s="37" t="n">
        <v>15</v>
      </c>
      <c r="D19" s="38">
        <f>SUM(J11:K11)*20</f>
        <v/>
      </c>
      <c r="E19" s="39">
        <f>IF(C19&gt;0, (D19/C19)*5, 0)</f>
        <v/>
      </c>
      <c r="F19" s="25">
        <f>IF(D19&gt;=12.0, "พร้อมระดับสูง (High)", IF(D19&gt;=9.0, "ปานกลาง (Medium)", "เสี่ยงวิกฤต (Critical)"))</f>
        <v/>
      </c>
    </row>
    <row r="20" ht="22" customHeight="1">
      <c r="A20" s="35" t="inlineStr">
        <is>
          <t>O : ด้านการปฏิบัติการและหน้างาน (Operational)</t>
        </is>
      </c>
      <c r="B20" s="36" t="n">
        <v>0.2</v>
      </c>
      <c r="C20" s="37" t="n">
        <v>20</v>
      </c>
      <c r="D20" s="38">
        <f>SUM(L11:O11)*20</f>
        <v/>
      </c>
      <c r="E20" s="39">
        <f>IF(C20&gt;0, (D20/C20)*5, 0)</f>
        <v/>
      </c>
      <c r="F20" s="25">
        <f>IF(D20&gt;=16.0, "พร้อมระดับสูง (High)", IF(D20&gt;=12.0, "ปานกลาง (Medium)", "เสี่ยงวิกฤต (Critical)"))</f>
        <v/>
      </c>
    </row>
    <row r="21" ht="22" customHeight="1">
      <c r="A21" s="35" t="inlineStr">
        <is>
          <t>S : ด้านแผนงานและเวลาส่งมอบ (Schedule)</t>
        </is>
      </c>
      <c r="B21" s="36" t="n">
        <v>0.15</v>
      </c>
      <c r="C21" s="37" t="n">
        <v>15</v>
      </c>
      <c r="D21" s="38">
        <f>P11*20</f>
        <v/>
      </c>
      <c r="E21" s="39">
        <f>IF(C21&gt;0, (D21/C21)*5, 0)</f>
        <v/>
      </c>
      <c r="F21" s="25">
        <f>IF(D21&gt;=12.0, "พร้อมระดับสูง (High)", IF(D21&gt;=9.0, "ปานกลาง (Medium)", "เสี่ยงวิกฤต (Critical)"))</f>
        <v/>
      </c>
    </row>
    <row r="22" ht="22" customHeight="1">
      <c r="A22" s="35" t="inlineStr">
        <is>
          <t>+S : ด้านความยั่งยืนและสิ่งแวดล้อม (Sustainability / SDG)</t>
        </is>
      </c>
      <c r="B22" s="36" t="n">
        <v>0.1</v>
      </c>
      <c r="C22" s="37" t="n">
        <v>10</v>
      </c>
      <c r="D22" s="38">
        <f>SUM(Q11:S11)*20</f>
        <v/>
      </c>
      <c r="E22" s="39">
        <f>IF(C22&gt;0, (D22/C22)*5, 0)</f>
        <v/>
      </c>
      <c r="F22" s="25">
        <f>IF(D22&gt;=8.0, "พร้อมระดับสูง (High)", IF(D22&gt;=6.0, "ปานกลาง (Medium)", "เสี่ยงวิกฤต (Critical)"))</f>
        <v/>
      </c>
    </row>
    <row r="23" ht="26" customHeight="1">
      <c r="A23" s="40" t="inlineStr">
        <is>
          <t>คะแนนรวมทุกมิติ (Total Feasibility Score)</t>
        </is>
      </c>
      <c r="B23" s="31">
        <f>SUM(B17:B22)</f>
        <v/>
      </c>
      <c r="C23" s="41">
        <f>SUM(C17:C22)</f>
        <v/>
      </c>
      <c r="D23" s="42">
        <f>SUM(D17:D22)</f>
        <v/>
      </c>
      <c r="E23" s="32">
        <f>IF(C23&gt;0, (D23/C23)*5, 0)</f>
        <v/>
      </c>
      <c r="F23" s="43">
        <f>IF(D23&gt;=80, "ผ่านเกณฑ์ระดับสูง (HIGHLY VIABLE)", IF(D23&gt;=60, "ผ่านแบบมีเงื่อนไข (CONDITIONALLY VIABLE)", "ความเสี่ยงสูง (HIGH RISK)"))</f>
        <v/>
      </c>
    </row>
    <row r="24" ht="12" customHeight="1"/>
    <row r="25" ht="26" customHeight="1">
      <c r="A25" s="19" t="inlineStr">
        <is>
          <t>เมทริกซ์ประเมินความเข้ากันได้กับองค์ความรู้ด้านวิศวกรรมหุ่นยนต์ (Robotics Knowledge Compatibility)</t>
        </is>
      </c>
    </row>
    <row r="26" ht="22" customHeight="1">
      <c r="A26" s="20" t="inlineStr">
        <is>
          <t>* หมายเหตุ: การประเมินส่วนนี้วัดศักยภาพในการประยุกต์ใช้องค์ความรู้ด้านวิศวกรรมหุ่นยนต์ (Perception, Control, Actuation, Mechatronics) เต็ม 10 คะแนน | เป็นเอกเทศ ไม่นับรวมในคะแนน TELOS 100 คะแนน</t>
        </is>
      </c>
    </row>
    <row r="27" ht="24" customHeight="1">
      <c r="A27" s="44" t="inlineStr">
        <is>
          <t>มิติการประเมิน (Robotics Dimension)</t>
        </is>
      </c>
      <c r="B27" s="44" t="inlineStr">
        <is>
          <t>คะแนนศักยภาพ (/10)</t>
        </is>
      </c>
      <c r="C27" s="44" t="inlineStr">
        <is>
          <t>แกน Perception &amp; Sensing (การรับรู้)</t>
        </is>
      </c>
      <c r="D27" s="44" t="inlineStr">
        <is>
          <t>แกน Control &amp; Algorithms (การควบคุม)</t>
        </is>
      </c>
      <c r="E27" s="44" t="inlineStr">
        <is>
          <t>แกน Actuation &amp; Mechanisms (กลไก)</t>
        </is>
      </c>
      <c r="F27" s="44" t="inlineStr">
        <is>
          <t>บทวิเคราะห์เชิงวิศวกรรมหุ่นยนต์ (FIBO Alignment Rationale)</t>
        </is>
      </c>
    </row>
    <row r="28" ht="95" customHeight="1">
      <c r="A28" s="45" t="inlineStr">
        <is>
          <t>ศักยภาพการประยุกต์ใช้องค์ความรู้หุ่นยนต์และระบบอัตโนมัติ</t>
        </is>
      </c>
      <c r="B28" s="46" t="n">
        <v>7.3</v>
      </c>
      <c r="C28" s="26" t="inlineStr">
        <is>
          <t>Real-time non-contact infrared radiometric surface temperature sensing and ambient humidity/microclimate monitoring.</t>
        </is>
      </c>
      <c r="D28" s="26" t="inlineStr">
        <is>
          <t>Adaptive closed-loop feedback control, thermodynamic latent heat balance modeling, and hysteresis/PWM duty-cycle modulation to prevent water runoff.</t>
        </is>
      </c>
      <c r="E28" s="26" t="inlineStr">
        <is>
          <t>Active fluidic actuation comprising high-pressure booster pump, fast-acting solenoid valves, atomizing mist nozzle array, and hydraulic manifold mechanical assemblies.</t>
        </is>
      </c>
      <c r="F28" s="26" t="inlineStr">
        <is>
          <t>Solution 3 successfully completes the closed-loop robotic triad (Sense -&gt; Think -&gt; Act -&gt; Feedback) by measuring environmental thermal state, computing dynamic cooling requirements, and physically actuating fluid valves to alter surface temperature. It provides 100% utilization of the team's multidisciplinary skills (CAD/FEA mechanics, custom PCB electronics, feedback control firmware, and telemetry analytics). It scores 7.3 rather than 10.0 due to being a stationary cyber-physical mechatronic system lacking multi-DOF kinematics or mobile locomotion.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2026-09-26T09:22:10Z</dcterms:created>
  <dcterms:modified xsi:type="dcterms:W3CDTF">2026-09-26T09:22:10Z</dcterms:modified>
</cp:coreProperties>
</file>