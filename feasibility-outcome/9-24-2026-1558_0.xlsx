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FRA362-custom-research-ai-agent-cli\feasibility-outcome\"/>
    </mc:Choice>
  </mc:AlternateContent>
  <xr:revisionPtr revIDLastSave="0" documentId="13_ncr:1_{52EF7607-7B57-4B42-B62F-CB67F1767C8E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เปรียบเทียบทุก Solution" sheetId="1" r:id="rId1"/>
    <sheet name="Solution-1" sheetId="2" r:id="rId2"/>
    <sheet name="Solution-2" sheetId="3" r:id="rId3"/>
    <sheet name="Solution-3" sheetId="4" r:id="rId4"/>
    <sheet name="Solution-4" sheetId="5" r:id="rId5"/>
    <sheet name="Solution-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B23" i="6"/>
  <c r="D21" i="6"/>
  <c r="F21" i="6" s="1"/>
  <c r="V11" i="6"/>
  <c r="U11" i="6"/>
  <c r="T11" i="6"/>
  <c r="D22" i="6" s="1"/>
  <c r="S11" i="6"/>
  <c r="R11" i="6"/>
  <c r="Q11" i="6"/>
  <c r="P11" i="6"/>
  <c r="O11" i="6"/>
  <c r="N11" i="6"/>
  <c r="M11" i="6"/>
  <c r="L11" i="6"/>
  <c r="D20" i="6" s="1"/>
  <c r="K11" i="6"/>
  <c r="J11" i="6"/>
  <c r="D19" i="6" s="1"/>
  <c r="I11" i="6"/>
  <c r="H11" i="6"/>
  <c r="G11" i="6"/>
  <c r="W11" i="6" s="1"/>
  <c r="W9" i="6" s="1"/>
  <c r="F11" i="6"/>
  <c r="E11" i="6"/>
  <c r="D11" i="6"/>
  <c r="C11" i="6"/>
  <c r="D17" i="6" s="1"/>
  <c r="B11" i="6"/>
  <c r="W10" i="6"/>
  <c r="C23" i="5"/>
  <c r="B23" i="5"/>
  <c r="D22" i="5"/>
  <c r="F22" i="5" s="1"/>
  <c r="F19" i="5"/>
  <c r="D19" i="5"/>
  <c r="G8" i="1" s="1"/>
  <c r="D18" i="5"/>
  <c r="F8" i="1" s="1"/>
  <c r="V11" i="5"/>
  <c r="U11" i="5"/>
  <c r="T11" i="5"/>
  <c r="S11" i="5"/>
  <c r="D21" i="5" s="1"/>
  <c r="R11" i="5"/>
  <c r="Q11" i="5"/>
  <c r="P11" i="5"/>
  <c r="O11" i="5"/>
  <c r="N11" i="5"/>
  <c r="M11" i="5"/>
  <c r="L11" i="5"/>
  <c r="D20" i="5" s="1"/>
  <c r="K11" i="5"/>
  <c r="J11" i="5"/>
  <c r="I11" i="5"/>
  <c r="H11" i="5"/>
  <c r="G11" i="5"/>
  <c r="F11" i="5"/>
  <c r="E11" i="5"/>
  <c r="D11" i="5"/>
  <c r="C11" i="5"/>
  <c r="B11" i="5"/>
  <c r="D17" i="5" s="1"/>
  <c r="W10" i="5"/>
  <c r="C23" i="4"/>
  <c r="B23" i="4"/>
  <c r="V11" i="4"/>
  <c r="U11" i="4"/>
  <c r="T11" i="4"/>
  <c r="D22" i="4" s="1"/>
  <c r="S11" i="4"/>
  <c r="R11" i="4"/>
  <c r="D21" i="4" s="1"/>
  <c r="Q11" i="4"/>
  <c r="P11" i="4"/>
  <c r="O11" i="4"/>
  <c r="D20" i="4" s="1"/>
  <c r="N11" i="4"/>
  <c r="M11" i="4"/>
  <c r="L11" i="4"/>
  <c r="K11" i="4"/>
  <c r="D19" i="4" s="1"/>
  <c r="J11" i="4"/>
  <c r="I11" i="4"/>
  <c r="H11" i="4"/>
  <c r="G11" i="4"/>
  <c r="D18" i="4" s="1"/>
  <c r="F11" i="4"/>
  <c r="D17" i="4" s="1"/>
  <c r="E11" i="4"/>
  <c r="D11" i="4"/>
  <c r="W11" i="4" s="1"/>
  <c r="W9" i="4" s="1"/>
  <c r="C11" i="4"/>
  <c r="B11" i="4"/>
  <c r="W10" i="4"/>
  <c r="C23" i="3"/>
  <c r="B23" i="3"/>
  <c r="D22" i="3"/>
  <c r="E22" i="3" s="1"/>
  <c r="D17" i="3"/>
  <c r="E6" i="1" s="1"/>
  <c r="V11" i="3"/>
  <c r="U11" i="3"/>
  <c r="T11" i="3"/>
  <c r="S11" i="3"/>
  <c r="R11" i="3"/>
  <c r="D21" i="3" s="1"/>
  <c r="Q11" i="3"/>
  <c r="P11" i="3"/>
  <c r="O11" i="3"/>
  <c r="N11" i="3"/>
  <c r="M11" i="3"/>
  <c r="L11" i="3"/>
  <c r="D20" i="3" s="1"/>
  <c r="K11" i="3"/>
  <c r="D19" i="3" s="1"/>
  <c r="J11" i="3"/>
  <c r="I11" i="3"/>
  <c r="H11" i="3"/>
  <c r="G11" i="3"/>
  <c r="D18" i="3" s="1"/>
  <c r="F11" i="3"/>
  <c r="E11" i="3"/>
  <c r="D11" i="3"/>
  <c r="C11" i="3"/>
  <c r="W11" i="3" s="1"/>
  <c r="W9" i="3" s="1"/>
  <c r="B11" i="3"/>
  <c r="W10" i="3"/>
  <c r="C23" i="2"/>
  <c r="B23" i="2"/>
  <c r="D21" i="2"/>
  <c r="E21" i="2" s="1"/>
  <c r="D19" i="2"/>
  <c r="F19" i="2" s="1"/>
  <c r="V11" i="2"/>
  <c r="U11" i="2"/>
  <c r="T11" i="2"/>
  <c r="D22" i="2" s="1"/>
  <c r="S11" i="2"/>
  <c r="R11" i="2"/>
  <c r="Q11" i="2"/>
  <c r="P11" i="2"/>
  <c r="D20" i="2" s="1"/>
  <c r="O11" i="2"/>
  <c r="N11" i="2"/>
  <c r="M11" i="2"/>
  <c r="L11" i="2"/>
  <c r="K11" i="2"/>
  <c r="J11" i="2"/>
  <c r="I11" i="2"/>
  <c r="H11" i="2"/>
  <c r="G11" i="2"/>
  <c r="D18" i="2" s="1"/>
  <c r="F11" i="2"/>
  <c r="E11" i="2"/>
  <c r="D11" i="2"/>
  <c r="C11" i="2"/>
  <c r="W11" i="2" s="1"/>
  <c r="B11" i="2"/>
  <c r="D17" i="2" s="1"/>
  <c r="W10" i="2"/>
  <c r="W9" i="2" s="1"/>
  <c r="F19" i="6" l="1"/>
  <c r="E19" i="6"/>
  <c r="G9" i="1"/>
  <c r="D9" i="1"/>
  <c r="W12" i="6"/>
  <c r="K9" i="1" s="1"/>
  <c r="F18" i="4"/>
  <c r="E18" i="4"/>
  <c r="F7" i="1"/>
  <c r="D7" i="1"/>
  <c r="W12" i="4"/>
  <c r="K7" i="1" s="1"/>
  <c r="H9" i="1"/>
  <c r="E20" i="6"/>
  <c r="F20" i="6"/>
  <c r="F22" i="2"/>
  <c r="E22" i="2"/>
  <c r="J5" i="1"/>
  <c r="E8" i="1"/>
  <c r="E17" i="5"/>
  <c r="F17" i="5"/>
  <c r="D23" i="5"/>
  <c r="F23" i="5" s="1"/>
  <c r="F17" i="2"/>
  <c r="E17" i="2"/>
  <c r="D23" i="2"/>
  <c r="F23" i="2" s="1"/>
  <c r="E5" i="1"/>
  <c r="G7" i="1"/>
  <c r="F19" i="4"/>
  <c r="E19" i="4"/>
  <c r="F17" i="6"/>
  <c r="E17" i="6"/>
  <c r="E9" i="1"/>
  <c r="D6" i="1"/>
  <c r="W12" i="3"/>
  <c r="K6" i="1" s="1"/>
  <c r="F6" i="1"/>
  <c r="F18" i="3"/>
  <c r="E18" i="3"/>
  <c r="D23" i="3"/>
  <c r="G6" i="1"/>
  <c r="F19" i="3"/>
  <c r="E19" i="3"/>
  <c r="E20" i="3"/>
  <c r="F20" i="3"/>
  <c r="H6" i="1"/>
  <c r="W12" i="2"/>
  <c r="K5" i="1" s="1"/>
  <c r="D5" i="1"/>
  <c r="H7" i="1"/>
  <c r="F20" i="4"/>
  <c r="E20" i="4"/>
  <c r="W9" i="5"/>
  <c r="F17" i="4"/>
  <c r="E17" i="4"/>
  <c r="E7" i="1"/>
  <c r="D23" i="4"/>
  <c r="F23" i="4" s="1"/>
  <c r="F20" i="5"/>
  <c r="E20" i="5"/>
  <c r="H8" i="1"/>
  <c r="F18" i="2"/>
  <c r="E18" i="2"/>
  <c r="F5" i="1"/>
  <c r="F21" i="5"/>
  <c r="E21" i="5"/>
  <c r="I8" i="1"/>
  <c r="F22" i="6"/>
  <c r="E22" i="6"/>
  <c r="J9" i="1"/>
  <c r="I7" i="1"/>
  <c r="F21" i="4"/>
  <c r="E21" i="4"/>
  <c r="F20" i="2"/>
  <c r="E20" i="2"/>
  <c r="H5" i="1"/>
  <c r="E21" i="3"/>
  <c r="I6" i="1"/>
  <c r="F21" i="3"/>
  <c r="J7" i="1"/>
  <c r="F22" i="4"/>
  <c r="E22" i="4"/>
  <c r="E22" i="5"/>
  <c r="J8" i="1"/>
  <c r="E17" i="3"/>
  <c r="G5" i="1"/>
  <c r="F17" i="3"/>
  <c r="I5" i="1"/>
  <c r="D18" i="6"/>
  <c r="I9" i="1"/>
  <c r="E19" i="2"/>
  <c r="W11" i="5"/>
  <c r="E18" i="5"/>
  <c r="J6" i="1"/>
  <c r="F22" i="3"/>
  <c r="F18" i="5"/>
  <c r="E21" i="6"/>
  <c r="E19" i="5"/>
  <c r="F21" i="2"/>
  <c r="D8" i="1" l="1"/>
  <c r="W12" i="5"/>
  <c r="K8" i="1" s="1"/>
  <c r="F23" i="3"/>
  <c r="E23" i="3"/>
  <c r="E23" i="5"/>
  <c r="F18" i="6"/>
  <c r="E18" i="6"/>
  <c r="F9" i="1"/>
  <c r="D23" i="6"/>
  <c r="E23" i="2"/>
  <c r="E23" i="4"/>
  <c r="F23" i="6" l="1"/>
  <c r="E23" i="6"/>
</calcChain>
</file>

<file path=xl/sharedStrings.xml><?xml version="1.0" encoding="utf-8"?>
<sst xmlns="http://schemas.openxmlformats.org/spreadsheetml/2006/main" count="1008" uniqueCount="404">
  <si>
    <t>ตารางเปรียบเทียบความเป็นไปได้ของทุกข้อเสนอ (Multi-Solution Feasibility Summary)</t>
  </si>
  <si>
    <t>วิเคราะห์เปรียบเทียบเชิงระบบตามเกณฑ์ TELOS+S (เต็ม 100) และเมทริกซ์ศักยภาพด้านวิศวกรรมหุ่นยนต์ (เต็ม 10 แยกอิสระ)</t>
  </si>
  <si>
    <t>ลำดับ</t>
  </si>
  <si>
    <t>รหัสข้อเสนอ (Solution ID)</t>
  </si>
  <si>
    <t>ชื่อแนวทางแก้ปัญหา (Title / Concept)</t>
  </si>
  <si>
    <t>คะแนนรวม (เต็ม 100)</t>
  </si>
  <si>
    <t>T: เทคนิค (/20)</t>
  </si>
  <si>
    <t>E: เศรษฐศาสตร์ (/20)</t>
  </si>
  <si>
    <t>L: กฎหมาย (/15)</t>
  </si>
  <si>
    <t>O: ปฏิบัติการ (/20)</t>
  </si>
  <si>
    <t>S: แผนงาน (/15)</t>
  </si>
  <si>
    <t>+S: ยั่งยืน (/10)</t>
  </si>
  <si>
    <t>ผลการประเมิน (Verdict)</t>
  </si>
  <si>
    <t>จุดแข็งสำคัญ (Key Strengths)</t>
  </si>
  <si>
    <t>จุดติดขัดวิกฤต (Critical Bottlenecks)</t>
  </si>
  <si>
    <t>คำแนะนำเชิงระบบ (Strategic Advice)</t>
  </si>
  <si>
    <t>Robotics Potential (/10)</t>
  </si>
  <si>
    <t>เหตุผลความเข้ากันได้ด้านหุ่นยนต์ (Robotics Engineering Rationale)</t>
  </si>
  <si>
    <t>Solution-1</t>
  </si>
  <si>
    <t>Recession Rate (dh/dt) Predictive Filtering for QRT Dispatch (Ann Arbor Case)</t>
  </si>
  <si>
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</si>
  <si>
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</si>
  <si>
    <t>พัฒนาโมดูลคำนวณ dh/dt บน Python/ROS 2 ร่วมกับ Screw Terminal Shield และออกแบบ Median Filter กรองสัญญาณผิวน้ำ</t>
  </si>
  <si>
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</si>
  <si>
    <t>Solution-2</t>
  </si>
  <si>
    <t>PUB Singapore CWOS 2-Factor Authentication Dispatch Filter</t>
  </si>
  <si>
    <t>กรองการสั่งการเจ้าหน้าที่หน่วยเคลื่อนที่เร็วด้วยปัจจัยคู่ (Radar Rainfall API + Ultrasonic Water Level) สกัด False Alarms ฝนตกไม่ท่วมได้เด็ดขาด ต้นทุนต่ำมาก</t>
  </si>
  <si>
    <t>ต้องพึ่งพา Radar Rainfall API ภายนอก หาก API ล่มหรือข้อมูลดีเลย์ 10-15 นาที จะกระทบการตัดสินใจ</t>
  </si>
  <si>
    <t>ทำระบบ Fallback ไปใช้ค่าจากเซนเซอร์ระดับน้ำหน้างานแบบเดี่ยวหาก API ขาดการเชื่อมต่อ และเชื่อมเข้า LINE Official ของเขต</t>
  </si>
  <si>
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</si>
  <si>
    <t>Solution-3</t>
  </si>
  <si>
    <t>Acoustic Sewer Measurement &amp; Pre-Screening Maintenance (UK/USA SL-RAT Case)</t>
  </si>
  <si>
    <t>คัดกรองสภาพความสะอาดท่อระบายน้ำด้วยคลื่นเสียงสะท้อน (Acoustic SL-RAT) จัดเทียร์ 3 กลุ่ม (0-3 ล้างทันที, 4-6 จัดคิว, 7-10 ปกติ) ลดงบขุดลอกสุ่มได้มหาศาล</t>
  </si>
  <si>
    <t>การออกแบบกระบอกสะท้อนเสียงฮอร์น (Acoustic Horn) และการประมวลผลสัญญาณคลื่นเสียง (DSP) มีความซับซ้อนสูง และต้องเปิดฝาท่อริมถนน</t>
  </si>
  <si>
    <t>ใช้กระบอกสะท้อนเสียงแบบ 3D Printing ร่วมกับโมดูลขยายเสียงสำเร็จรูป และทดสอบเทียบเคียงกับโมเดลท่อ PVC ในห้องปฏิบัติการก่อนลงพื้นที่จริง</t>
  </si>
  <si>
    <t>มีความเข้ากันได้สูงมากกับศาสตร์วิศวกรรมหุ่นยนต์ในแกน Sensing &amp; Signal Processing ระดับ Transducer และทฤษฎีคลื่นเสียง มีการต่อยอดสู่หุ่นยนต์ตรวจสอบท่อระบายน้ำอัตโนมัติ (Pipe Inspection Robot) ได้โดยตรง คะแนนจึงอยู่ที่ 8.5</t>
  </si>
  <si>
    <t>Solution-4</t>
  </si>
  <si>
    <t>Underground Flow Telemetry &amp; Predictive Maintenance (Jakarta Case)</t>
  </si>
  <si>
    <t>ติดตั้งโครงข่ายเซนเซอร์ใต้ดินส่งสัญญาณ LoRaWAN รายงานอัตราการไหลและเตือนจุดวิกฤตแบบกระจายตัว</t>
  </si>
  <si>
    <t>สภาพแวดล้อมใต้ท่อระบายน้ำมีความชื้น 100% ก๊าซไข่เน่า (H2S) กัดกร่อน และสัญญาณวิทยุทะลุฝาท่อคอนกรีตขึ้นมาได้ยาก</t>
  </si>
  <si>
    <t>ใช้เสาอากาศแบบฝังขอบฝาท่อระบายน้ำ (Surface-mount Antenna) เคลือบเรซินกันกรดในกล่อง IP68 และตั้งเวลาส่งสัญญาณเป็นรอบเพื่อประหยัดแบตเตอรี่</t>
  </si>
  <si>
    <t>มีความเข้ากันได้ในแกน Distributed Sensor Network, การสื่อสารทางไกล และการประมวลผลข้อมูลโทรมาตร แต่ขาดแกนกลไกและการเคลื่อนที่ของหุ่นยนต์ คะแนนจึงอยู่ที่ 6.5</t>
  </si>
  <si>
    <t>Solution-5</t>
  </si>
  <si>
    <t>UHI Latent Heat Precision Road Cooling (Micro-dosing 0.2-0.4 mm Evaporative Spraying)</t>
  </si>
  <si>
    <t>ระบบพ่นละอองน้ำละเอียด (0.2–0.4 mm) ระบายความร้อนผิวทางเท้าและถนนด้วยความร้อนแฝงการกลายเป็นไอ (Latent Heat) มีศักยภาพด้าน Mechatronics และ Actuation สูงสุด</t>
  </si>
  <si>
    <t>การพ่นน้ำบนถนนหลวงมีความเสี่ยงต่อกฎหมายจราจร (ผิวทางลื่น) และโครงสร้างบูมฉีดน้ำบนรถเสี่ยงต่อการสั่นสะเทือนและหัวฉีดอุดตันจากตะกรัน</t>
  </si>
  <si>
    <t>ติดตั้งเซนเซอร์วัดความชื้นผิวถนนแบบเรียลไทม์เพื่อตัดการฉีดพ่นทันที และติดตั้งระบบกรองน้ำ 2 ชั้น (Sediment + Anti-scale)</t>
  </si>
  <si>
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</si>
  <si>
    <t>เมทริกซ์ประเมินความเป็นไปได้เชิงระบบ TELOS+S: Recession Rate (dh/dt) Predictive Filtering for QRT Dispatch (Ann Arbor Case)</t>
  </si>
  <si>
    <t>ระบบคะแนนจำนวนเต็มเด็ดขาด: 1, 2, 3, 4, 5 เท่านั้น (ไม่มีจุดทศนิยม / ไม่มี 0.5) | โครงสร้างแบบ Transposed แนวนอน</t>
  </si>
  <si>
    <t>รหัสคำถาม (Question Code)</t>
  </si>
  <si>
    <t>T-01</t>
  </si>
  <si>
    <t>T-02</t>
  </si>
  <si>
    <t>T-03</t>
  </si>
  <si>
    <t>T-04</t>
  </si>
  <si>
    <t>T-05</t>
  </si>
  <si>
    <t>E-01</t>
  </si>
  <si>
    <t>E-02</t>
  </si>
  <si>
    <t>E-03</t>
  </si>
  <si>
    <t>L-01</t>
  </si>
  <si>
    <t>L-02</t>
  </si>
  <si>
    <t>O-01</t>
  </si>
  <si>
    <t>O-02</t>
  </si>
  <si>
    <t>O-03</t>
  </si>
  <si>
    <t>O-04</t>
  </si>
  <si>
    <t>O-05</t>
  </si>
  <si>
    <t>O-06</t>
  </si>
  <si>
    <t>S-01</t>
  </si>
  <si>
    <t>S-02</t>
  </si>
  <si>
    <t>SDG-01</t>
  </si>
  <si>
    <t>SDG-02</t>
  </si>
  <si>
    <t>SDG-03</t>
  </si>
  <si>
    <t>สรุปภาพรวม (SUMMARY)</t>
  </si>
  <si>
    <t>มิติการประเมิน (TELOS+S Pillar)</t>
  </si>
  <si>
    <t>ด้านเทคโนโลยีและวิศวกรรม (Technical Feasibility)</t>
  </si>
  <si>
    <t>ด้านเศรษฐศาสตร์ (Economic Feasibility)</t>
  </si>
  <si>
    <t>ด้านกฎหมายและสถาบัน (Legal &amp; Institutional Feasibility)</t>
  </si>
  <si>
    <t>ด้านการปฏิบัติการ (Operational Feasibility)</t>
  </si>
  <si>
    <t>ด้านแผนงานและเวลา (Schedule Feasibility)</t>
  </si>
  <si>
    <t>+S ด้านความยั่งยืน (Sustainable Feasibility)</t>
  </si>
  <si>
    <t>ผลรวมทุกมิติ (All Pillars)</t>
  </si>
  <si>
    <t>คำถามทดสอบความเสี่ยงจริง (Stress-Test Question)</t>
  </si>
  <si>
    <t>Implementation (Build vs. Buy Burden): ระบบต้องพัฒนาขึ้นเองจากศูนย์ (Custom R&amp;D) หรือสามารถประกอบขึ้นจากโมดูลสำเร็จรูป (COTS Assembly)?</t>
  </si>
  <si>
    <t>Access (Tech Stack &amp; Ecosystem Permissions): สแตกเทคโนโลยีและสิทธิ์การเข้าถึงระบบ (Permissions &amp; Ecosystem) มีความเปิดกว้างเพียงใดในการตรวจสอบ แก้ไข และพัฒนาต่อยอด?</t>
  </si>
  <si>
    <t>Supply (Component Procurement &amp; Vendor Availability): ชิ้นส่วนและอุปกรณ์หลักมีห่วงโซ่อุปทานและความพร้อมในการจัดหา (Supply &amp; Vendor Availability) จากผู้จำหน่ายในระดับใด?</t>
  </si>
  <si>
    <t>Base Performance (Technology Readiness Level - TRL): ระดับความพร้อมของเทคโนโลยี (TRL) ของระบบอยู่ในขั้นใดเมื่อเทียบกับสภาวะแวดล้อมการใช้งานจริงหน้างาน?</t>
  </si>
  <si>
    <t>Team Compatibility (Manpower &amp; Skill Redundancy): ทักษะของสมาชิกในทีมมีความเข้ากันได้และการกระจายความเชี่ยวชาญสำรอง (Bus Factor &amp; Redundancy) มากน้อยเพียงใด?</t>
  </si>
  <si>
    <t>ROI (Payback Period / Value Horizon): ระยะเวลาคืนทุนและกรอบเวลาการสร้างผลตอบแทนคุ้มค่า (Payback Horizon) ต่อระบบสาธารณะหรือผู้ใช้งานอยู่ในเกณฑ์ใด?</t>
  </si>
  <si>
    <t>Dependencies of Component (Vendor Lock-in &amp; Service Autonomy): ระบบมีความเป็นอิสระจากการผูกขาดของผู้ผลิต (Vendor Lock-in) มากน้อยเพียงใด และสามารถซ่อมบำรุงด้วยเครื่องมือเปิดได้เองหรือไม่?</t>
  </si>
  <si>
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และการทดลองซ้ำมากน้อยเพียงใด?</t>
  </si>
  <si>
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หรือไม่?</t>
  </si>
  <si>
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</si>
  <si>
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</si>
  <si>
    <t>User — Customer / Public Safety &amp; Failsafes: ความปลอดภัยเชิงกลและไฟฟ้าต่อเจ้าหน้าที่ผู้ปฏิบัติงานและประชาชนในพื้นที่ (Intrinsic Safety &amp; Failsafes) มีระบบป้องกันในระดับใด?</t>
  </si>
  <si>
    <t>User — Behavior &amp; Workflow Disruption: ระบบสร้างความเปลี่ยนแปลงหรือรบกวนต่อขั้นตอนการทำงานปกติ (Standard Operating Procedure - SOP) ของผู้ใช้งานเดิมมากน้อยเพียงใด?</t>
  </si>
  <si>
    <t>Developer — Task Dependency (Critical Path Architecture): โครงสร้างสถาปัตยกรรมของระบบและการแบ่งส่วนงานระหว่างฮาร์ดแวร์ ซอฟต์แวร์ และกลไก มีการแยกส่วน (Decoupling) เพื่อให้พัฒนาคู่ขนานได้มากน้อยเพียงใด?</t>
  </si>
  <si>
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</si>
  <si>
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</si>
  <si>
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</si>
  <si>
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</si>
  <si>
    <t>Real Public Impact vs. Academic Greenwashing (SDG 11.5 / 13.1): Is this genuinely reducing flood/heat losses for the public, or is it just fluff for a presentation slide?</t>
  </si>
  <si>
    <t>Environmental Footprint &amp; E-Waste ("Do No Harm" — SDG 6.3 / 12.4): Will this hardware end up as toxic e-waste rotting at the bottom of a canal or washing down the river?</t>
  </si>
  <si>
    <t>Decision Transparency &amp; Public Fairness (SDG 10.2 / 16.6): Can an officer or citizen verify why the system made its call, or is it an unaccountable black box?</t>
  </si>
  <si>
    <t>ประเมินคำถามทั้งสิ้น 21 ข้อ</t>
  </si>
  <si>
    <t>เหตุผลในการถาม &amp; โหมดความล้มเหลวที่เฝ้าระวัง (Rationale)</t>
  </si>
  <si>
    <t>วัดภาระงานสร้างและการวิจัยพัฒนา (Build vs. Buy Burden) ยิ่งสร้างเองจากศูนย์มาก ยิ่งเสี่ยงต่อความล่าช้าและความล้มเหลว</t>
  </si>
  <si>
    <t>ตรวจสอบอุปสรรคด้านสิทธิ์การเข้าถึง (Access Barriers) เช่น NDA, Closed-source blobs, หรือข้อจำกัดด้านใบอนุญาตที่ขัดขวางการแก้บั๊ก</t>
  </si>
  <si>
    <t>ตรวจสอบความเสี่ยงด้านห่วงโซ่อุปทาน (Single-source, EOL, Overseas backlog) ที่อาจทำให้โครงการหยุดชะงักเมื่อชิ้นส่วนขาดตลาด</t>
  </si>
  <si>
    <t>ประเมินความเสถียรของเทคโนโลยีตามมาตรฐาน TRL จากระดับแล็บทดลอง (Lab model) ไปจนถึงระดับใช้งานจริงในสภาวะวิกฤต (Field-proven)</t>
  </si>
  <si>
    <t>ป้องกัน Single Point of Failure (SPOF) ด้านบุคคล หากมีสมาชิกคนใดคนหนึ่งไม่สามารถปฏิบัติงานได้ ระบบต้องยังสามารถพัฒนาและแก้ไขต่อได้</t>
  </si>
  <si>
    <t>วัดความคุ้มค่าทางเศรษฐศาสตร์และการคืนทุนจากการลดความสูญเสีย ค่าแรง หรือค่าเชื้อเพลิง</t>
  </si>
  <si>
    <t>ตรวจสอบภาระค่าใช้จ่ายแฝงระยะยาว (Recurring Cloud/Licensing Fees) และการพึ่งพาผู้ผลิตรายเดียว</t>
  </si>
  <si>
    <t>ตรวจสอบงบสำรองสำหรับชิ้นส่วนเสียหาย (Scrap Budget Rule) ป้องกันงานสะดุดเมื่อเกิดชิปไหม้หรือฮาร์ดแวร์หัก</t>
  </si>
  <si>
    <t>ตรวจสอบความเสี่ยงทางกฎหมายสาธารณะ (พ.ร.บ. จราจร, PDPA, กฎหมายสิ่งแวดล้อม และระเบียบทางหลวง)</t>
  </si>
  <si>
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</t>
  </si>
  <si>
    <t>ประเมินความสะดวกในการติดตั้งหน้างาน (Setup Friction) เพื่อป้องกันไม่ให้อุปกรณ์ถูกละเลยเนื่องจากการตั้งค่ายุ่งยาก</t>
  </si>
  <si>
    <t>ประเมินมาตรการความปลอดภัยและกลไกป้องกันอันตราย (Hazard Failsafes) เช่น สวิตช์ฉุกเฉิน E-stop, ฟิวส์, และการออกแบบป้องกันแรงดันสูง</t>
  </si>
  <si>
    <t>ประเมินแรงต้านทานจากผู้ใช้งาน (Workflow Friction) และความราบรื่นในการเชื่อมต่อเข้ากับระบบการทำงานเดิมของเจ้าหน้าที่</t>
  </si>
  <si>
    <t>ตรวจสอบคอขวดบนสายงานวิกฤต (Critical Path Bottleneck) ป้องกันไม่ให้ทีมซอฟต์แวร์ต้องหยุดรอแผ่นวงจรพิมพ์หรือกลไกที่ยังไม่เสร็จ</t>
  </si>
  <si>
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</si>
  <si>
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</si>
  <si>
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</si>
  <si>
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</si>
  <si>
    <t>Your team's 1 vs. 5 premise: "Pure buzzword bullshit to get a grade vs. Actually moves the needle on city infrastructure."</t>
  </si>
  <si>
    <t>Your team's 1 vs. 5 premise: "Dumping toxic e-waste into public canals vs. Zero-footprint hardware."</t>
  </si>
  <si>
    <t>Your team's 1 vs. 5 premise: "Black-box algorithm cutting services to poor areas vs. Open, verifiable math."</t>
  </si>
  <si>
    <t>สังเคราะห์จาก AI Agents Group 2</t>
  </si>
  <si>
    <t>เกณฑ์การให้คะแนน (Scoring Rubric Definition: ระดับ 1, 2, 3, 4, 5 ครบทุกระดับ)</t>
  </si>
  <si>
    <t>1 — Build from Scratch: 100% custom R&amp;D required (custom mechanism, custom PCB, raw algorithm derivation); no reference designs available.
2 — Heavy Customization: Core components exist, but requires extensive custom adaptation, structural machining, and custom wrapper code.
3 — Hybrid / COTS Integration: Standard COTS modules (e.g., standard dev board + breakout sensors) assembled with custom brackets and intermediate wiring.
4 — Modular COTS Assembly: Pre-engineered building blocks with standard mounting and standard communication buses (e.g., Din-rail modules, I2C/CAN shields); minimal custom fabrication.
5 — Commercial Off-the-Shelf (COTS): Buy and use directly out of the box (Plug-and-Play); zero mechanical or electrical fabrication required.</t>
  </si>
  <si>
    <t>1 — Strictly Restricted: Proprietary stack under NDA, blocked enterprise firewalls, or unavailable developer licenses.
2 — Limited Access: Closed binary blobs or third-party proprietary software; black-box firmware with zero internal telemetry or source code.
3 — Request-Based Access: Standard educational/evaluation license or public APIs with strict rate limits; requires account verification or approval delays.
4 — Open Developer Access: Free public SDKs, full documentation, and open developer access, but cannot modify upstream core source code.
5 — Unrestricted Full-Stack Access: Fully open source (permissive license) and open hardware; team has root/admin rights to modify, inspect, and deploy as both user and developer.</t>
  </si>
  <si>
    <t>1 — Sole-Source / Obsolete: Single overseas supplier, restricted export control, long backorder, or risk of end-of-life (EOL).
2 — Specialized Vendor: Only 1–2 niche industrial suppliers; requires formal corporate quote/PO process; no consumer retail channels.
3 — Moderate Availability: 2–3 regional distributors (e.g., DigiKey, Mouser, Element14); reliable stock but requires overseas shipping.
4 — Multi-Vendor Local Stock: Readily available from multiple domestic vendors; common industrial or maker components with reliable inventory.
5 — Commodity / Off-the-Shelf: Ubiquitous commodity item sold across multiple local electronics shops and online platforms (delivered in 1–2 days).</t>
  </si>
  <si>
    <t>1 — Proof of Concept (TRL 3): Bench breadboard or mathematical model; verified only in simulated/controlled lab conditions.
2 — Functional Breadboard (TRL 4): Integrated components working together in lab; messy wiring, fragile, uncalibrated for harsh environments.
3 — Alpha Prototype (TRL 5–6): Enclosed prototype tested in a relevant simulated environment; occasional crashes, requires human supervisor.
4 — Beta / Field-Proven (TRL 7): Pre-production hardware operating reliably in the actual operating environment under real stress.
5 — Commercial Product (TRL 8–9): Fully certified, production-grade commercial product with documented MTBF and mass field reliability.</t>
  </si>
  <si>
    <t>1 — Single Point of Failure (SPOF): Only 1 person has the niche skill (if they get sick, the subsystem halts 100%).
2 — Solo Lead with Minimal Backup: 1 person executes; 1 teammate understands basic concepts but cannot debug code or fix hardware alone.
3 — Primary + Secondary Pair: 1 primary developer and 1 competent secondary backup who can maintain, troubleshoot, and push updates.
4 — Broad Competence: 3+ teammates can actively design, assemble, and debug the subsystem with low ramp-up time.
5 — Full Team Redundancy: All team members are fully proficient; tasks can be swapped across anyone with zero friction or velocity loss.</t>
  </si>
  <si>
    <t>1 — Long Payback ($\ge 10\text{ Years}$): High initial CapEx and low recurring savings; economically non-viable for rapid deployment.
2 — Slow Return ($6–9\text{ Years}$): Substantial capital investment with long break-even horizon; requires long-term institutional subsidization.
3 — Moderate Return ($3–5\text{ Years}$): Reasonable public infrastructure payback; offsets costs across multi-year operational cycles.
4 — Fast Return ($2–3\text{ Years}$): Strong operational cost reduction (fuel, labor, scrap); breaks even within normal equipment lifecycle.
5 — Immediate Payback ($\le 1–2\text{ Years}$): Rapid break-even; eliminates major recurring losses within the first operating season.</t>
  </si>
  <si>
    <t>1 — Total Vendor Lock-in: Proprietary cloud backend, encrypted telemetry, and proprietary connectors; completely dependent on vendor survival.
2 — High Dependency: Hardware requires vendor-licensed diagnostic tools or annual subscription fees to maintain operation.
3 — Semi-Independent: Core hardware relies on proprietary firmware, but allows open API export and standard electrical interfaces.
4 — High Autonomy: Uses standard open communication protocols (e.g., Modbus, MQTT, CAN); parts can be serviced using generic tools.
5 — Complete Independence: 100% open architecture; hardware is interchangeable with generic substitutes; self-serviceable by any engineer.</t>
  </si>
  <si>
    <t>1 — Zero Buffer (0%): Exactly 1x BOM purchased; any fried chip, cracked bracket, or wiring mistake kills the project.
2 — Fragile Buffer (20–30%): Spares only for passive components (resistors, connectors); no backup microcontrollers or expensive sensors.
3 — Moderate Buffer (50%): Spares for all critical passive parts and 1 spare for the primary controller board.
4 — High Buffer (80%): Spares for nearly every active component and sensor; can sustain multiple prototype burn-ins.
5 — Full Redundancy ($\ge 100\%$): Complete 2x BOM budget on hand; can build two complete working units simultaneously.</t>
  </si>
  <si>
    <t>1 — Severe Violation / No Privilege: Direct breach of statutory law (e.g., unconsented public surveillance/PDPA, hazardous road blockage, RF jammer).
2 — High Legal Exposure: Ambiguous legal zone; high risk of civic complaints or traffic disruption; requires complex technical waivers.
3 — Conditional / Requires Permit: Allowed under explicit written approval, official agency MoU, or municipal permit (e.g., BMA/Highway dept permit).
4 — Low Legal Friction: Operates within standard public engineering exemptions; simple standard notification/safety compliance needed.
5 — 100% Compliant / Free Domain: Completely exempt from statutory licensing; zero public safety risk, zero personal data (Zero PII), fully unrestricted.</t>
  </si>
  <si>
    <t>1 — Closed / Commercial Barrier: Proprietary commercial license; cannot compile, flash, or operate without paying expensive commercial seat licenses.
2 — Ambiguous / Gray IP: Unclear licensing terms or unlicensed GitHub repos; risk of copyright strike or IP dispute upon public demonstration.
3 — Restrictive Open Source (Copyleft): Permitted for educational use, but viral licenses (e.g., GPLv3) force your entire codebase to be made public if distributed.
4 — Permissive Open Source: Open source with minimal conditions (e.g., LGPL, CC-BY); allows proprietary wrapping with simple attribution.
5 — Completely Permissive / Public Domain: Permissive open source (MIT, Apache 2.0, BSD) or Public Domain; unrestricted freedom to commercialize, modify, and contribute.</t>
  </si>
  <si>
    <t>1 — Laborious Recalibration: Requires multi-point manual physical zeroing, chemical calibration, or oscilloscope tuning before every run.
2 — Complex Setup: Requires trained technician 20–30 minutes to adjust potentiometers, align brackets, or enter configuration commands.
3 — Moderate Field Setup: Simple 5-minute calibration procedure (e.g., tare button or basic mobile app zeroing) performed by non-engineers.
4 — Minimal Setup: Fast clamp-on mounting with automated self-calibration on power-up; ready in $&lt; 1\text{ minute}$.
5 — True Plug and Go: Pure plug-and-play; zero calibration required, zero buttons; power on and immediately operational.</t>
  </si>
  <si>
    <t>1 — Critical Hazard: Failure can directly cause electrocution, fire, traffic crashes, chemical exposure, or confined-space asphyxiation.
2 — High Risk / Manual Oversight: High mechanical/electrical hazard requiring constant operator vigilance and full PPE.
3 — Moderate Safety: Protected by passive mechanical guards, fuses, and warning labels; requires basic safety precautions.
4 — High Safety &amp; Interlocks: Active software limits, hardware thermal shutoffs, and reverse polarity protection; minimal hazard on failure.
5 — Inherently Safe &amp; Redundant: Failsafe by physics (cannot store lethal energy); isolated, dual-rated enclosures, redundant E-stops, zero injury risk.</t>
  </si>
  <si>
    <t>1 — Disruptive Overhaul: Forces operators to abandon existing SOPs, adds 5+ extra tedious forms/steps, and faces fierce institutional union/worker resistance.
2 — Significant Friction: Adds notable extra documentation or redundant verification steps; operators will actively look for ways to bypass it.
3 — Moderate Adaptation: Modifies daily routine slightly; requires 1–2 training workshops, but delivers clear convenience trade-offs.
4 — Low Friction: Integrates into existing tools (e.g., sends automated alerts to existing LINE/Telegram or ticketing dashboard); minimal change in habits.
5 — Transparent / Seamless Integration: Zero workflow disruption; runs invisibly in background and automates existing manual paperwork without operator intervention.</t>
  </si>
  <si>
    <t>1 — Strictly Sequential (Linear): A depends on B depends on C; if the PCB fab is delayed, software and testing halt 100%.
2 — Bottlenecked Pipelines: Major subsystems are tightly coupled; frequent integration stalls waiting for hardware bench access.
3 — Semi-Decoupled: Hardware and software teams can work independently for 1–2 weeks using rough mockups before needing physical integration.
4 — Modular Parallelism: Clear API/interface boundaries; software builds against mock data/simulators while hardware is routed; integration takes $&lt; 2\text{ days}$.
5 — Fully Parallel Architecture: Microservices/modular nodes with standard contracts; mechanical, electrical, and firmware develop, simulate, and unit-test completely in parallel.</t>
  </si>
  <si>
    <t>1 — Heavy Gatekeeping: Blocked by supervisor approvals, locked lab cabinets, NDA signatures, purchasing bureaucracy, and restricted git branches.
2 — Moderate Bureaucracy: Requires departmental request forms, tool booking queues, and waiting 3–5 days for administrative sign-offs.
3 — Standard Campus Access: Workable access during university open hours; minor approval delays for equipment or lab keys.
4 — High Autonomy: Team has full repository write access, open 24/7 lab entry, and pre-approved discretionary debit cards/stipends for rapid purchases.
5 — Frictionless Contribution: Complete autonomy; decentralized cloud CI/CD, local prototyping tools at home/bench, zero administrative blockers.</t>
  </si>
  <si>
    <t>1 — Complete Mismatch ("Water and Oil"): Team has zero foundation in the stack (e.g., pure mechanical students forced to train deep neural nets in C++ from scratch).
2 — Steep Learning Curve: High theoretical knowledge, but zero production hands-on experience; debugging basic syntax/wiring stalls progress.
3 — Adjacent Competence: Strong mastery in related tools (e.g., proficient in Arduino/ESP32 migrating to STM32, or SolidWorks migrating to Fusion360); manageable 1-week curve.
4 — Proven Experience: Team has built similar subsystems in past semester coursework or competition robots; rapid ramp-up.
5 — Perfect Synergy ("Oil and Engine"): Complete domain mastery; team members have built this exact architecture multiple times with verified libraries and muscle memory.</t>
  </si>
  <si>
    <t>1 — Concept Only (0% Design): Napkin sketches and verbal concepts; 0% CAD models, 0% schematics, 0% code written.
2 — Rough Drafts (25% Design): Preliminary block diagrams, hand-drawn schematics, unverified parts list, incomplete 3D bounding boxes.
3 — Intermediate Maturity (50% Design): Complete CAD assembly (untested clearances), schematic capture complete, draft firmware architecture mapped out.
4 — Pre-Production (80% Design): Fully detailed 3D CAD ready for 3D print/CNC, routed PCB Gerber files validated with DRC, pinouts locked down.
5 — Fully Engineered Design (100% Production Ready): Complete drawing package: BOM with part numbers, verified manufacturing Gerbers, 2D tolerance drawings, assembly SOP, and flashing scripts ready.</t>
  </si>
  <si>
    <t>1 — Extreme Lead Time ($\ge 4\text{ Weeks}$): Custom overseas fabrication, customs clearance delays, or parts with long factory lead times (critical path hazard).
2 — High Lead Time ($3–4\text{ Weeks}$): Standard overseas shipping (e.g., standard AliExpress/international postal surface mail); vulnerable to logistics delays.
3 — Moderate Lead Time ($2\text{ Weeks}$): Express international courier (DHL, FedEx, JLCPCB express) or regional distributors (7–14 days).
4 — Short Lead Time ($1\text{ Week}$): Domestic couriers or express domestic stockists (3–5 business days).
5 — Immediate / Next-Day ($\le 1–2\text{ Days}$): Shelf stock available locally at retail shops or next-day domestic express delivery.</t>
  </si>
  <si>
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</si>
  <si>
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</si>
  <si>
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</si>
  <si>
    <t>เกณฑ์รวม: &gt;=80 ผ่านสูง, &gt;=60 มีเงื่อนไข, &lt;60 เสี่ยงสูง | หากมีข้อใดได้ 1 = VETOED ตกเกณฑ์ทันที</t>
  </si>
  <si>
    <t>คะแนนที่ได้รับ (ASSIGNED SCORE: 1, 2, 3, 4, 5 STRICT INTEGER)</t>
  </si>
  <si>
    <t>ค่าน้ำหนัก (Weight %)</t>
  </si>
  <si>
    <t>คะแนนถ่วงน้ำหนัก (=Score * Weight)</t>
  </si>
  <si>
    <t>คำอธิบาย &amp; หลักฐานอ้างอิงจากไฟล์ Intake (Evidence Citation)</t>
  </si>
  <si>
    <t>อ้างอิง solution-1.md หน้า 2: ประกอบจากโมดูลสำเร็จรูปมาตรฐาน (ESP32 + เซนเซอร์อัลตราโซนิกกันน้ำ JSN-SR04T) เข้ากับ Screw Terminal Shield และแคลมป์ยึดท่อสำเร็จรูป (Modular COTS Assembly)</t>
  </si>
  <si>
    <t>สแตกเทคโนโลยีพัฒนาบนโอเพนซอร์สทั้งหมด (Arduino IDE, ESP-IDF, FreeRTOS, MicroPython) ไม่ติด NDA หรือสิทธิ์ซอฟต์แวร์ ทีมงานมีสิทธิ์ระดับ Root/Admin 100% (Unrestricted Full-Stack Access)</t>
  </si>
  <si>
    <t>ชิ้นส่วนหลัก (ESP32, JSN-SR04T, กล่อง IP67, แคลมป์สแตนเลส) เป็นอุปกรณ์พื้นฐาน มีจำหน่ายในร้านค้าอิเล็กทรอนิกส์ในไทยและแพลตฟอร์มออนไลน์หลายร้าน จัดส่งได้ใน 1-2 วัน (Commodity / Off-the-Shelf)</t>
  </si>
  <si>
    <t>อ้างอิงงานวิจัยภาคสนาม Ann Arbor (TRL 7): สถาปัตยกรรมผ่านการทดสอบใช้งานจริงในระบบระบายน้ำเมืองมาแล้ว ทีมนำมาสร้างตัวต้นแบบระดับ Field-proven Prototype</t>
  </si>
  <si>
    <t>อ้างอิง team-skills: สมาชิก 3 คนมีความเชี่ยวชาญเชื่อมโยงกัน (JK เชี่ยวชาญ Control/Derivative, Due เชี่ยวชาญ ESP32/Embedded, Fifa เชี่ยวชาญ CAD/กลไก) สามารถสลับงานซ่อมบำรุงและดีบั๊กได้ (Broad Competence)</t>
  </si>
  <si>
    <t>ลดการส่งรถ QRT วิ่งเปล่า (Empty Cases) ได้ 40-50% ประหยัดค่าน้ำมันและค่าแรงเจ้าหน้าที่ คืนทุนได้ทันทีในฤดูฝนแรก (&lt; 1-2 ปี)</t>
  </si>
  <si>
    <t>ใช้มาตรฐานการสื่อสารเปิด (MQTT/HTTP REST API) ซ่อมบำรุงและเปลี่ยนอะไหล่ได้เองโดยวิศวกรทั่วไป ปลอดภาระผูกขาดจากผู้ผลิต (High Autonomy)</t>
  </si>
  <si>
    <t>ต้นทุนรายการวัสดุ (BOM) ไม่เกิน 1,500 บาท มีงบประมาณเพียงพอจัดซื้อชุดอุปกรณ์สำรองได้มากกว่า 100% (Full Redundancy)</t>
  </si>
  <si>
    <t>ติดตั้งเหนือผิวน้ำในท่อระบายน้ำสาธารณะ ไม่ล่วงล้ำผิวจราจร ไม่ใช้กล้องถ่ายภาพ ไม่มีการเก็บข้อมูลส่วนบุคคล (Zero PII 100%) ถูกต้องตาม พ.ร.บ. คุ้มครองข้อมูลส่วนบุคคลและระเบียบ กทม.</t>
  </si>
  <si>
    <t>ซอฟต์แวร์พัฒนาขึ้นเองโดยใช้ไลบรารีสัญญาอนุญาต MIT/Apache 2.0 ไม่มีข้อจำกัดทางการค้าหรือการเผยแพร่โค้ด</t>
  </si>
  <si>
    <t>ออกแบบเป็นระบบ Plug-and-play ยึดด้วยแคลมป์สำเร็จรูป พร้อมระบบ Calibrate ศูนย์อัตโนมัติเมื่อเปิดเครื่อง (True Plug and Go)</t>
  </si>
  <si>
    <t>ระบบใช้ไฟกระแสตรงแรงดันต่ำ 5V DC ปลอดภัยตามธรรมชาติทางฟิสิกส์ (Inherently Safe) ไม่มีประกายไฟหรือความร้อนสะสม</t>
  </si>
  <si>
    <t>ผลการคำนวณ dh/dt ส่งออกเป็น Digital Evidence Card ผ่าน Webhook ตรงเข้า Traffy Fondue และระบบแจ้งเตือนเดิมของ กทม. โดยเจ้าหน้าที่ไม่ต้องกรอกฟอร์มเพิ่ม</t>
  </si>
  <si>
    <t>แยก API และโครงสร้างข้อมูลระหว่างเฟิร์มแวร์ ESP32 กับอัลกอริทึมคำนวณ dh/dt บน Python ชัดเจน สามารถใช้ข้อมูลจำลองระดับน้ำทดสอบโค้ดขนานไปกับการเดินสายฮาร์ดแวร์ได้</t>
  </si>
  <si>
    <t>พัฒนาบนเครื่องคอมพิวเตอร์ส่วนตัวและโต๊ะช่างที่บ้านได้โดยสมบูรณ์ ไม่มีการติดกุญแจห้องแล็บหรือขั้นตอนขออนุมัติจัดซื้อซับซ้อน</t>
  </si>
  <si>
    <t>สอดคล้องกับทักษะของทีมอย่างสมบูรณ์แบบ: JK ชำนาญ Dynamic Systems &amp; Control, Due ชำนาญ ESP32 &amp; PCB, Fifa ชำนาญ CAD/กลไก ('Oil and Engine')</t>
  </si>
  <si>
    <t>แบบจำลอง 3D CAD ของกล่องและแคลมป์ยึดเสร็จสมบูรณ์ วงจรเชื่อมต่อผ่าน Screw Terminal Shield มี DRC ผ่านเกณฑ์ พร้อมเข้าสู่ Pre-production ในสัปดาห์ที่ 9</t>
  </si>
  <si>
    <t>ชิ้นส่วนหลักทั้งหมด (ESP32, Ultrasonic Sensor, IP67 Enclosure) มีสต็อกจำหน่ายในประเทศ จัดส่งด่วนถึงภายใน 1-2 วันทำการ</t>
  </si>
  <si>
    <t>อ้างอิง solution-1.md Requirements a: ตัด False Alarm และ Empty Cases ได้ 40-50% มีตัวชี้วัดจริงในการลดความเสียหายของรถยนต์และพื้นที่เศรษฐกิจ (SDG 11.5/13.1) ผ่านเกณฑ์ระดับ 5 Systemic City Resilience</t>
  </si>
  <si>
    <t>ฮาร์ดแวร์ติดตั้งเหนือระดับน้ำ ไม่จมแช่ในคลอง ตัวกล่อง IP67 ยึดด้วย Stainless Clamp แน่นหนา มีสายสลิงคล้องนิรภัย (Dual Stainless Lanyards) ป้องกันหลุดร่วงเป็นขยะคลอง แบตเตอรี่และวงจรผ่านมาตรฐาน RoHS ผ่านเกณฑ์ระดับ 5 (Zero Footprint / Non-Leaching)</t>
  </si>
  <si>
    <t>การตัดสินใจใช้สมการอนุพันธ์ dh/dt ที่โปร่งใส มี Digital Evidence Card แนบส่งตรงเข้า Traffy Fondue บันทึกเวลาและอัตราน้ำลดชัดเจน เจ้าหน้าที่และประชาชนตรวจสอบได้ ไร้ Black-box หรือการละเลยชุมชนเปราะบาง ผ่านเกณฑ์ระดับ 5 (100% Auditable &amp; Equitable)</t>
  </si>
  <si>
    <t>แผนลดขอบเขตงาน &amp; มาตรการลดความเสี่ยง (De-scoping Action)</t>
  </si>
  <si>
    <t>ใช้กล่องพักสายไฟมาตรฐาน IP67 พร้อมแคลมป์รัดท่อสำเร็จรูป</t>
  </si>
  <si>
    <t>ใช้เฟิร์มแวร์โอเพนซอร์สมาตรฐาน ESP-IDF และ FreeRTOS</t>
  </si>
  <si>
    <t>จัดซื้อชิ้นส่วนอิเล็กทรอนิกส์จากร้านค้าสต็อกในประเทศ</t>
  </si>
  <si>
    <t>ทดสอบฟังก์ชันกรองสัญญาณในถังน้ำจำลองเพื่อยืนยัน TRL 6 ก่อนติดตั้งจริง</t>
  </si>
  <si>
    <t>จัดทำคู่มือ Pinout และ Interface Contract ให้เพื่อนในทีมร่วมดีบั๊กได้</t>
  </si>
  <si>
    <t>ใช้ ESP32 รุ่นมาตรฐานและเซนเซอร์ COTS เพื่อควบคุมต้นทุนไม่ให้เกิน 3,500 บาท</t>
  </si>
  <si>
    <t>ใช้โปรโตคอล MQTT มาตรฐานเชื่อมต่อกับเซิร์ฟเวอร์เปิด</t>
  </si>
  <si>
    <t>จัดซื้อบอร์ด ESP32 และเซนเซอร์สำรองอย่างละ 2 ชุดเป็นอะไหล่สำรองในงบ</t>
  </si>
  <si>
    <t>ติดตั้งป้ายชื่อโครงการวิศวกรรมและหน่วยงานรับผิดชอบบนกล่องอุปกรณ์</t>
  </si>
  <si>
    <t>ตรวจสอบลิขสิทธิ์ของไลบรารีทั้งหมดให้เป็น MIT/Apache 2.0</t>
  </si>
  <si>
    <t>ออกแบบปุ่มสวิตช์เปิดเครื่องพร้อมไฟ LED แสดงสถานะการ Calibrate สำเร็จ</t>
  </si>
  <si>
    <t>ติดตั้งฟิวส์ตัดวงจรและไดโอดป้องกันไฟย้อนกลับในวงจรจ่ายไฟ</t>
  </si>
  <si>
    <t>เชื่อมต่อระบบส่งข้อมูลเข้า LINE Notify หรือ Telegram กลุ่มเจ้าหน้าที่โดยตรง</t>
  </si>
  <si>
    <t>ทำ Mock Data จำลองค่าระดับน้ำส่งเข้าโมดูล Python สำหรับพัฒนาอัลกอริทึม</t>
  </si>
  <si>
    <t>จัดเตรียมบอร์ดทดลองส่วนตัวให้สมาชิกแต่ละคนทำงานจากที่พักได้</t>
  </si>
  <si>
    <t>แบ่งงานตามความถนัดเดิมของสมาชิกเพื่อรักษาความเร็วในการพัฒนาสูงสุด</t>
  </si>
  <si>
    <t>ล็อกสเปกฮาร์ดแวร์และเซนเซอร์ก่อนสัปดาห์ที่ 7 เพื่อทดสอบระบบรวม</t>
  </si>
  <si>
    <t>สั่งซื้อชิ้นส่วนจากร้านค้าในไทยล่วงหน้า 2 สัปดาห์ก่อนกำหนดประกอบ</t>
  </si>
  <si>
    <t>เก็บสถิติอัตราการลดเที่ยวรถเปล่าเพื่อรายงานผลสัมฤทธิ์เมือง</t>
  </si>
  <si>
    <t>ใช้สายสลิงสแตนเลสคู่คล้องยึดตัวเครื่องกับคานท่อ</t>
  </si>
  <si>
    <t>แสดงสูตรคำนวณ dh/dt บนการ์ดแจ้งเตือน Traffy Fondue</t>
  </si>
  <si>
    <t>ปฏิบัติตามแผนลดขอบเขตงาน (De-scoping Advisory)</t>
  </si>
  <si>
    <t>ตารางสรุปคะแนนแยกตามมิติ TELOS+S (Pillar Score Breakdown)</t>
  </si>
  <si>
    <t>สัดส่วนน้ำหนัก (Weight %)</t>
  </si>
  <si>
    <t>คะแนนเต็มมิติ (Max Points)</t>
  </si>
  <si>
    <t>คะแนนที่ได้รับจริง (Earned Points)</t>
  </si>
  <si>
    <t>คะแนนเฉลี่ย (Score 1-5)</t>
  </si>
  <si>
    <t>ระดับความพร้อม (Readiness Level)</t>
  </si>
  <si>
    <t>T : ด้านเทคโนโลยีและวิศวกรรม (Technical)</t>
  </si>
  <si>
    <t>E : ด้านเศรษฐศาสตร์และความคุ้มค่า (Economic)</t>
  </si>
  <si>
    <t>L : ด้านกฎหมาย ระเบียบ และภาคประชาชน (Legal &amp; Outreach)</t>
  </si>
  <si>
    <t>O : ด้านการปฏิบัติการและหน้างาน (Operational)</t>
  </si>
  <si>
    <t>S : ด้านแผนงานและเวลาส่งมอบ (Schedule)</t>
  </si>
  <si>
    <t>+S : ด้านความยั่งยืนและสิ่งแวดล้อม (Sustainability / SDG)</t>
  </si>
  <si>
    <t>คะแนนรวมทุกมิติ (Total Feasibility Score)</t>
  </si>
  <si>
    <t>เมทริกซ์ประเมินความเข้ากันได้กับองค์ความรู้ด้านวิศวกรรมหุ่นยนต์ (Robotics Knowledge Compatibility)</t>
  </si>
  <si>
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</si>
  <si>
    <t>มิติการประเมิน (Robotics Dimension)</t>
  </si>
  <si>
    <t>คะแนนศักยภาพ (/10)</t>
  </si>
  <si>
    <t>แกน Perception &amp; Sensing (การรับรู้)</t>
  </si>
  <si>
    <t>แกน Control &amp; Algorithms (การควบคุม)</t>
  </si>
  <si>
    <t>แกน Actuation &amp; Mechanisms (กลไก)</t>
  </si>
  <si>
    <t>บทวิเคราะห์เชิงวิศวกรรมหุ่นยนต์ (FIBO Alignment Rationale)</t>
  </si>
  <si>
    <t>ศักยภาพการประยุกต์ใช้องค์ความรู้หุ่นยนต์และระบบอัตโนมัติ</t>
  </si>
  <si>
    <t>เซนเซอร์วัดระดับน้ำอัลตราโซนิก (Ultrasonic Transducer) พร้อมวงจรชดเชยอุณหภูมิ, ตัวกรองสัญญาณรบกวนผิวน้ำ (Wave Filter &amp; Moving Average/Median Filter) และการแปลงค่า Time-of-Flight เป็นระยะขจัด</t>
  </si>
  <si>
    <t>ทฤษฎีระบบควบคุมและสมการอนุพันธ์ (Dynamic Systems &amp; Control Theory): การคำนวณอนุพันธ์เวลาเชิงดิจิทัล (Discrete Time Derivative dh/dt), การประมาณค่าสถานะ (State Estimation), และอัลกอริทึมทำนายขอบเขตเวลา (Predictive Time Horizon)</t>
  </si>
  <si>
    <t>ไม่มีระบบขับเคลื่อนกลไก (Lack of Active Mechanical Actuation) มีเฉพาะโครงสร้างยึดจับเชิงกล (Stainless Mounting Bracket, Clamps) และกล่องครอบกันน้ำมาตรฐาน IP67</t>
  </si>
  <si>
    <t>เมทริกซ์ประเมินความเป็นไปได้เชิงระบบ TELOS+S: PUB Singapore CWOS 2-Factor Authentication Dispatch Filter</t>
  </si>
  <si>
    <t>อ้างอิง solution-2.md: บูรณาการฮาร์ดแวร์ COTS เข้ากับระบบคลาวด์ API (ESP32 + เซนเซอร์ผิวน้ำ + REST API เรดาร์ฝน)</t>
  </si>
  <si>
    <t>ใช้ Open API ของหน่วยงานรัฐและไลบรารี Python สาธารณะ แต่ขึ้นกับอัตราการจำกัดการเรียกใช้ API (Open Developer Access)</t>
  </si>
  <si>
    <t>ฮาร์ดแวร์เป็นบอร์ดไมโครคอนโทรลเลอร์และเซนเซอร์วัดระดับน้ำทั่วไป มีจำหน่ายแพร่หลายในประเทศ (Commodity / Off-the-Shelf)</t>
  </si>
  <si>
    <t>ถอดแบบจากโมเดล CWOS ของ PUB Singapore ซึ่งเป็นระบบที่ใช้งานจริงระดับเทศบาล (Field-Proven / TRL 7)</t>
  </si>
  <si>
    <t>สมาชิก 3 คนมีความเชี่ยวชาญด้าน Webhook, Python และ IoT Firmware (Kin, Due, JK) สามารถช่วยกันพัฒนาและทดสอบได้ (Broad Competence)</t>
  </si>
  <si>
    <t>ลดการสิ้นเปลืองทรัพยากรจากการส่งรถตรวจการไปยังจุดที่ฝนตกแต่ไม่มีน้ำท่วมขัง คืนทุนในเวลา 2-3 ปี</t>
  </si>
  <si>
    <t>พึ่งพาข้อมูล Radar API จากกรมอุตุนิยมวิทยาหรือสำนักระบายน้ำ หาก API ภายนอกปิดปรับปรุงจำเป็นต้องเขียนระบบเชื่อมต่อใหม่</t>
  </si>
  <si>
    <t>เน้นงานซอฟต์แวร์และบอร์ด MCU ตัวเดียว งบประมาณโครงการสามารถจัดซื้อบอร์ดสำรองได้เกิน 100% (Full Redundancy)</t>
  </si>
  <si>
    <t>ไม่ใช้กล้องบันทึกภาพ ไม่เก็บข้อมูลส่วนบุคคล (Zero PII 100%) ใช้งานข้อมูลอุตุนิยมวิทยาเปิดของภาครัฐอย่างถูกต้อง</t>
  </si>
  <si>
    <t>สถาปัตยกรรมซอฟต์แวร์พัฒนาด้วยโอเพนซอร์สมาตรฐาน (FastAPI, Leaflet, SQLite ภายใต้ MIT License) ปลอดภาระลิขสิทธิ์</t>
  </si>
  <si>
    <t>เซนเซอร์หน้างานเชื่อมต่อคลาวด์อัตโนมัติ ติดตั้งด้วยแคลมป์มาตรฐาน ใช้เวลาเปิดเครื่องพร้อมส่งข้อมูล &lt; 1 นาที</t>
  </si>
  <si>
    <t>ระบบใช้ไฟกระแสตรง 5V ไม่มีความเสี่ยงไฟฟ้าแรงดันสูง ปลอดภัยตามธรรมชาติทางฟิสิกส์ (Inherently Safe)</t>
  </si>
  <si>
    <t>ส่งการแจ้งเตือนยืนยัน 2-Factor ตรงเข้ากลุ่ม LINE ของเจ้าหน้าที่เขตโดยอัตโนมัติ ไม่ต้องเปลี่ยนหน้าจอทำงานเดิม</t>
  </si>
  <si>
    <t>ฝั่งดึง Radar API, ฝั่งประมวลผลตรรกะ 2-Factor, และฝั่ง Web Dashboard แยกกันเป็น Microservices อิสระ พัฒนาคู่ขนานได้ 100%</t>
  </si>
  <si>
    <t>พัฒนาบนระบบคลาวด์และคอมพิวเตอร์ส่วนตัว ไร้การพึ่งพาห้องปฏิบัติการหรือขั้นตอนอนุมัติทางธุรการ</t>
  </si>
  <si>
    <t>สมาชิกมีความเชี่ยวชาญสูงด้าน Python, Cloud Webhook และ Data Integration สอดคล้องกับโครงงานแข่งขันเดิม ('Oil and Engine')</t>
  </si>
  <si>
    <t>ซอฟต์แวร์ Backend API และ Logic Flowchart เสร็จสมบูรณ์ระดับ Pre-production พร้อมทดสอบเชื่อมต่อข้อมูลจริง</t>
  </si>
  <si>
    <t>บอร์ด MCU และโมดูลสื่อสารจัดซื้อจากตัวแทนจำหน่ายในประเทศ ได้รับของภายใน 1-2 วันทำการ</t>
  </si>
  <si>
    <t>ตัด Empty Cases ได้เด็ดขาด ช่วยให้รถ QRT เข้าถึงพื้นที่ประสบภัยจริงได้รวดเร็วขึ้น เพิ่มขีดความสามารถการรับมือภัยพิบัติเมือง (SDG 11.5 / 13.1)</t>
  </si>
  <si>
    <t>ลดการปล่อยก๊าซคาร์บอนไดออกไซด์จากการวิ่งรถเครื่องยนต์ดีเซลเปล่า และประหยัดน้ำมันเชื้อเพลิงของหน่วยงานรัฐ (SDG 13.2 และ SDG 12.4)</t>
  </si>
  <si>
    <t>สร้างความโปร่งใสในระบบสั่งการของ กทม. ตรวจสอบย้อนหลังได้ว่าจุดใดได้รับการช่วยเหลือตามเกณฑ์วิทยาศาสตร์ (SDG 16.6)</t>
  </si>
  <si>
    <t>ใช้บอร์ด ESP32 สำเร็จรูปพร้อมเสาอากาศมาตรฐาน</t>
  </si>
  <si>
    <t>กำหนดโครงสร้าง REST API ให้ชัดเจนเพื่อให้สมาชิกสลับงานกันเขียนโค้ดได้</t>
  </si>
  <si>
    <t>จัดซื้อชิ้นส่วน MCU สต็อกในประเทศ</t>
  </si>
  <si>
    <t>จำลองข้อมูลฝนเพื่อทดสอบความแม่นยำของระบบก่อนต่อ API จริง</t>
  </si>
  <si>
    <t>แบ่งงานพัฒนาฝั่ง Dashboard และฝั่ง Microcontroller ชัดเจน</t>
  </si>
  <si>
    <t>ใช้บริการคลาวด์ระดับ Free Tier (เช่น Supabase หรือ Railway) เพื่อลดต้นทุนดำเนินงาน</t>
  </si>
  <si>
    <t>ทำระบบ Local Fallback รับค่าเฉพาะเซนเซอร์ผิวน้ำหาก Radar API ขัดข้อง</t>
  </si>
  <si>
    <t>สำรองบอร์ดไมโครคอนโทรลเลอร์ 2 ชุดสำหรับทดสอบและใช้งานจริง</t>
  </si>
  <si>
    <t>ปฏิบัติตามข้อกำหนดการดึงข้อมูล Open Data ของภาครัฐ</t>
  </si>
  <si>
    <t>ใช้ไลบรารีโอเพนซอร์สที่มีสัญญาอนุญาต MIT หรือ BSD เท่านั้น</t>
  </si>
  <si>
    <t>ออกแบบระบบ Auto-provisioning สำหรับเชื่อมต่อ Wi-Fi/Cellular อัตโนมัติ</t>
  </si>
  <si>
    <t>ใส่เคสกันฝุ่นและกันละอองน้ำมาตรฐาน IP65 ให้กับชุดรับสัญญาณ</t>
  </si>
  <si>
    <t>จัดรูปแบบข้อความแจ้งเตือนใน LINE ให้กระชับ ระบุพิกัดและระดับน้ำชัดเจน</t>
  </si>
  <si>
    <t>สร้าง Mock Service จำลองฝนตกเพื่อทดสอบระบบตรรกะโดยไม่ต้องรอฝนตกจริง</t>
  </si>
  <si>
    <t>ใช้ GitHub Actions รัน Unit Test อัตโนมัติทุกครั้งที่ Pull Request</t>
  </si>
  <si>
    <t>ให้ Kin ดูแลฝั่ง Dashboard และ JK ดูแลอัลกอริทึม 2-Factor Logic</t>
  </si>
  <si>
    <t>ทดสอบระบบรวมกับข้อมูลย้อนหลังของ กทม. ก่อนสัปดาห์ที่ 8</t>
  </si>
  <si>
    <t>จัดเตรียมอะไหล่โมดูลสำรองไว้ล่วงหน้าก่อนเริ่มช่วงมิดเทอม</t>
  </si>
  <si>
    <t>เก็บสถิติชั่วโมงการระบายน้ำที่เร็วขึ้นเพื่อรายงานผลสัมฤทธิ์เมือง</t>
  </si>
  <si>
    <t>คำนวณปริมาณคาร์บอนที่ลดได้จากการตัดเที่ยวรถเปล่า</t>
  </si>
  <si>
    <t>เปิดเผย API ให้ภาคประชาชนเข้าถึงข้อมูลสถานะน้ำท่วมได้เสรี</t>
  </si>
  <si>
    <t>การรวมข้อมูลพหุเซนเซอร์ (Multi-Sensor Data Fusion): รวมข้อมูลฝนจากเรดาร์ระยะไกล (Radar Rainfall Reflectivity) เข้ากับเซนเซอร์วัดระดับน้ำผิวดินหน้างานจริง</t>
  </si>
  <si>
    <t>ตรรกะการตัดสินใจแบบมีเงื่อนไข (Rule-based Decision Logic): 2-Factor Boolean Gate (ฝนตกหนักจริง AND น้ำท่วมขังจริง) สำหรับคัดกรองสัญญาณสั่งการเจ้าหน้าที่</t>
  </si>
  <si>
    <t>ไม่มีระบบการทำงานเชิงกลหรือการเคลื่อนที่ของหุ่นยนต์ (Zero Physical Actuation / Pure Software Gateway)</t>
  </si>
  <si>
    <t>เมทริกซ์ประเมินความเป็นไปได้เชิงระบบ TELOS+S: Acoustic Sewer Measurement &amp; Pre-Screening Maintenance (UK/USA SL-RAT Case)</t>
  </si>
  <si>
    <t>อ้างอิง solution-3.md: ต้องออกแบบชุดปากแตรเสียง (Acoustic Horn) สั่งทำพิเศษร่วมกับวงจรปรีแอมป์ขยายสัญญาณและไมโครโฟนความไวสูง (Hybrid / COTS Integration)</t>
  </si>
  <si>
    <t>ใช้อัลกอริทึม FFT และ Cross-correlation บนโอเพนซอร์ส Python/C++ สามารถตรวจสอบและปรับแก้โค้ดได้เต็มที่ (Open Developer Access)</t>
  </si>
  <si>
    <t>หัววัดเสียงกันน้ำและทรานสดิวเซอร์เฉพาะทางต้องสั่งซื้อจากตัวแทนจำหน่ายระดับภูมิภาค (Mouser/DigiKey) ใช้เวลาจัดส่งประมาณ 7-14 วัน (Moderate Availability)</t>
  </si>
  <si>
    <t>อ้างอิงเทคโนโลยี SL-RAT ที่ใช้งานในสหรัฐฯ/อังกฤษ (TRL 8) แต่เวอร์ชันที่ทีมพัฒนาอยู่ในระดับ Alpha Prototype ทดสอบในท่อจำลอง (TRL 5-6)</t>
  </si>
  <si>
    <t>JK เชี่ยวชาญการประมวลผลสัญญาณและคณิตศาสตร์คลื่นเสียง โดยมี Due เป็นผู้ช่วยพัฒนาฝั่งฮาร์ดแวร์ไมโครโฟน (Primary + Secondary Pair)</t>
  </si>
  <si>
    <t>ลดค่าใช้จ่ายการขุดลอกท่อระบายน้ำแบบสุ่มของเทศบาล คัดกรองท่อที่ตันจริงได้รวดเร็ว คืนทุนใน 2-3 ปี</t>
  </si>
  <si>
    <t>ฮาร์ดแวร์ใช้ชิ้นส่วนอิเล็กทรอนิกส์เปิด ซอฟต์แวร์ประมวลผลบนเครื่องคอมพิวเตอร์ทั่วไป ไม่ติดระบบผูกขาด (High Autonomy)</t>
  </si>
  <si>
    <t>หัวทรานสดิวเซอร์และปรีแอมป์มีราคาสูง สามารถสำรองอะไหล่ได้ประมาณ 50% ของงบประมาณ (Moderate Buffer)</t>
  </si>
  <si>
    <t>ต้องเปิดฝาท่อระบายน้ำบนถนนสาธารณะ มีความเสี่ยงต่อกฎหมายจราจรและความปลอดภัย ต้องขออนุญาตและมีป้ายเตือน (Conditional / Requires Permit)</t>
  </si>
  <si>
    <t>สิทธิบัตร SL-RAT คุ้มครองฮาร์ดแวร์เชิงพาณิชย์บางส่วน แต่หลักการคลื่นเสียงสะท้อนในท่อเป็นฟิสิกส์ทั่วไป สามารถพัฒนาอัลกอริทึมเองได้</t>
  </si>
  <si>
    <t>เจ้าหน้าที่ต้องนำอุปกรณ์ไปหย่อนลงปากท่อระบายน้ำ 2 จุด ปรับระดับและกดส่งสัญญาณ ใช้เวลาประมาณ 3-5 นาทีต่อบ่อพัก</t>
  </si>
  <si>
    <t>ปฏิบัติงานใกล้บ่อพักริมถนน เสี่ยงต่ออุบัติเหตุรถเฉี่ยวชนและก๊าซพิษ H2S ต้องมีกรวยจราจรและอุปกรณ์ป้องกันส่วนบุคคล</t>
  </si>
  <si>
    <t>เจ้าหน้าที่ต้องบันทึกค่าคะแนน 0-10 เพื่อจัดเทียร์คิวล้างท่อ ต้องจัดฝึกอบรมเชิงปฏิบัติการ 1-2 ครั้ง</t>
  </si>
  <si>
    <t>การปรับจูนอัลกอริทึมคลื่นเสียงจำเป็นต้องทดสอบกับท่อจำลองจริง การพัฒนาซอฟต์แวร์จึงผูกติดกับความพร้อมของแท่นทดสอบฮาร์ดแวร์</t>
  </si>
  <si>
    <t>ต้องขออนุญาตใช้พื้นที่ห้องปฏิบัติการเสียงและท่อทดสอบของมหาวิทยาลัยตามเวลาทำการปกติ</t>
  </si>
  <si>
    <t>สมาชิกมีพื้นฐานวิชาสัญญาณและระบบ (Signals and Systems) และ Embedded DSP สอดคล้องกับโครงงานที่เคยเรียน</t>
  </si>
  <si>
    <t>แบบ 3D CAD ของชุดปากแตรและวงจรปรีแอมป์อยู่ในระดับ 50% Design ยังต้องทดสอบ Clearance และการสะท้อนของเสียงจริง</t>
  </si>
  <si>
    <t>ทรานสดิวเซอร์ความถี่เสียงกันน้ำเฉพาะทางต้องสั่งนำเข้าหรือสั่งจากตัวแทนจำหน่าย ใช้ระยะเวลาขนส่งประมาณ 1-2 สัปดาห์</t>
  </si>
  <si>
    <t>เพิ่มประสิทธิภาพการบำรุงรักษาท่อระบายน้ำทั้งระบบ ป้องกันท่อตันก่อนเกิดฝนตกหนัก เสริมความทนทานต่อภัยพิบัติน้ำท่วมเมือง (SDG 11.5)</t>
  </si>
  <si>
    <t>ลดการใช้น้ำแรงดันสูง (Water Jetting) และสารเคมีล้างท่อแบบสุ่ม ประหยัดทรัพยากรน้ำสะอาดได้มหาศาล (SDG 6.4 และ SDG 12.4)</t>
  </si>
  <si>
    <t>ข้อมูลผลการตรวจวัดระดับความสะอาดท่อ (เทียร์ 0-10) จัดเก็บเป็น Digital Map เปิดเผยให้ประชาชนติดตามความคืบหน้าการล้างท่อได้ (SDG 16.6)</t>
  </si>
  <si>
    <t>ขึ้นรูปปากแตรด้วย 3D Printing วัสดุ PETG พร้อมซีลยางกันน้ำแทนการหล่อโลหะ</t>
  </si>
  <si>
    <t>เขียนอัลกอริทึม Cross-correlation และ FFT บน Python ด้วยตนเอง</t>
  </si>
  <si>
    <t>สั่งซื้อทรานสดิวเซอร์ความถี่เสียงจากร้านค้าออนไลน์ล่วงหน้า</t>
  </si>
  <si>
    <t>ทดสอบระบบในท่อ PVC จำลองในมหาวิทยาลัยก่อนออกพื้นที่จริง</t>
  </si>
  <si>
    <t>จัดทำคู่มือสถาปัตยกรรมการประมวลผลสัญญาณและวงจรไฟฟ้าให้ Fifa และ Kin ร่วมทดสอบได้</t>
  </si>
  <si>
    <t>นำเสนอรายงานการประหยัดงบประมาณการขุดลอกท่อเพื่อขอรับการสนับสนุนจากหน่วยงานรัฐ</t>
  </si>
  <si>
    <t>ใช้วงจรขยายเสียงมาตรฐาน Class-D ที่หาอะไหล่ได้ง่ายในท้องตลาด</t>
  </si>
  <si>
    <t>จัดซื้อหัววัดเสียงและไมโครโฟนสำรองอย่างละ 1 ชุด</t>
  </si>
  <si>
    <t>ทำหนังสือขออนุญาตทดสอบในพื้นที่ปิดของมหาวิทยาลัยก่อนออกสู่ถนนสาธารณะ</t>
  </si>
  <si>
    <t>ออกแบบกลไกขายึดขอบบ่อพักแบบแคลมป์สปริงเพื่อลดเวลาติดตั้งเหลือ 2 นาที</t>
  </si>
  <si>
    <t>กำหนดระเบียบความปลอดภัยบังคับวางกรวยจราจรรอบจุดทดสอบอย่างน้อย 5 เมตรและสวมเสื้อสะท้อนแสง</t>
  </si>
  <si>
    <t>ทำแอปพลิเคชันบนมือถือแสดงผลเทียร์ 0-10 พร้อมคำแนะนำการปฏิบัติงานแบบอัตโนมัติ</t>
  </si>
  <si>
    <t>สร้างชุดท่อ PVC จำลองในห้องทดลองเพื่อใช้ทดสอบอัลกอริทึมล่วงหน้า</t>
  </si>
  <si>
    <t>ทำเรื่องขอเข้าใช้พื้นที่ทดสอบล่วงหน้ากับหัวหน้าห้องปฏิบัติการ</t>
  </si>
  <si>
    <t>จัดเซสชันถ่ายทอดความรู้ด้าน DSP ภายในทีมเพื่อกระจายทักษะ</t>
  </si>
  <si>
    <t>เร่งสรุปแบบ 3D CAD สำหรับพิมพ์ชิ้นงานภายในสัปดาห์ที่ 6</t>
  </si>
  <si>
    <t>สั่งซื้อทรานสดิวเซอร์จากร้านค้าออนไลน์ตั้งแต่สัปดาห์แรกของโครงการ</t>
  </si>
  <si>
    <t>จัดทำแผนที่ความสะอาดท่อเผยแพร่ในรายงานประจำปีของเขต</t>
  </si>
  <si>
    <t>คำนวณปริมาตรน้ำสะอาดที่ประหยัดได้จากการลดรอบการฉีดล้างท่อที่ไม่จำเป็น</t>
  </si>
  <si>
    <t>เชื่อมโยงข้อมูลผลคะแนนเทียร์ท่อเข้าสู่ระบบเปิดของเมือง</t>
  </si>
  <si>
    <t>ระบบตรวจวัดคลื่นเสียงเชิงรุก (Active Acoustic Sensing): ทรานสดิวเซอร์ส่งคลื่นเสียงความถี่กวาด (Chirp/Multitone Sound Pulse) และไมโครโฟนรับเสียงสะท้อนเพื่อวิเคราะห์การสูญเสียพลังงาน (Acoustic Attenuation)</t>
  </si>
  <si>
    <t>การประมวลผลสัญญาณดิจิทัล (Digital Signal Processing - DSP): Fast Fourier Transform (FFT), การคำนวณการตอบสนองความถี่ (Frequency Response Analysis), และการจำแนกรูปแบบการอุดตันด้วย Pattern Matching</t>
  </si>
  <si>
    <t>กลไกการปรับระยะและการส่งคลื่นเสียง: ปากแตรสะท้อนเสียงแบบปรับมุม (Acoustic Horn), กลไกปรับระดับความลึกหย่อนลงปากท่อ, และโครงสร้างซีลกันเสียงสะท้อนภายนอก</t>
  </si>
  <si>
    <t>เมทริกซ์ประเมินความเป็นไปได้เชิงระบบ TELOS+S: Underground Flow Telemetry &amp; Predictive Maintenance (Jakarta Case)</t>
  </si>
  <si>
    <t>อ้างอิง solution-4.md: ประกอบโมดูล LoRaWAN และเซนเซอร์ระดับน้ำ/ความเร็วการไหลเข้ากับกล่องกันน้ำ IP68 (Hybrid / COTS Integration)</t>
  </si>
  <si>
    <t>ใช้เครือข่าย LoRaWAN คลื่นความถี่สาธารณะ 920-925 MHz ตามประกาศ กสทช. ซอฟต์แวร์ฝั่งโหนดและเกตเวย์เป็นโอเพนซอร์ส (Open Developer Access)</t>
  </si>
  <si>
    <t>เซนเซอร์วัดระดับน้ำทนกรดและโมดูลสื่อสารระยะไกลต้องสั่งจากตัวแทนจำหน่ายเฉพาะทาง ใช้เวลาขนส่ง 2 สัปดาห์ (Moderate Availability)</t>
  </si>
  <si>
    <t>อ้างอิงโครงการโทรมาตรท่อระบายน้ำในจาการ์ตา (TRL 7) ส่วนโครงการทดลองของทีมอยู่ในระดับ Alpha Prototype (TRL 5-6)</t>
  </si>
  <si>
    <t>ต้องพึ่งพาผู้เชี่ยวชาญด้าน RF และเคมีวัสดุกันน้ำในท่อเป็นหลัก หากขาดหัวหน้าทีมงานอาจล่าช้า (Solo Lead with Minimal Backup)</t>
  </si>
  <si>
    <t>ช่วยลดความเสียหายจากน้ำท่วมขังใต้ดินและการอุดตันเรื้อรัง จุดคุ้มทุน 3-5 ปีในภาพรวมโครงสร้างพื้นฐานเมือง</t>
  </si>
  <si>
    <t>ใช้มาตรฐาน LoRaWAN เปิด สามารถเปลี่ยนยี่ห้อเกตเวย์และเซิร์ฟเวอร์เครือข่ายได้อิสระ (High Autonomy)</t>
  </si>
  <si>
    <t>เซนเซอร์วัดแรงดันน้ำทนกรดมีราคาสูง สำรองได้ประมาณ 50% ของงบประมาณ (Moderate Buffer)</t>
  </si>
  <si>
    <t>ต้องขออนุญาตติดตั้งอุปกรณ์ถาวรในท่อระบายน้ำของ กทม. และคลื่นวิทยุ LoRaWAN ต้องสอดคล้องกับข้อกำหนด กสทช. (Low Legal Friction)</t>
  </si>
  <si>
    <t>ใช้สแต็กซอฟต์แวร์โอเพนซอร์ส LoRaWAN และไลบรารีส่งข้อมูลมาตรฐาน MIT/Apache ปลอดปัญหาทรัพย์สินทางปัญญา</t>
  </si>
  <si>
    <t>การติดตั้งในท่อระบายน้ำต้องใช้เครื่องมือช่างและอุปกรณ์หย่อนสายเคเบิล ใช้เวลาประมาณ 10-15 นาทีต่อจุด</t>
  </si>
  <si>
    <t>การปฏิบัติงานในพื้นที่อับอากาศใต้ท่อระบายน้ำมีความเสี่ยงต่อก๊าซพิษสะสม ต้องปฏิบัติตามมาตรฐานความปลอดภัยอย่างเคร่งครัด</t>
  </si>
  <si>
    <t>เชื่อมต่อข้อมูลโทรมาตรเข้าสู่ศูนย์ควบคุมของสำนักระบายน้ำเดิมได้ผ่าน Web API ไม่รบกวนขั้นตอนการทำงานปกติ</t>
  </si>
  <si>
    <t>การทดสอบสัญญาณวิทยุใต้ฝาท่อต้องทำควบคู่กับฮาร์ดแวร์จริง มีจุดติดขัดรอการทดสอบสนามร่วมกัน</t>
  </si>
  <si>
    <t>การขออนุญาตลงพื้นที่ติดตั้งในท่อจริงของเมืองมีขั้นตอนทางราชการและต้องรอการอนุมัติ 3-5 วันทำการ</t>
  </si>
  <si>
    <t>สมาชิกมีพื้นฐานด้าน IoT และระบบเครือข่าย แต่ต้องเรียนรู้เพิ่มเติมเรื่องการป้องกันการกัดกร่อนของสารเคมีและก๊าซในท่อ</t>
  </si>
  <si>
    <t>แบบจำลองกล่อง Enclosure และการเดินสายไฟอยู่ในระดับ 50% CAD Assembly กำลังปรับระยะสำหรับแบตเตอรี่</t>
  </si>
  <si>
    <t>เซนเซอร์วัดระดับน้ำทนสารเคมีและโมดูลส่งสัญญาณระยะไกลต้องสั่งจากตัวแทนจำหน่าย ใช้ระยะเวลาจัดส่งประมาณ 2 สัปดาห์</t>
  </si>
  <si>
    <t>ช่วยเตือนภัยน้ำท่วมใต้ดินล่วงหน้าและระบุจุดเสี่ยงท่อตันตลอด 24 ชม. เสริมโครงสร้างพื้นฐานเมืองที่ทนทานต่อสภาพภูมิอากาศ (SDG 11.5 / 13.1)</t>
  </si>
  <si>
    <t>ช่วยลดการอุดตันของท่อน้ำเสีย แต่เซนเซอร์ในสภาพแวดล้อมกัดกร่อนอาจมีอายุการใช้งานสั้น ต้องมีระบบรีไซเคิลขยะอิเล็กทรอนิกส์ (SDG 6.3 และ SDG 12.4 ได้ระดับ 4)</t>
  </si>
  <si>
    <t>แดชบอร์ดเมืองเปิดเผยข้อมูลการระบายน้ำอย่างโปร่งใส ช่วยให้ทุกชุมชนเข้าถึงข้อมูลความเสี่ยงน้ำท่วมอย่างเท่าเทียม (SDG 10.2 / 16.6)</t>
  </si>
  <si>
    <t>เลือกใช้กล่อง Polycarbonate มาตรฐาน IP68 พร้อมเคลือบน้ำยา Conformal Coating ป้องกันไอระเหยกรด</t>
  </si>
  <si>
    <t>บันทึกขั้นตอนการคอนฟิกโมเด็ม LoRaWAN เพื่อให้เพื่อนในทีมสามารถช่วยตั้งค่าได้</t>
  </si>
  <si>
    <t>สั่งซื้อโมดูล LoRaWAN และเซนเซอร์ตั้งแต่เริ่มสัปดาห์แรก</t>
  </si>
  <si>
    <t>ทดสอบการทะลุผ่านของสัญญาณวิทยุผ่านฝาท่อจำลองในห้องแล็บ</t>
  </si>
  <si>
    <t>ถ่ายทอดขั้นตอนการคอนฟิก LoRaWAN ให้สมาชิกคนอื่นสามารถตั้งค่าแทนได้</t>
  </si>
  <si>
    <t>เลือกพื้นที่นำร่อง 1 จุดวิกฤตเพื่อพิสูจน์ความคุ้มค่าก่อนขยายผล</t>
  </si>
  <si>
    <t>ติดตั้ง Local Gateway ของทีมเพื่อลดค่าบริการเครือข่ายรายเดือน</t>
  </si>
  <si>
    <t>สำรองชุดเซนเซอร์และแผงควบคุมไว้ 1 ชุดเพื่อรองรับความเสียหาย</t>
  </si>
  <si>
    <t>ประสานงานกับอาจารย์ที่ปรึกษาทำหนังสือขออนุญาตติดตั้งอย่างเป็นทางการ</t>
  </si>
  <si>
    <t>ใช้ไลบรารี MicroPython และโอเพนซอร์สคอมมูนิตี้</t>
  </si>
  <si>
    <t>ออกแบบขายึดแบบ Quick-clamp ไม่ต้องเจาะผนังท่อเพื่อลดเวลาติดตั้งหน้างาน</t>
  </si>
  <si>
    <t>กำหนดมาตรการความปลอดภัย ไม่อนุญาตให้มุดตัวลงท่อ ใช้เครื่องมือหย่อนติดตั้งจากปากท่อด้านบน</t>
  </si>
  <si>
    <t>ออกแบบแดชบอร์ดให้สรุปรายการจุดท่อที่ต้องล้างแบบเข้าใจง่ายในหน้าเดียว</t>
  </si>
  <si>
    <t>ทำแบบจำลองท่อคอนกรีตจำลองในสถาบันเพื่อทดสอบการทะลุผ่านของสัญญาณวิทยุ</t>
  </si>
  <si>
    <t>เตรียมเอกสารขออนุญาตล่วงหน้าตั้งแต่ต้นภาคการศึกษา</t>
  </si>
  <si>
    <t>ปรึกษาผู้เชี่ยวชาญด้านวัสดุศาสตร์ในการเลือกใช้ซิลิโคนและวัสดุกันซึม</t>
  </si>
  <si>
    <t>สรุปแบบกล่อง Enclosure และสั่งพิมพ์ 3D ล่วงหน้าก่อนสัปดาห์ที่ 7</t>
  </si>
  <si>
    <t>สั่งซื้อโมดูล LoRaWAN และเซนเซอร์ตั้งแต่เริ่มสัปดาห์ที่ 2</t>
  </si>
  <si>
    <t>เชื่อมข้อมูลระดับน้ำเข้ากับระบบเตือนภัยสาธารณะของเทศบาล</t>
  </si>
  <si>
    <t>ใช้วัสดุเคลือบแผงวงจรที่เป็นมิตรต่อสิ่งแวดล้อมและรีไซเคิลได้</t>
  </si>
  <si>
    <t>จัดทำ Open API ให้ภาคประชาสังคมและนักวิจัยนำข้อมูลไปใช้ประโยชน์</t>
  </si>
  <si>
    <t>โครงข่ายเซนเซอร์แบบกระจายตัว (Distributed Telemetry Sensing): เซนเซอร์วัดระดับน้ำแบบความดันใต้น้ำ (Hydrostatic Pressure Sensor), เซนเซอร์ตรวจวัดความเร็วน้ำด้วยคลื่นดอปเปลอร์ (Doppler Flow Velocity), และเซนเซอร์ก๊าซพิษ (H2S/CH4)</t>
  </si>
  <si>
    <t>การควบคุมและติดตามสภาวะแบบกระจายศูนย์ (Supervisory Control and Data Acquisition - SCADA): เครือข่าย LoRaWAN แบบไร้สาย, อัลกอริทึมวิเคราะห์แนวโน้มการไหลใต้ดิน (Predictive Routing Model), และระบบตรวจจับความผิดปกติ (Anomaly Detection)</t>
  </si>
  <si>
    <t>ไม่มีระบบการทำงานเชิงกลของหุ่นยนต์ (Zero Active Robotics Mechanics) เน้นความทนทานของเคสป้องกันการกัดกร่อน (IP68 Chemical-resistant Enclosure)</t>
  </si>
  <si>
    <t>เมทริกซ์ประเมินความเป็นไปได้เชิงระบบ TELOS+S: UHI Latent Heat Precision Road Cooling (Micro-dosing 0.2-0.4 mm Evaporative Spraying)</t>
  </si>
  <si>
    <t>อ้างอิง solution-5_uhi_latent_heat.md: ต้องออกแบบโครงสร้างขายึดรับแรงสั่นสะเทือนบนรถ ติดตั้งระบบปั๊มแรงดันและท่อไฮดรอลิกส์สั่งทำพิเศษ (Heavy Customization)</t>
  </si>
  <si>
    <t>ระบบใช้ไมโครคอนโทรลเลอร์ Arduino/ESP32 ควบคุมวาล์วและปั๊มด้วยโค้ดโอเพนซอร์ส ทีมมีสิทธิ์ในการปรับแต่งและเข้าถึงอย่างอิสระ 100% (Unrestricted Full-Stack Access)</t>
  </si>
  <si>
    <t>ปั๊มแรงดันไดอะแฟรม หัวพ่นหมอกสแตนเลส ท่อแรงดันสูง และวาล์วโซลินอยด์มีสต็อกจำหน่ายในร้านอุปกรณ์เกษตรและอุตสาหกรรมในไทย (Multi-Vendor Local Stock)</t>
  </si>
  <si>
    <t>หลักการพ่นละอองลดความร้อนผิวถนนมีการศึกษาในญี่ปุ่น/จีน (TRL 6-7) เวอร์ชันของทีมเป็น Alpha Prototype บนรถทดสอบในวิทยาเขต (TRL 5-6)</t>
  </si>
  <si>
    <t>สมาชิก 2 คน (Fifa ด้านกลไกไฮดรอลิกส์ และ Due ด้านระบบควบคุมไฟฟ้าปั๊ม) เป็นแกนหลักในการสร้างชุดพ่นหมอก (Primary + Secondary Pair)</t>
  </si>
  <si>
    <t>ลดอุณหภูมิผิวทางเท้าและลดความเครียดทางความร้อนของประชาชน จุดคุ้มทุน 3-5 ปีในมิติด้านสิ่งแวดล้อมและสุขภาพเมือง</t>
  </si>
  <si>
    <t>ปั๊มน้ำ วาล์วโซลินอยด์ และหัวพ่นหมอกเป็นอะไหล่มาตรฐานอุตสาหกรรม/การเกษตร หาซื้อเปลี่ยนทดแทนได้ง่าย</t>
  </si>
  <si>
    <t>อุปกรณ์ปั๊มแรงดันสูงและชุดหัวฉีดสแตนเลสมีราคาสูง สามารถสำรองอะไหล่ได้ประมาณ 50% ของงบประมาณ</t>
  </si>
  <si>
    <t>การพ่นละอองน้ำบนถนนหลวงมีข้อบังคับ พ.ร.บ. จราจรทางบกเรื่องความปลอดภัยผิวทางลื่น เสี่ยงต่อการเกิดอุบัติเหตุ ต้องขอข้อยกเว้นและมีมาตรการความปลอดภัยเข้มงวด</t>
  </si>
  <si>
    <t>ใช้หลักการทางอุณหพลศาสตร์และสมการความร้อนแฝง (Latent Heat of Vaporization) เปิดเผย ปลอดปัญหาทรัพย์สินทางปัญญา</t>
  </si>
  <si>
    <t>การเตรียมระบบก่อนออกวิ่งต้องติดตั้งโครงบูม เติมน้ำ ตรวจสอบแรงดันปั๊ม และล้างไส้กรอง ใช้เวลาประมาณ 15-20 นาที</t>
  </si>
  <si>
    <t>ปฏิบัติงานบนยานพาหนะเคลื่อนที่ร่วมกับการจราจรจริง เสี่ยงต่อการเฉี่ยวชนและละอองน้ำบดบังทัศนวิสัย ต้องมีป้ายไฟเตือนและระบบตัดน้ำฉุกเฉิน E-stop</t>
  </si>
  <si>
    <t>ปรับติดตั้งเข้ากับรถบริการเดิมของเทศบาลหรือรถรดน้ำต้นไม้ เจ้าหน้าที่ขับขี่รถตามเส้นทางปกติโดยมีระบบพ่นน้ำอัตโนมัติ</t>
  </si>
  <si>
    <t>การพัฒนาระบบควบคุมต้องพึ่งพารถต้นแบบจริงเพื่อทดสอบแรงสั่นสะเทือนและการกระจายตัวของละอองน้ำ ซอฟต์แวร์จึงผูกติดกับฮาร์ดแวร์สูง</t>
  </si>
  <si>
    <t>การขอใช้ยานพาหนะและสนามทดสอบของมหาวิทยาลัยต้องผ่านกระบวนการขออนุมัติและรอคิว 3-5 วันทำการ</t>
  </si>
  <si>
    <t>สมาชิกมีความเชี่ยวชาญด้านกลไก (Fifa), ระบบควบคุมไฟฟ้า (Due) และการวัดอุณหภูมิ (JK) สอดคล้องกับงานที่ถนัดเดิม ('Oil and Engine')</t>
  </si>
  <si>
    <t>แบบ 3D CAD ของโครงสร้างยึดรถและผังระบบท่อน้ำอยู่ในระดับ 50% Design กำลังคำนวณ Stress Analysis ของขายึด</t>
  </si>
  <si>
    <t>ปั๊มแรงดันสูง 12V/24V และหัวพ่นหมอกสแตนเลสมีจำหน่ายในประเทศ จัดส่งถึงภายใน 3-5 วันทำการ</t>
  </si>
  <si>
    <t>ลดอุณหภูมิเกาะความร้อนเมือง (Urban Heat Island) โดยตรง 3-7°C ช่วยลดความเสี่ยง Heatstroke ของคนเดินเท้า เสริมการปรับตัวต่อสภาพภูมิอากาศสุดขั้ว (SDG 11.5 / 13.1)</t>
  </si>
  <si>
    <t>ระบบพ่นละอองละเอียด Micro-dosing ประหยัดน้ำกว่าการฉีดล้างถนนทั่วไปถึง 80% มีระบบกรองน้ำรีไซเคิล (SDG 6.4 และ SDG 12.4 ได้ระดับ 4)</t>
  </si>
  <si>
    <t>ช่วยลดความร้อนให้แก่ประชาชนกลุ่มเปราะบาง คนรอรถเมล์ และผู้มีรายได้น้อยที่ต้องเดินสัญจรกลางแจ้ง สร้างความเท่าเทียมในเมือง (SDG 10.2 / 11.7)</t>
  </si>
  <si>
    <t>ใช้ท่อและข้อต่อสวมเร็วแบบ Quick-fitting แรงดันสูงสำเร็จรูปเพื่อลดการเชื่อมกลึง</t>
  </si>
  <si>
    <t>เขียนอัลกอริทึมควบคุมรอบการพ่นด้วยไลบรารีโอเพนซอร์สบน Arduino/ESP32</t>
  </si>
  <si>
    <t>เลือกใช้หัวพ่นหมอกขนาดเกลียวมาตรฐาน 3/16 นิ้วที่หาซื้อได้ทั่วไป</t>
  </si>
  <si>
    <t>ทดสอบแรงดันปั๊มบนแท่นทดสอบจำลองก่อนติดตั้งบนรถจริง</t>
  </si>
  <si>
    <t>ทำแผนผังระบบท่อและวงจรควบคุมไฟฟ้าให้สมาชิกทุกคนเข้าใจตำแหน่งวาล์วฉุกเฉิน</t>
  </si>
  <si>
    <t>จำกัดขอบเขตการทดสอบเฉพาะถนนภายในวิทยาเขตเพื่อควบคุมค่าใช้จ่าย</t>
  </si>
  <si>
    <t>จัดซื้อหัวพ่นหมอกสำรอง 5 หัว และโอริงสำรอง 1 ชุด</t>
  </si>
  <si>
    <t>ทำหนังสือขออนุญาตใช้ถนนภายในมหาวิทยาลัยในการทดสอบวิ่ง โดยกำหนดความเร็วไม่เกิน 20 กม./ชม.</t>
  </si>
  <si>
    <t>ติดตั้งข้อต่อสวมเร็วสำหรับเติมน้ำและมีเกจวัดแรงดันแบบเห็นได้ชัดเจน</t>
  </si>
  <si>
    <t>ติดตั้งไฟกะพริบเตือนสีเหลืองด้านหลังรถ และมีปุ่ม E-stop ตัดไฟปั๊มน้ำในห้องโดยสาร</t>
  </si>
  <si>
    <t>ติดตั้งสวิตช์เปิด-ปิดระบบในตำแหน่งที่คนขับเอื้อมถึงง่าย</t>
  </si>
  <si>
    <t>สร้างชุดแท่นทดสอบหัวพ่นหมอกขนาดเล็กบนโต๊ะแล็บเพื่อทดสอบวงจรควบคุมล่วงหน้า</t>
  </si>
  <si>
    <t>ทำหนังสือขออนุญาตใช้รถกระบะและพื้นที่ทดสอบกับภาควิชาล่วงหน้า</t>
  </si>
  <si>
    <t>จัดฝึกอบรมความปลอดภัยด้านระบบแรงดันสูงภายในทีม</t>
  </si>
  <si>
    <t>เร่งทดสอบการประกอบโครงบูมเข้ากับท้ายรถให้เสร็จก่อนสัปดาห์ที่ 8</t>
  </si>
  <si>
    <t>สั่งซื้อปั๊มแรงดันและอุปกรณ์ระบบน้ำจากร้านค้าในไทยทันทีที่อนุมัติแบบ</t>
  </si>
  <si>
    <t>ติดตั้งเซนเซอร์วัดอุณหภูมิผิวถนนเปรียบเทียบก่อน-หลังฉีดพ่นเพื่อทำรายงานผลลัพธ์เชิงวิทยาศาสตร์</t>
  </si>
  <si>
    <t>ติดตั้งระบบกรองตะกรันเพื่อยืดอายุการใช้งานของหัวพ่นและประหยัดน้ำ</t>
  </si>
  <si>
    <t>จัดเส้นทางวิ่งพ่นละอองน้ำเน้นพื้นที่ป้ายรถเมล์และทางเท้าที่มีประชาชนหนาแน่น</t>
  </si>
  <si>
    <t>ระบบวัดอุณหภูมิพื้นผิวถนนแบบไม่สัมผัส (Infrared Pyrometer / Thermal Camera), เซนเซอร์วัดอุณหภูมิอากาศ, ความชื้นสัมพัทธ์ และเซนเซอร์วัดความเร็วลม (Ultrasonic Anemometer)</t>
  </si>
  <si>
    <t>ระบบควบคุมอุณหพลศาสตร์วงปิด (Closed-loop Thermodynamic Control): คำนวณอัตราการระเหยตามสมการ Penman-Monteith, การควบคุมความดันและรอบการพ่นแบบ PWM, และการประเมินสภาวะถนนลื่น (Surface Slip Detection)</t>
  </si>
  <si>
    <t>ระบบกลไกและการฉีดพ่นขั้นสูง: โครงบูมปรับมุมองศาด้วยเซอร์โว/กระบอกสูบไฮดรอลิกส์, ปั๊มแรงดันสูง (High-Pressure Diaphragm Pump), วาล์วโซลินอยด์ควบคุมแรงดัน และหัวพ่นหมอกแบบป้องกันการหยด (Anti-drip Misting Nozzles)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</si>
</sst>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>
    <font>
      <sz val="11"/>
      <color theme="1"/>
      <name val="Calibri"/>
      <family val="2"/>
      <scheme val="minor"/>
    </font>
    <font>
      <b/>
      <sz val="13"/>
      <color rgb="FF1F497D"/>
      <name val="Segoe UI"/>
    </font>
    <font>
      <i/>
      <sz val="9.5"/>
      <color rgb="FF595959"/>
      <name val="Segoe UI"/>
    </font>
    <font>
      <b/>
      <sz val="11"/>
      <color rgb="FF1F497D"/>
      <name val="Segoe UI"/>
    </font>
    <font>
      <b/>
      <sz val="10"/>
      <color rgb="FFFFFFFF"/>
      <name val="Segoe UI"/>
    </font>
    <font>
      <b/>
      <sz val="9.5"/>
      <name val="Segoe UI"/>
    </font>
    <font>
      <sz val="9"/>
      <name val="Segoe UI"/>
    </font>
    <font>
      <b/>
      <sz val="15"/>
      <color rgb="FF002060"/>
      <name val="Segoe UI"/>
    </font>
    <font>
      <b/>
      <sz val="16"/>
      <color rgb="FF006100"/>
      <name val="Segoe UI"/>
    </font>
    <font>
      <b/>
      <sz val="12"/>
      <color rgb="FF006100"/>
      <name val="Segoe UI"/>
    </font>
    <font>
      <b/>
      <sz val="10"/>
      <color rgb="FF002060"/>
      <name val="Segoe UI"/>
    </font>
    <font>
      <b/>
      <sz val="11"/>
      <color rgb="FF002060"/>
      <name val="Segoe UI"/>
    </font>
    <font>
      <b/>
      <sz val="14"/>
      <color rgb="FF002060"/>
      <name val="Segoe UI"/>
    </font>
    <font>
      <b/>
      <sz val="14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3"/>
      <color rgb="FF0061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1F497D"/>
        <bgColor rgb="FF1F497D"/>
      </patternFill>
    </fill>
    <fill>
      <patternFill patternType="solid">
        <fgColor rgb="FF002060"/>
        <bgColor rgb="FF002060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165" fontId="18" fillId="6" borderId="1" xfId="0" applyNumberFormat="1" applyFont="1" applyFill="1" applyBorder="1" applyAlignment="1">
      <alignment horizontal="center" vertical="center"/>
    </xf>
    <xf numFmtId="2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1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A3" workbookViewId="0">
      <selection activeCell="E8" sqref="E8"/>
    </sheetView>
  </sheetViews>
  <sheetFormatPr defaultRowHeight="14.6"/>
  <cols>
    <col min="1" max="1" width="8" customWidth="1"/>
    <col min="2" max="2" width="24.69140625" bestFit="1" customWidth="1"/>
    <col min="3" max="3" width="35.4609375" bestFit="1" customWidth="1"/>
    <col min="4" max="4" width="20.23046875" bestFit="1" customWidth="1"/>
    <col min="5" max="5" width="14.765625" bestFit="1" customWidth="1"/>
    <col min="6" max="6" width="20.4609375" bestFit="1" customWidth="1"/>
    <col min="7" max="7" width="16.07421875" bestFit="1" customWidth="1"/>
    <col min="8" max="8" width="17.921875" bestFit="1" customWidth="1"/>
    <col min="9" max="9" width="16.07421875" bestFit="1" customWidth="1"/>
    <col min="10" max="10" width="14.921875" bestFit="1" customWidth="1"/>
    <col min="11" max="11" width="28" customWidth="1"/>
    <col min="12" max="14" width="35" customWidth="1"/>
    <col min="15" max="15" width="22" customWidth="1"/>
    <col min="16" max="16" width="45" customWidth="1"/>
  </cols>
  <sheetData>
    <row r="1" spans="1:16" ht="21">
      <c r="A1" s="1" t="s">
        <v>0</v>
      </c>
    </row>
    <row r="2" spans="1:16" ht="15">
      <c r="A2" s="2" t="s">
        <v>1</v>
      </c>
    </row>
    <row r="4" spans="1:16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4" t="s">
        <v>16</v>
      </c>
      <c r="P4" s="4" t="s">
        <v>17</v>
      </c>
    </row>
    <row r="5" spans="1:16" ht="72.900000000000006">
      <c r="A5" s="5">
        <v>1</v>
      </c>
      <c r="B5" s="6" t="s">
        <v>18</v>
      </c>
      <c r="C5" s="7" t="s">
        <v>19</v>
      </c>
      <c r="D5" s="8">
        <f>'Solution-1'!W9</f>
        <v>93.433343334333458</v>
      </c>
      <c r="E5" s="9">
        <f>'Solution-1'!D17</f>
        <v>17.600000000000001</v>
      </c>
      <c r="F5" s="9">
        <f>'Solution-1'!D18</f>
        <v>18.666</v>
      </c>
      <c r="G5" s="9">
        <f>'Solution-1'!D19</f>
        <v>15</v>
      </c>
      <c r="H5" s="9">
        <f>'Solution-1'!D20</f>
        <v>18.658000000000001</v>
      </c>
      <c r="I5" s="9">
        <f>'Solution-1'!D21</f>
        <v>13.5</v>
      </c>
      <c r="J5" s="9">
        <f>'Solution-1'!D22</f>
        <v>10</v>
      </c>
      <c r="K5" s="10" t="str">
        <f>'Solution-1'!W12</f>
        <v>ผ่านเกณฑ์ระดับสูง (HIGHLY VIABLE)</v>
      </c>
      <c r="L5" s="11" t="s">
        <v>20</v>
      </c>
      <c r="M5" s="11" t="s">
        <v>21</v>
      </c>
      <c r="N5" s="11" t="s">
        <v>22</v>
      </c>
      <c r="O5" s="12">
        <v>7.5</v>
      </c>
      <c r="P5" s="7" t="s">
        <v>23</v>
      </c>
    </row>
    <row r="6" spans="1:16" ht="72.900000000000006">
      <c r="A6" s="13">
        <v>2</v>
      </c>
      <c r="B6" s="14" t="s">
        <v>24</v>
      </c>
      <c r="C6" s="15" t="s">
        <v>25</v>
      </c>
      <c r="D6" s="8">
        <f>'Solution-2'!W9</f>
        <v>91.963196319631976</v>
      </c>
      <c r="E6" s="16">
        <f>'Solution-2'!D17</f>
        <v>16.8</v>
      </c>
      <c r="F6" s="16">
        <f>'Solution-2'!D18</f>
        <v>17.332000000000001</v>
      </c>
      <c r="G6" s="16">
        <f>'Solution-2'!D19</f>
        <v>15</v>
      </c>
      <c r="H6" s="16">
        <f>'Solution-2'!D20</f>
        <v>19.321999999999999</v>
      </c>
      <c r="I6" s="16">
        <f>'Solution-2'!D21</f>
        <v>13.5</v>
      </c>
      <c r="J6" s="16">
        <f>'Solution-2'!D22</f>
        <v>10</v>
      </c>
      <c r="K6" s="17" t="str">
        <f>'Solution-2'!W12</f>
        <v>ผ่านเกณฑ์ระดับสูง (HIGHLY VIABLE)</v>
      </c>
      <c r="L6" s="18" t="s">
        <v>26</v>
      </c>
      <c r="M6" s="18" t="s">
        <v>27</v>
      </c>
      <c r="N6" s="18" t="s">
        <v>28</v>
      </c>
      <c r="O6" s="12">
        <v>5</v>
      </c>
      <c r="P6" s="15" t="s">
        <v>29</v>
      </c>
    </row>
    <row r="7" spans="1:16" ht="72.900000000000006">
      <c r="A7" s="5">
        <v>3</v>
      </c>
      <c r="B7" s="6" t="s">
        <v>30</v>
      </c>
      <c r="C7" s="7" t="s">
        <v>31</v>
      </c>
      <c r="D7" s="8">
        <f>'Solution-3'!W9</f>
        <v>69.634963496349641</v>
      </c>
      <c r="E7" s="9">
        <f>'Solution-3'!D17</f>
        <v>12.8</v>
      </c>
      <c r="F7" s="9">
        <f>'Solution-3'!D18</f>
        <v>14.668000000000001</v>
      </c>
      <c r="G7" s="9">
        <f>'Solution-3'!D19</f>
        <v>10.499999999999998</v>
      </c>
      <c r="H7" s="9">
        <f>'Solution-3'!D20</f>
        <v>12.66</v>
      </c>
      <c r="I7" s="9">
        <f>'Solution-3'!D21</f>
        <v>9</v>
      </c>
      <c r="J7" s="9">
        <f>'Solution-3'!D22</f>
        <v>10</v>
      </c>
      <c r="K7" s="10" t="str">
        <f>'Solution-3'!W12</f>
        <v>ผ่านแบบมีเงื่อนไข (CONDITIONALLY VIABLE)</v>
      </c>
      <c r="L7" s="11" t="s">
        <v>32</v>
      </c>
      <c r="M7" s="11" t="s">
        <v>33</v>
      </c>
      <c r="N7" s="11" t="s">
        <v>34</v>
      </c>
      <c r="O7" s="12">
        <v>8.5</v>
      </c>
      <c r="P7" s="7" t="s">
        <v>35</v>
      </c>
    </row>
    <row r="8" spans="1:16" ht="58.3">
      <c r="A8" s="13">
        <v>4</v>
      </c>
      <c r="B8" s="14" t="s">
        <v>36</v>
      </c>
      <c r="C8" s="15" t="s">
        <v>37</v>
      </c>
      <c r="D8" s="8">
        <f>'Solution-4'!W9</f>
        <v>66.334633463346364</v>
      </c>
      <c r="E8" s="16">
        <f>'Solution-4'!D17</f>
        <v>12</v>
      </c>
      <c r="F8" s="16">
        <f>'Solution-4'!D18</f>
        <v>13.334000000000001</v>
      </c>
      <c r="G8" s="16">
        <f>'Solution-4'!D19</f>
        <v>12</v>
      </c>
      <c r="H8" s="16">
        <f>'Solution-4'!D20</f>
        <v>10.66</v>
      </c>
      <c r="I8" s="16">
        <f>'Solution-4'!D21</f>
        <v>9</v>
      </c>
      <c r="J8" s="16">
        <f>'Solution-4'!D22</f>
        <v>9.3339999999999996</v>
      </c>
      <c r="K8" s="17" t="str">
        <f>'Solution-4'!W12</f>
        <v>ผ่านแบบมีเงื่อนไข (CONDITIONALLY VIABLE)</v>
      </c>
      <c r="L8" s="18" t="s">
        <v>38</v>
      </c>
      <c r="M8" s="18" t="s">
        <v>39</v>
      </c>
      <c r="N8" s="18" t="s">
        <v>40</v>
      </c>
      <c r="O8" s="12">
        <v>6.5</v>
      </c>
      <c r="P8" s="15" t="s">
        <v>41</v>
      </c>
    </row>
    <row r="9" spans="1:16" ht="87.45">
      <c r="A9" s="5">
        <v>5</v>
      </c>
      <c r="B9" s="6" t="s">
        <v>42</v>
      </c>
      <c r="C9" s="7" t="s">
        <v>43</v>
      </c>
      <c r="D9" s="8">
        <f>'Solution-5'!W9</f>
        <v>67.938793879387958</v>
      </c>
      <c r="E9" s="9">
        <f>'Solution-5'!D17</f>
        <v>13.600000000000001</v>
      </c>
      <c r="F9" s="9">
        <f>'Solution-5'!D18</f>
        <v>13.334000000000001</v>
      </c>
      <c r="G9" s="9">
        <f>'Solution-5'!D19</f>
        <v>10.5</v>
      </c>
      <c r="H9" s="9">
        <f>'Solution-5'!D20</f>
        <v>10.664</v>
      </c>
      <c r="I9" s="9">
        <f>'Solution-5'!D21</f>
        <v>10.499999999999998</v>
      </c>
      <c r="J9" s="9">
        <f>'Solution-5'!D22</f>
        <v>9.3339999999999996</v>
      </c>
      <c r="K9" s="10" t="str">
        <f>'Solution-5'!W12</f>
        <v>ผ่านแบบมีเงื่อนไข (CONDITIONALLY VIABLE)</v>
      </c>
      <c r="L9" s="11" t="s">
        <v>44</v>
      </c>
      <c r="M9" s="11" t="s">
        <v>45</v>
      </c>
      <c r="N9" s="11" t="s">
        <v>46</v>
      </c>
      <c r="O9" s="12">
        <v>9</v>
      </c>
      <c r="P9" s="7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8"/>
  <sheetViews>
    <sheetView tabSelected="1" topLeftCell="A7" workbookViewId="0">
      <selection activeCell="D9" sqref="D9"/>
    </sheetView>
  </sheetViews>
  <sheetFormatPr defaultRowHeight="14.6"/>
  <cols>
    <col min="1" max="1" width="38" customWidth="1"/>
    <col min="2" max="23" width="36" customWidth="1"/>
  </cols>
  <sheetData>
    <row r="1" spans="1:23" ht="19.3">
      <c r="A1" s="19" t="s">
        <v>48</v>
      </c>
    </row>
    <row r="2" spans="1:23" ht="15">
      <c r="A2" s="20" t="s">
        <v>49</v>
      </c>
    </row>
    <row r="4" spans="1:23" ht="24" customHeight="1">
      <c r="A4" s="21" t="s">
        <v>50</v>
      </c>
      <c r="B4" s="22" t="s">
        <v>51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2" t="s">
        <v>64</v>
      </c>
      <c r="P4" s="22" t="s">
        <v>65</v>
      </c>
      <c r="Q4" s="22" t="s">
        <v>66</v>
      </c>
      <c r="R4" s="22" t="s">
        <v>67</v>
      </c>
      <c r="S4" s="22" t="s">
        <v>68</v>
      </c>
      <c r="T4" s="22" t="s">
        <v>69</v>
      </c>
      <c r="U4" s="22" t="s">
        <v>70</v>
      </c>
      <c r="V4" s="22" t="s">
        <v>71</v>
      </c>
      <c r="W4" s="22" t="s">
        <v>72</v>
      </c>
    </row>
    <row r="5" spans="1:23" ht="24" customHeight="1">
      <c r="A5" s="23" t="s">
        <v>73</v>
      </c>
      <c r="B5" s="24" t="s">
        <v>74</v>
      </c>
      <c r="C5" s="24" t="s">
        <v>74</v>
      </c>
      <c r="D5" s="24" t="s">
        <v>74</v>
      </c>
      <c r="E5" s="24" t="s">
        <v>74</v>
      </c>
      <c r="F5" s="24" t="s">
        <v>74</v>
      </c>
      <c r="G5" s="24" t="s">
        <v>75</v>
      </c>
      <c r="H5" s="24" t="s">
        <v>75</v>
      </c>
      <c r="I5" s="24" t="s">
        <v>75</v>
      </c>
      <c r="J5" s="24" t="s">
        <v>76</v>
      </c>
      <c r="K5" s="24" t="s">
        <v>76</v>
      </c>
      <c r="L5" s="24" t="s">
        <v>77</v>
      </c>
      <c r="M5" s="24" t="s">
        <v>77</v>
      </c>
      <c r="N5" s="24" t="s">
        <v>77</v>
      </c>
      <c r="O5" s="24" t="s">
        <v>77</v>
      </c>
      <c r="P5" s="24" t="s">
        <v>77</v>
      </c>
      <c r="Q5" s="24" t="s">
        <v>77</v>
      </c>
      <c r="R5" s="24" t="s">
        <v>78</v>
      </c>
      <c r="S5" s="24" t="s">
        <v>78</v>
      </c>
      <c r="T5" s="24" t="s">
        <v>79</v>
      </c>
      <c r="U5" s="24" t="s">
        <v>79</v>
      </c>
      <c r="V5" s="24" t="s">
        <v>79</v>
      </c>
      <c r="W5" s="25" t="s">
        <v>80</v>
      </c>
    </row>
    <row r="6" spans="1:23" ht="80.05" customHeight="1">
      <c r="A6" s="23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91</v>
      </c>
      <c r="L6" s="26" t="s">
        <v>92</v>
      </c>
      <c r="M6" s="26" t="s">
        <v>93</v>
      </c>
      <c r="N6" s="26" t="s">
        <v>94</v>
      </c>
      <c r="O6" s="26" t="s">
        <v>95</v>
      </c>
      <c r="P6" s="26" t="s">
        <v>96</v>
      </c>
      <c r="Q6" s="26" t="s">
        <v>97</v>
      </c>
      <c r="R6" s="26" t="s">
        <v>98</v>
      </c>
      <c r="S6" s="26" t="s">
        <v>99</v>
      </c>
      <c r="T6" s="26" t="s">
        <v>100</v>
      </c>
      <c r="U6" s="26" t="s">
        <v>101</v>
      </c>
      <c r="V6" s="26" t="s">
        <v>102</v>
      </c>
      <c r="W6" s="27" t="s">
        <v>103</v>
      </c>
    </row>
    <row r="7" spans="1:23" ht="95.05" customHeight="1">
      <c r="A7" s="23" t="s">
        <v>104</v>
      </c>
      <c r="B7" s="26" t="s">
        <v>105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  <c r="K7" s="26" t="s">
        <v>114</v>
      </c>
      <c r="L7" s="26" t="s">
        <v>115</v>
      </c>
      <c r="M7" s="26" t="s">
        <v>116</v>
      </c>
      <c r="N7" s="26" t="s">
        <v>117</v>
      </c>
      <c r="O7" s="26" t="s">
        <v>118</v>
      </c>
      <c r="P7" s="26" t="s">
        <v>119</v>
      </c>
      <c r="Q7" s="26" t="s">
        <v>120</v>
      </c>
      <c r="R7" s="26" t="s">
        <v>121</v>
      </c>
      <c r="S7" s="26" t="s">
        <v>122</v>
      </c>
      <c r="T7" s="26" t="s">
        <v>123</v>
      </c>
      <c r="U7" s="26" t="s">
        <v>124</v>
      </c>
      <c r="V7" s="26" t="s">
        <v>125</v>
      </c>
      <c r="W7" s="27" t="s">
        <v>126</v>
      </c>
    </row>
    <row r="8" spans="1:23" ht="306">
      <c r="A8" s="23" t="s">
        <v>127</v>
      </c>
      <c r="B8" s="26" t="s">
        <v>128</v>
      </c>
      <c r="C8" s="26" t="s">
        <v>129</v>
      </c>
      <c r="D8" s="26" t="s">
        <v>130</v>
      </c>
      <c r="E8" s="26" t="s">
        <v>131</v>
      </c>
      <c r="F8" s="26" t="s">
        <v>132</v>
      </c>
      <c r="G8" s="26" t="s">
        <v>133</v>
      </c>
      <c r="H8" s="26" t="s">
        <v>134</v>
      </c>
      <c r="I8" s="26" t="s">
        <v>135</v>
      </c>
      <c r="J8" s="26" t="s">
        <v>136</v>
      </c>
      <c r="K8" s="26" t="s">
        <v>137</v>
      </c>
      <c r="L8" s="26" t="s">
        <v>138</v>
      </c>
      <c r="M8" s="26" t="s">
        <v>139</v>
      </c>
      <c r="N8" s="26" t="s">
        <v>140</v>
      </c>
      <c r="O8" s="26" t="s">
        <v>141</v>
      </c>
      <c r="P8" s="26" t="s">
        <v>142</v>
      </c>
      <c r="Q8" s="26" t="s">
        <v>143</v>
      </c>
      <c r="R8" s="26" t="s">
        <v>144</v>
      </c>
      <c r="S8" s="26" t="s">
        <v>145</v>
      </c>
      <c r="T8" s="26" t="s">
        <v>146</v>
      </c>
      <c r="U8" s="26" t="s">
        <v>147</v>
      </c>
      <c r="V8" s="26" t="s">
        <v>148</v>
      </c>
      <c r="W8" s="27" t="s">
        <v>149</v>
      </c>
    </row>
    <row r="9" spans="1:23" ht="36" customHeight="1">
      <c r="A9" s="28" t="s">
        <v>150</v>
      </c>
      <c r="B9" s="29">
        <v>4</v>
      </c>
      <c r="C9" s="29">
        <v>5</v>
      </c>
      <c r="D9" s="29">
        <v>5</v>
      </c>
      <c r="E9" s="29">
        <v>4</v>
      </c>
      <c r="F9" s="29">
        <v>4</v>
      </c>
      <c r="G9" s="29">
        <v>5</v>
      </c>
      <c r="H9" s="29">
        <v>4</v>
      </c>
      <c r="I9" s="29">
        <v>5</v>
      </c>
      <c r="J9" s="29">
        <v>5</v>
      </c>
      <c r="K9" s="29">
        <v>5</v>
      </c>
      <c r="L9" s="29">
        <v>5</v>
      </c>
      <c r="M9" s="29">
        <v>5</v>
      </c>
      <c r="N9" s="29">
        <v>4</v>
      </c>
      <c r="O9" s="29">
        <v>4</v>
      </c>
      <c r="P9" s="29">
        <v>5</v>
      </c>
      <c r="Q9" s="29">
        <v>5</v>
      </c>
      <c r="R9" s="29">
        <v>4</v>
      </c>
      <c r="S9" s="29">
        <v>5</v>
      </c>
      <c r="T9" s="29">
        <v>5</v>
      </c>
      <c r="U9" s="29">
        <v>5</v>
      </c>
      <c r="V9" s="29">
        <v>5</v>
      </c>
      <c r="W9" s="30">
        <f>IF(W10&gt;0, (W11/W10)*20, 0)</f>
        <v>93.433343334333458</v>
      </c>
    </row>
    <row r="10" spans="1:23" ht="22" customHeight="1">
      <c r="A10" s="23" t="s">
        <v>151</v>
      </c>
      <c r="B10" s="31">
        <v>0.04</v>
      </c>
      <c r="C10" s="31">
        <v>0.04</v>
      </c>
      <c r="D10" s="31">
        <v>0.04</v>
      </c>
      <c r="E10" s="31">
        <v>0.04</v>
      </c>
      <c r="F10" s="31">
        <v>0.04</v>
      </c>
      <c r="G10" s="31">
        <v>6.6699999999999995E-2</v>
      </c>
      <c r="H10" s="31">
        <v>6.6699999999999995E-2</v>
      </c>
      <c r="I10" s="31">
        <v>6.6600000000000006E-2</v>
      </c>
      <c r="J10" s="31">
        <v>7.4999999999999997E-2</v>
      </c>
      <c r="K10" s="31">
        <v>7.4999999999999997E-2</v>
      </c>
      <c r="L10" s="31">
        <v>3.3300000000000003E-2</v>
      </c>
      <c r="M10" s="31">
        <v>3.3300000000000003E-2</v>
      </c>
      <c r="N10" s="31">
        <v>3.3300000000000003E-2</v>
      </c>
      <c r="O10" s="31">
        <v>3.3300000000000003E-2</v>
      </c>
      <c r="P10" s="31">
        <v>3.3300000000000003E-2</v>
      </c>
      <c r="Q10" s="31">
        <v>3.3399999999999999E-2</v>
      </c>
      <c r="R10" s="31">
        <v>7.4999999999999997E-2</v>
      </c>
      <c r="S10" s="31">
        <v>7.4999999999999997E-2</v>
      </c>
      <c r="T10" s="31">
        <v>3.3300000000000003E-2</v>
      </c>
      <c r="U10" s="31">
        <v>3.3300000000000003E-2</v>
      </c>
      <c r="V10" s="31">
        <v>3.3399999999999999E-2</v>
      </c>
      <c r="W10" s="31">
        <f>SUM(B10:V10)</f>
        <v>0.99989999999999979</v>
      </c>
    </row>
    <row r="11" spans="1:23" ht="24" customHeight="1">
      <c r="A11" s="23" t="s">
        <v>152</v>
      </c>
      <c r="B11" s="32">
        <f t="shared" ref="B11:V11" si="0">B9*B10</f>
        <v>0.16</v>
      </c>
      <c r="C11" s="32">
        <f t="shared" si="0"/>
        <v>0.2</v>
      </c>
      <c r="D11" s="32">
        <f t="shared" si="0"/>
        <v>0.2</v>
      </c>
      <c r="E11" s="32">
        <f t="shared" si="0"/>
        <v>0.16</v>
      </c>
      <c r="F11" s="32">
        <f t="shared" si="0"/>
        <v>0.16</v>
      </c>
      <c r="G11" s="32">
        <f t="shared" si="0"/>
        <v>0.33349999999999996</v>
      </c>
      <c r="H11" s="32">
        <f t="shared" si="0"/>
        <v>0.26679999999999998</v>
      </c>
      <c r="I11" s="32">
        <f t="shared" si="0"/>
        <v>0.33300000000000002</v>
      </c>
      <c r="J11" s="32">
        <f t="shared" si="0"/>
        <v>0.375</v>
      </c>
      <c r="K11" s="32">
        <f t="shared" si="0"/>
        <v>0.375</v>
      </c>
      <c r="L11" s="32">
        <f t="shared" si="0"/>
        <v>0.16650000000000001</v>
      </c>
      <c r="M11" s="32">
        <f t="shared" si="0"/>
        <v>0.16650000000000001</v>
      </c>
      <c r="N11" s="32">
        <f t="shared" si="0"/>
        <v>0.13320000000000001</v>
      </c>
      <c r="O11" s="32">
        <f t="shared" si="0"/>
        <v>0.13320000000000001</v>
      </c>
      <c r="P11" s="32">
        <f t="shared" si="0"/>
        <v>0.16650000000000001</v>
      </c>
      <c r="Q11" s="32">
        <f t="shared" si="0"/>
        <v>0.16699999999999998</v>
      </c>
      <c r="R11" s="32">
        <f t="shared" si="0"/>
        <v>0.3</v>
      </c>
      <c r="S11" s="32">
        <f t="shared" si="0"/>
        <v>0.375</v>
      </c>
      <c r="T11" s="32">
        <f t="shared" si="0"/>
        <v>0.16650000000000001</v>
      </c>
      <c r="U11" s="32">
        <f t="shared" si="0"/>
        <v>0.16650000000000001</v>
      </c>
      <c r="V11" s="32">
        <f t="shared" si="0"/>
        <v>0.16699999999999998</v>
      </c>
      <c r="W11" s="32">
        <f>SUM(B11:V11)</f>
        <v>4.6711999999999998</v>
      </c>
    </row>
    <row r="12" spans="1:23" ht="115" customHeight="1">
      <c r="A12" s="23" t="s">
        <v>153</v>
      </c>
      <c r="B12" s="26" t="s">
        <v>154</v>
      </c>
      <c r="C12" s="26" t="s">
        <v>155</v>
      </c>
      <c r="D12" s="26" t="s">
        <v>156</v>
      </c>
      <c r="E12" s="26" t="s">
        <v>157</v>
      </c>
      <c r="F12" s="26" t="s">
        <v>158</v>
      </c>
      <c r="G12" s="26" t="s">
        <v>159</v>
      </c>
      <c r="H12" s="26" t="s">
        <v>160</v>
      </c>
      <c r="I12" s="26" t="s">
        <v>161</v>
      </c>
      <c r="J12" s="26" t="s">
        <v>162</v>
      </c>
      <c r="K12" s="26" t="s">
        <v>163</v>
      </c>
      <c r="L12" s="26" t="s">
        <v>164</v>
      </c>
      <c r="M12" s="26" t="s">
        <v>165</v>
      </c>
      <c r="N12" s="26" t="s">
        <v>166</v>
      </c>
      <c r="O12" s="26" t="s">
        <v>167</v>
      </c>
      <c r="P12" s="26" t="s">
        <v>168</v>
      </c>
      <c r="Q12" s="26" t="s">
        <v>169</v>
      </c>
      <c r="R12" s="26" t="s">
        <v>170</v>
      </c>
      <c r="S12" s="26" t="s">
        <v>171</v>
      </c>
      <c r="T12" s="26" t="s">
        <v>172</v>
      </c>
      <c r="U12" s="26" t="s">
        <v>173</v>
      </c>
      <c r="V12" s="26" t="s">
        <v>174</v>
      </c>
      <c r="W12" s="33" t="str">
        <f>IF(MIN(B9:V9)=1, "VETOED / ตกเกณฑ์ข้อบังคับวิกฤต (คะแนนระดับ 1)", IF(W9&gt;=80, "ผ่านเกณฑ์ระดับสูง (HIGHLY VIABLE)", IF(W9&gt;=60, "ผ่านแบบมีเงื่อนไข (CONDITIONALLY VIABLE)", "ความเสี่ยงสูง (HIGH RISK)")))</f>
        <v>ผ่านเกณฑ์ระดับสูง (HIGHLY VIABLE)</v>
      </c>
    </row>
    <row r="13" spans="1:23" ht="70" customHeight="1">
      <c r="A13" s="23" t="s">
        <v>175</v>
      </c>
      <c r="B13" s="26" t="s">
        <v>176</v>
      </c>
      <c r="C13" s="26" t="s">
        <v>177</v>
      </c>
      <c r="D13" s="26" t="s">
        <v>178</v>
      </c>
      <c r="E13" s="26" t="s">
        <v>179</v>
      </c>
      <c r="F13" s="26" t="s">
        <v>180</v>
      </c>
      <c r="G13" s="26" t="s">
        <v>181</v>
      </c>
      <c r="H13" s="26" t="s">
        <v>182</v>
      </c>
      <c r="I13" s="26" t="s">
        <v>183</v>
      </c>
      <c r="J13" s="26" t="s">
        <v>184</v>
      </c>
      <c r="K13" s="26" t="s">
        <v>185</v>
      </c>
      <c r="L13" s="26" t="s">
        <v>186</v>
      </c>
      <c r="M13" s="26" t="s">
        <v>187</v>
      </c>
      <c r="N13" s="26" t="s">
        <v>188</v>
      </c>
      <c r="O13" s="26" t="s">
        <v>189</v>
      </c>
      <c r="P13" s="26" t="s">
        <v>190</v>
      </c>
      <c r="Q13" s="26" t="s">
        <v>191</v>
      </c>
      <c r="R13" s="26" t="s">
        <v>192</v>
      </c>
      <c r="S13" s="26" t="s">
        <v>193</v>
      </c>
      <c r="T13" s="26" t="s">
        <v>194</v>
      </c>
      <c r="U13" s="26" t="s">
        <v>195</v>
      </c>
      <c r="V13" s="26" t="s">
        <v>196</v>
      </c>
      <c r="W13" s="25" t="s">
        <v>197</v>
      </c>
    </row>
    <row r="14" spans="1:23" ht="15" customHeight="1"/>
    <row r="15" spans="1:23" ht="26.05" customHeight="1">
      <c r="A15" s="19" t="s">
        <v>198</v>
      </c>
    </row>
    <row r="16" spans="1:23" ht="24" customHeight="1">
      <c r="A16" s="34" t="s">
        <v>73</v>
      </c>
      <c r="B16" s="34" t="s">
        <v>199</v>
      </c>
      <c r="C16" s="34" t="s">
        <v>200</v>
      </c>
      <c r="D16" s="34" t="s">
        <v>201</v>
      </c>
      <c r="E16" s="34" t="s">
        <v>202</v>
      </c>
      <c r="F16" s="34" t="s">
        <v>203</v>
      </c>
    </row>
    <row r="17" spans="1:6" ht="22" customHeight="1">
      <c r="A17" s="35" t="s">
        <v>204</v>
      </c>
      <c r="B17" s="36">
        <v>0.2</v>
      </c>
      <c r="C17" s="37">
        <v>20</v>
      </c>
      <c r="D17" s="38">
        <f>SUM(B11:F11)*20</f>
        <v>17.600000000000001</v>
      </c>
      <c r="E17" s="39">
        <f t="shared" ref="E17:E23" si="1">IF(C17&gt;0, (D17/C17)*5, 0)</f>
        <v>4.4000000000000004</v>
      </c>
      <c r="F17" s="25" t="str">
        <f>IF(D17&gt;=16, "พร้อมระดับสูง (High)", IF(D17&gt;=12, "ปานกลาง (Medium)", "เสี่ยงวิกฤต (Critical)"))</f>
        <v>พร้อมระดับสูง (High)</v>
      </c>
    </row>
    <row r="18" spans="1:6" ht="22" customHeight="1">
      <c r="A18" s="35" t="s">
        <v>205</v>
      </c>
      <c r="B18" s="36">
        <v>0.2</v>
      </c>
      <c r="C18" s="37">
        <v>20</v>
      </c>
      <c r="D18" s="38">
        <f>SUM(G11:I11)*20</f>
        <v>18.666</v>
      </c>
      <c r="E18" s="39">
        <f t="shared" si="1"/>
        <v>4.6665000000000001</v>
      </c>
      <c r="F18" s="25" t="str">
        <f>IF(D18&gt;=16, "พร้อมระดับสูง (High)", IF(D18&gt;=12, "ปานกลาง (Medium)", "เสี่ยงวิกฤต (Critical)"))</f>
        <v>พร้อมระดับสูง (High)</v>
      </c>
    </row>
    <row r="19" spans="1:6" ht="22" customHeight="1">
      <c r="A19" s="35" t="s">
        <v>206</v>
      </c>
      <c r="B19" s="36">
        <v>0.15</v>
      </c>
      <c r="C19" s="37">
        <v>15</v>
      </c>
      <c r="D19" s="38">
        <f>SUM(J11:K11)*20</f>
        <v>15</v>
      </c>
      <c r="E19" s="39">
        <f t="shared" si="1"/>
        <v>5</v>
      </c>
      <c r="F19" s="25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5" t="s">
        <v>207</v>
      </c>
      <c r="B20" s="36">
        <v>0.2</v>
      </c>
      <c r="C20" s="37">
        <v>20</v>
      </c>
      <c r="D20" s="38">
        <f>SUM(L11:Q11)*20</f>
        <v>18.658000000000001</v>
      </c>
      <c r="E20" s="39">
        <f t="shared" si="1"/>
        <v>4.6645000000000003</v>
      </c>
      <c r="F20" s="25" t="str">
        <f>IF(D20&gt;=16, "พร้อมระดับสูง (High)", IF(D20&gt;=12, "ปานกลาง (Medium)", "เสี่ยงวิกฤต (Critical)"))</f>
        <v>พร้อมระดับสูง (High)</v>
      </c>
    </row>
    <row r="21" spans="1:6" ht="22" customHeight="1">
      <c r="A21" s="35" t="s">
        <v>208</v>
      </c>
      <c r="B21" s="36">
        <v>0.15</v>
      </c>
      <c r="C21" s="37">
        <v>15</v>
      </c>
      <c r="D21" s="38">
        <f>SUM(R11:S11)*20</f>
        <v>13.5</v>
      </c>
      <c r="E21" s="39">
        <f t="shared" si="1"/>
        <v>4.5</v>
      </c>
      <c r="F21" s="25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5" t="s">
        <v>209</v>
      </c>
      <c r="B22" s="36">
        <v>0.1</v>
      </c>
      <c r="C22" s="37">
        <v>10</v>
      </c>
      <c r="D22" s="38">
        <f>SUM(T11:V11)*20</f>
        <v>10</v>
      </c>
      <c r="E22" s="39">
        <f t="shared" si="1"/>
        <v>5</v>
      </c>
      <c r="F22" s="25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40" t="s">
        <v>210</v>
      </c>
      <c r="B23" s="31">
        <f>SUM(B17:B22)</f>
        <v>1</v>
      </c>
      <c r="C23" s="41">
        <f>SUM(C17:C22)</f>
        <v>100</v>
      </c>
      <c r="D23" s="42">
        <f>SUM(D17:D22)</f>
        <v>93.424000000000007</v>
      </c>
      <c r="E23" s="32">
        <f t="shared" si="1"/>
        <v>4.6712000000000007</v>
      </c>
      <c r="F23" s="43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ผ่านเกณฑ์ระดับสูง (HIGHLY VIABLE)</v>
      </c>
    </row>
    <row r="24" spans="1:6" ht="12" customHeight="1"/>
    <row r="25" spans="1:6" ht="26.05" customHeight="1">
      <c r="A25" s="19" t="s">
        <v>211</v>
      </c>
    </row>
    <row r="26" spans="1:6" ht="22" customHeight="1">
      <c r="A26" s="20" t="s">
        <v>212</v>
      </c>
    </row>
    <row r="27" spans="1:6" ht="24" customHeight="1">
      <c r="A27" s="44" t="s">
        <v>213</v>
      </c>
      <c r="B27" s="44" t="s">
        <v>214</v>
      </c>
      <c r="C27" s="44" t="s">
        <v>215</v>
      </c>
      <c r="D27" s="44" t="s">
        <v>216</v>
      </c>
      <c r="E27" s="44" t="s">
        <v>217</v>
      </c>
      <c r="F27" s="44" t="s">
        <v>218</v>
      </c>
    </row>
    <row r="28" spans="1:6" ht="95.05" customHeight="1">
      <c r="A28" s="45" t="s">
        <v>219</v>
      </c>
      <c r="B28" s="46">
        <v>7.5</v>
      </c>
      <c r="C28" s="26" t="s">
        <v>220</v>
      </c>
      <c r="D28" s="26" t="s">
        <v>221</v>
      </c>
      <c r="E28" s="26" t="s">
        <v>222</v>
      </c>
      <c r="F28" s="2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workbookViewId="0"/>
  </sheetViews>
  <sheetFormatPr defaultRowHeight="14.6"/>
  <cols>
    <col min="1" max="1" width="38" customWidth="1"/>
    <col min="2" max="23" width="36" customWidth="1"/>
  </cols>
  <sheetData>
    <row r="1" spans="1:23" ht="19.3">
      <c r="A1" s="19" t="s">
        <v>223</v>
      </c>
    </row>
    <row r="2" spans="1:23" ht="15">
      <c r="A2" s="20" t="s">
        <v>49</v>
      </c>
    </row>
    <row r="4" spans="1:23" ht="24" customHeight="1">
      <c r="A4" s="21" t="s">
        <v>50</v>
      </c>
      <c r="B4" s="22" t="s">
        <v>51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2" t="s">
        <v>64</v>
      </c>
      <c r="P4" s="22" t="s">
        <v>65</v>
      </c>
      <c r="Q4" s="22" t="s">
        <v>66</v>
      </c>
      <c r="R4" s="22" t="s">
        <v>67</v>
      </c>
      <c r="S4" s="22" t="s">
        <v>68</v>
      </c>
      <c r="T4" s="22" t="s">
        <v>69</v>
      </c>
      <c r="U4" s="22" t="s">
        <v>70</v>
      </c>
      <c r="V4" s="22" t="s">
        <v>71</v>
      </c>
      <c r="W4" s="22" t="s">
        <v>72</v>
      </c>
    </row>
    <row r="5" spans="1:23" ht="24" customHeight="1">
      <c r="A5" s="23" t="s">
        <v>73</v>
      </c>
      <c r="B5" s="24" t="s">
        <v>74</v>
      </c>
      <c r="C5" s="24" t="s">
        <v>74</v>
      </c>
      <c r="D5" s="24" t="s">
        <v>74</v>
      </c>
      <c r="E5" s="24" t="s">
        <v>74</v>
      </c>
      <c r="F5" s="24" t="s">
        <v>74</v>
      </c>
      <c r="G5" s="24" t="s">
        <v>75</v>
      </c>
      <c r="H5" s="24" t="s">
        <v>75</v>
      </c>
      <c r="I5" s="24" t="s">
        <v>75</v>
      </c>
      <c r="J5" s="24" t="s">
        <v>76</v>
      </c>
      <c r="K5" s="24" t="s">
        <v>76</v>
      </c>
      <c r="L5" s="24" t="s">
        <v>77</v>
      </c>
      <c r="M5" s="24" t="s">
        <v>77</v>
      </c>
      <c r="N5" s="24" t="s">
        <v>77</v>
      </c>
      <c r="O5" s="24" t="s">
        <v>77</v>
      </c>
      <c r="P5" s="24" t="s">
        <v>77</v>
      </c>
      <c r="Q5" s="24" t="s">
        <v>77</v>
      </c>
      <c r="R5" s="24" t="s">
        <v>78</v>
      </c>
      <c r="S5" s="24" t="s">
        <v>78</v>
      </c>
      <c r="T5" s="24" t="s">
        <v>79</v>
      </c>
      <c r="U5" s="24" t="s">
        <v>79</v>
      </c>
      <c r="V5" s="24" t="s">
        <v>79</v>
      </c>
      <c r="W5" s="25" t="s">
        <v>80</v>
      </c>
    </row>
    <row r="6" spans="1:23" ht="80.05" customHeight="1">
      <c r="A6" s="23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91</v>
      </c>
      <c r="L6" s="26" t="s">
        <v>92</v>
      </c>
      <c r="M6" s="26" t="s">
        <v>93</v>
      </c>
      <c r="N6" s="26" t="s">
        <v>94</v>
      </c>
      <c r="O6" s="26" t="s">
        <v>95</v>
      </c>
      <c r="P6" s="26" t="s">
        <v>96</v>
      </c>
      <c r="Q6" s="26" t="s">
        <v>97</v>
      </c>
      <c r="R6" s="26" t="s">
        <v>98</v>
      </c>
      <c r="S6" s="26" t="s">
        <v>99</v>
      </c>
      <c r="T6" s="26" t="s">
        <v>100</v>
      </c>
      <c r="U6" s="26" t="s">
        <v>101</v>
      </c>
      <c r="V6" s="26" t="s">
        <v>102</v>
      </c>
      <c r="W6" s="27" t="s">
        <v>103</v>
      </c>
    </row>
    <row r="7" spans="1:23" ht="95.05" customHeight="1">
      <c r="A7" s="23" t="s">
        <v>104</v>
      </c>
      <c r="B7" s="26" t="s">
        <v>105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  <c r="K7" s="26" t="s">
        <v>114</v>
      </c>
      <c r="L7" s="26" t="s">
        <v>115</v>
      </c>
      <c r="M7" s="26" t="s">
        <v>116</v>
      </c>
      <c r="N7" s="26" t="s">
        <v>117</v>
      </c>
      <c r="O7" s="26" t="s">
        <v>118</v>
      </c>
      <c r="P7" s="26" t="s">
        <v>119</v>
      </c>
      <c r="Q7" s="26" t="s">
        <v>120</v>
      </c>
      <c r="R7" s="26" t="s">
        <v>121</v>
      </c>
      <c r="S7" s="26" t="s">
        <v>122</v>
      </c>
      <c r="T7" s="26" t="s">
        <v>123</v>
      </c>
      <c r="U7" s="26" t="s">
        <v>124</v>
      </c>
      <c r="V7" s="26" t="s">
        <v>125</v>
      </c>
      <c r="W7" s="27" t="s">
        <v>126</v>
      </c>
    </row>
    <row r="8" spans="1:23" ht="150" customHeight="1">
      <c r="A8" s="23" t="s">
        <v>127</v>
      </c>
      <c r="B8" s="26" t="s">
        <v>128</v>
      </c>
      <c r="C8" s="26" t="s">
        <v>129</v>
      </c>
      <c r="D8" s="26" t="s">
        <v>130</v>
      </c>
      <c r="E8" s="26" t="s">
        <v>131</v>
      </c>
      <c r="F8" s="26" t="s">
        <v>132</v>
      </c>
      <c r="G8" s="26" t="s">
        <v>133</v>
      </c>
      <c r="H8" s="26" t="s">
        <v>134</v>
      </c>
      <c r="I8" s="26" t="s">
        <v>135</v>
      </c>
      <c r="J8" s="26" t="s">
        <v>136</v>
      </c>
      <c r="K8" s="26" t="s">
        <v>137</v>
      </c>
      <c r="L8" s="26" t="s">
        <v>138</v>
      </c>
      <c r="M8" s="26" t="s">
        <v>139</v>
      </c>
      <c r="N8" s="26" t="s">
        <v>140</v>
      </c>
      <c r="O8" s="26" t="s">
        <v>141</v>
      </c>
      <c r="P8" s="26" t="s">
        <v>142</v>
      </c>
      <c r="Q8" s="26" t="s">
        <v>143</v>
      </c>
      <c r="R8" s="26" t="s">
        <v>144</v>
      </c>
      <c r="S8" s="26" t="s">
        <v>145</v>
      </c>
      <c r="T8" s="26" t="s">
        <v>146</v>
      </c>
      <c r="U8" s="26" t="s">
        <v>147</v>
      </c>
      <c r="V8" s="26" t="s">
        <v>148</v>
      </c>
      <c r="W8" s="27" t="s">
        <v>149</v>
      </c>
    </row>
    <row r="9" spans="1:23" ht="36" customHeight="1">
      <c r="A9" s="28" t="s">
        <v>150</v>
      </c>
      <c r="B9" s="29">
        <v>4</v>
      </c>
      <c r="C9" s="29">
        <v>4</v>
      </c>
      <c r="D9" s="29">
        <v>5</v>
      </c>
      <c r="E9" s="29">
        <v>4</v>
      </c>
      <c r="F9" s="29">
        <v>4</v>
      </c>
      <c r="G9" s="29">
        <v>4</v>
      </c>
      <c r="H9" s="29">
        <v>4</v>
      </c>
      <c r="I9" s="29">
        <v>5</v>
      </c>
      <c r="J9" s="29">
        <v>5</v>
      </c>
      <c r="K9" s="29">
        <v>5</v>
      </c>
      <c r="L9" s="29">
        <v>5</v>
      </c>
      <c r="M9" s="29">
        <v>5</v>
      </c>
      <c r="N9" s="29">
        <v>5</v>
      </c>
      <c r="O9" s="29">
        <v>5</v>
      </c>
      <c r="P9" s="29">
        <v>5</v>
      </c>
      <c r="Q9" s="29">
        <v>4</v>
      </c>
      <c r="R9" s="29">
        <v>4</v>
      </c>
      <c r="S9" s="29">
        <v>5</v>
      </c>
      <c r="T9" s="29">
        <v>5</v>
      </c>
      <c r="U9" s="29">
        <v>5</v>
      </c>
      <c r="V9" s="29">
        <v>5</v>
      </c>
      <c r="W9" s="30">
        <f>IF(W10&gt;0, (W11/W10)*20, 0)</f>
        <v>91.963196319631976</v>
      </c>
    </row>
    <row r="10" spans="1:23" ht="22" customHeight="1">
      <c r="A10" s="23" t="s">
        <v>151</v>
      </c>
      <c r="B10" s="31">
        <v>0.04</v>
      </c>
      <c r="C10" s="31">
        <v>0.04</v>
      </c>
      <c r="D10" s="31">
        <v>0.04</v>
      </c>
      <c r="E10" s="31">
        <v>0.04</v>
      </c>
      <c r="F10" s="31">
        <v>0.04</v>
      </c>
      <c r="G10" s="31">
        <v>6.6699999999999995E-2</v>
      </c>
      <c r="H10" s="31">
        <v>6.6699999999999995E-2</v>
      </c>
      <c r="I10" s="31">
        <v>6.6600000000000006E-2</v>
      </c>
      <c r="J10" s="31">
        <v>7.4999999999999997E-2</v>
      </c>
      <c r="K10" s="31">
        <v>7.4999999999999997E-2</v>
      </c>
      <c r="L10" s="31">
        <v>3.3300000000000003E-2</v>
      </c>
      <c r="M10" s="31">
        <v>3.3300000000000003E-2</v>
      </c>
      <c r="N10" s="31">
        <v>3.3300000000000003E-2</v>
      </c>
      <c r="O10" s="31">
        <v>3.3300000000000003E-2</v>
      </c>
      <c r="P10" s="31">
        <v>3.3300000000000003E-2</v>
      </c>
      <c r="Q10" s="31">
        <v>3.3399999999999999E-2</v>
      </c>
      <c r="R10" s="31">
        <v>7.4999999999999997E-2</v>
      </c>
      <c r="S10" s="31">
        <v>7.4999999999999997E-2</v>
      </c>
      <c r="T10" s="31">
        <v>3.3300000000000003E-2</v>
      </c>
      <c r="U10" s="31">
        <v>3.3300000000000003E-2</v>
      </c>
      <c r="V10" s="31">
        <v>3.3399999999999999E-2</v>
      </c>
      <c r="W10" s="31">
        <f>SUM(B10:V10)</f>
        <v>0.99989999999999979</v>
      </c>
    </row>
    <row r="11" spans="1:23" ht="24" customHeight="1">
      <c r="A11" s="23" t="s">
        <v>152</v>
      </c>
      <c r="B11" s="32">
        <f t="shared" ref="B11:V11" si="0">B9*B10</f>
        <v>0.16</v>
      </c>
      <c r="C11" s="32">
        <f t="shared" si="0"/>
        <v>0.16</v>
      </c>
      <c r="D11" s="32">
        <f t="shared" si="0"/>
        <v>0.2</v>
      </c>
      <c r="E11" s="32">
        <f t="shared" si="0"/>
        <v>0.16</v>
      </c>
      <c r="F11" s="32">
        <f t="shared" si="0"/>
        <v>0.16</v>
      </c>
      <c r="G11" s="32">
        <f t="shared" si="0"/>
        <v>0.26679999999999998</v>
      </c>
      <c r="H11" s="32">
        <f t="shared" si="0"/>
        <v>0.26679999999999998</v>
      </c>
      <c r="I11" s="32">
        <f t="shared" si="0"/>
        <v>0.33300000000000002</v>
      </c>
      <c r="J11" s="32">
        <f t="shared" si="0"/>
        <v>0.375</v>
      </c>
      <c r="K11" s="32">
        <f t="shared" si="0"/>
        <v>0.375</v>
      </c>
      <c r="L11" s="32">
        <f t="shared" si="0"/>
        <v>0.16650000000000001</v>
      </c>
      <c r="M11" s="32">
        <f t="shared" si="0"/>
        <v>0.16650000000000001</v>
      </c>
      <c r="N11" s="32">
        <f t="shared" si="0"/>
        <v>0.16650000000000001</v>
      </c>
      <c r="O11" s="32">
        <f t="shared" si="0"/>
        <v>0.16650000000000001</v>
      </c>
      <c r="P11" s="32">
        <f t="shared" si="0"/>
        <v>0.16650000000000001</v>
      </c>
      <c r="Q11" s="32">
        <f t="shared" si="0"/>
        <v>0.1336</v>
      </c>
      <c r="R11" s="32">
        <f t="shared" si="0"/>
        <v>0.3</v>
      </c>
      <c r="S11" s="32">
        <f t="shared" si="0"/>
        <v>0.375</v>
      </c>
      <c r="T11" s="32">
        <f t="shared" si="0"/>
        <v>0.16650000000000001</v>
      </c>
      <c r="U11" s="32">
        <f t="shared" si="0"/>
        <v>0.16650000000000001</v>
      </c>
      <c r="V11" s="32">
        <f t="shared" si="0"/>
        <v>0.16699999999999998</v>
      </c>
      <c r="W11" s="32">
        <f>SUM(B11:V11)</f>
        <v>4.5976999999999997</v>
      </c>
    </row>
    <row r="12" spans="1:23" ht="115" customHeight="1">
      <c r="A12" s="23" t="s">
        <v>153</v>
      </c>
      <c r="B12" s="26" t="s">
        <v>224</v>
      </c>
      <c r="C12" s="26" t="s">
        <v>225</v>
      </c>
      <c r="D12" s="26" t="s">
        <v>226</v>
      </c>
      <c r="E12" s="26" t="s">
        <v>227</v>
      </c>
      <c r="F12" s="26" t="s">
        <v>228</v>
      </c>
      <c r="G12" s="26" t="s">
        <v>229</v>
      </c>
      <c r="H12" s="26" t="s">
        <v>230</v>
      </c>
      <c r="I12" s="26" t="s">
        <v>231</v>
      </c>
      <c r="J12" s="26" t="s">
        <v>232</v>
      </c>
      <c r="K12" s="26" t="s">
        <v>233</v>
      </c>
      <c r="L12" s="26" t="s">
        <v>234</v>
      </c>
      <c r="M12" s="26" t="s">
        <v>235</v>
      </c>
      <c r="N12" s="26" t="s">
        <v>236</v>
      </c>
      <c r="O12" s="26" t="s">
        <v>237</v>
      </c>
      <c r="P12" s="26" t="s">
        <v>238</v>
      </c>
      <c r="Q12" s="26" t="s">
        <v>239</v>
      </c>
      <c r="R12" s="26" t="s">
        <v>240</v>
      </c>
      <c r="S12" s="26" t="s">
        <v>241</v>
      </c>
      <c r="T12" s="26" t="s">
        <v>242</v>
      </c>
      <c r="U12" s="26" t="s">
        <v>243</v>
      </c>
      <c r="V12" s="26" t="s">
        <v>244</v>
      </c>
      <c r="W12" s="33" t="str">
        <f>IF(MIN(B9:V9)=1, "VETOED / ตกเกณฑ์ข้อบังคับวิกฤต (คะแนนระดับ 1)", IF(W9&gt;=80, "ผ่านเกณฑ์ระดับสูง (HIGHLY VIABLE)", IF(W9&gt;=60, "ผ่านแบบมีเงื่อนไข (CONDITIONALLY VIABLE)", "ความเสี่ยงสูง (HIGH RISK)")))</f>
        <v>ผ่านเกณฑ์ระดับสูง (HIGHLY VIABLE)</v>
      </c>
    </row>
    <row r="13" spans="1:23" ht="70" customHeight="1">
      <c r="A13" s="23" t="s">
        <v>175</v>
      </c>
      <c r="B13" s="26" t="s">
        <v>245</v>
      </c>
      <c r="C13" s="26" t="s">
        <v>246</v>
      </c>
      <c r="D13" s="26" t="s">
        <v>247</v>
      </c>
      <c r="E13" s="26" t="s">
        <v>248</v>
      </c>
      <c r="F13" s="26" t="s">
        <v>249</v>
      </c>
      <c r="G13" s="26" t="s">
        <v>250</v>
      </c>
      <c r="H13" s="26" t="s">
        <v>251</v>
      </c>
      <c r="I13" s="26" t="s">
        <v>252</v>
      </c>
      <c r="J13" s="26" t="s">
        <v>253</v>
      </c>
      <c r="K13" s="26" t="s">
        <v>254</v>
      </c>
      <c r="L13" s="26" t="s">
        <v>255</v>
      </c>
      <c r="M13" s="26" t="s">
        <v>256</v>
      </c>
      <c r="N13" s="26" t="s">
        <v>257</v>
      </c>
      <c r="O13" s="26" t="s">
        <v>258</v>
      </c>
      <c r="P13" s="26" t="s">
        <v>259</v>
      </c>
      <c r="Q13" s="26" t="s">
        <v>260</v>
      </c>
      <c r="R13" s="26" t="s">
        <v>261</v>
      </c>
      <c r="S13" s="26" t="s">
        <v>262</v>
      </c>
      <c r="T13" s="26" t="s">
        <v>263</v>
      </c>
      <c r="U13" s="26" t="s">
        <v>264</v>
      </c>
      <c r="V13" s="26" t="s">
        <v>265</v>
      </c>
      <c r="W13" s="25" t="s">
        <v>197</v>
      </c>
    </row>
    <row r="14" spans="1:23" ht="15" customHeight="1"/>
    <row r="15" spans="1:23" ht="26.05" customHeight="1">
      <c r="A15" s="19" t="s">
        <v>198</v>
      </c>
    </row>
    <row r="16" spans="1:23" ht="24" customHeight="1">
      <c r="A16" s="34" t="s">
        <v>73</v>
      </c>
      <c r="B16" s="34" t="s">
        <v>199</v>
      </c>
      <c r="C16" s="34" t="s">
        <v>200</v>
      </c>
      <c r="D16" s="34" t="s">
        <v>201</v>
      </c>
      <c r="E16" s="34" t="s">
        <v>202</v>
      </c>
      <c r="F16" s="34" t="s">
        <v>203</v>
      </c>
    </row>
    <row r="17" spans="1:6" ht="22" customHeight="1">
      <c r="A17" s="35" t="s">
        <v>204</v>
      </c>
      <c r="B17" s="36">
        <v>0.2</v>
      </c>
      <c r="C17" s="37">
        <v>20</v>
      </c>
      <c r="D17" s="38">
        <f>SUM(B11:F11)*20</f>
        <v>16.8</v>
      </c>
      <c r="E17" s="39">
        <f t="shared" ref="E17:E23" si="1">IF(C17&gt;0, (D17/C17)*5, 0)</f>
        <v>4.2</v>
      </c>
      <c r="F17" s="25" t="str">
        <f>IF(D17&gt;=16, "พร้อมระดับสูง (High)", IF(D17&gt;=12, "ปานกลาง (Medium)", "เสี่ยงวิกฤต (Critical)"))</f>
        <v>พร้อมระดับสูง (High)</v>
      </c>
    </row>
    <row r="18" spans="1:6" ht="22" customHeight="1">
      <c r="A18" s="35" t="s">
        <v>205</v>
      </c>
      <c r="B18" s="36">
        <v>0.2</v>
      </c>
      <c r="C18" s="37">
        <v>20</v>
      </c>
      <c r="D18" s="38">
        <f>SUM(G11:I11)*20</f>
        <v>17.332000000000001</v>
      </c>
      <c r="E18" s="39">
        <f t="shared" si="1"/>
        <v>4.3330000000000002</v>
      </c>
      <c r="F18" s="25" t="str">
        <f>IF(D18&gt;=16, "พร้อมระดับสูง (High)", IF(D18&gt;=12, "ปานกลาง (Medium)", "เสี่ยงวิกฤต (Critical)"))</f>
        <v>พร้อมระดับสูง (High)</v>
      </c>
    </row>
    <row r="19" spans="1:6" ht="22" customHeight="1">
      <c r="A19" s="35" t="s">
        <v>206</v>
      </c>
      <c r="B19" s="36">
        <v>0.15</v>
      </c>
      <c r="C19" s="37">
        <v>15</v>
      </c>
      <c r="D19" s="38">
        <f>SUM(J11:K11)*20</f>
        <v>15</v>
      </c>
      <c r="E19" s="39">
        <f t="shared" si="1"/>
        <v>5</v>
      </c>
      <c r="F19" s="25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5" t="s">
        <v>207</v>
      </c>
      <c r="B20" s="36">
        <v>0.2</v>
      </c>
      <c r="C20" s="37">
        <v>20</v>
      </c>
      <c r="D20" s="38">
        <f>SUM(L11:Q11)*20</f>
        <v>19.321999999999999</v>
      </c>
      <c r="E20" s="39">
        <f t="shared" si="1"/>
        <v>4.8304999999999998</v>
      </c>
      <c r="F20" s="25" t="str">
        <f>IF(D20&gt;=16, "พร้อมระดับสูง (High)", IF(D20&gt;=12, "ปานกลาง (Medium)", "เสี่ยงวิกฤต (Critical)"))</f>
        <v>พร้อมระดับสูง (High)</v>
      </c>
    </row>
    <row r="21" spans="1:6" ht="22" customHeight="1">
      <c r="A21" s="35" t="s">
        <v>208</v>
      </c>
      <c r="B21" s="36">
        <v>0.15</v>
      </c>
      <c r="C21" s="37">
        <v>15</v>
      </c>
      <c r="D21" s="38">
        <f>SUM(R11:S11)*20</f>
        <v>13.5</v>
      </c>
      <c r="E21" s="39">
        <f t="shared" si="1"/>
        <v>4.5</v>
      </c>
      <c r="F21" s="25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5" t="s">
        <v>209</v>
      </c>
      <c r="B22" s="36">
        <v>0.1</v>
      </c>
      <c r="C22" s="37">
        <v>10</v>
      </c>
      <c r="D22" s="38">
        <f>SUM(T11:V11)*20</f>
        <v>10</v>
      </c>
      <c r="E22" s="39">
        <f t="shared" si="1"/>
        <v>5</v>
      </c>
      <c r="F22" s="25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40" t="s">
        <v>210</v>
      </c>
      <c r="B23" s="31">
        <f>SUM(B17:B22)</f>
        <v>1</v>
      </c>
      <c r="C23" s="41">
        <f>SUM(C17:C22)</f>
        <v>100</v>
      </c>
      <c r="D23" s="42">
        <f>SUM(D17:D22)</f>
        <v>91.954000000000008</v>
      </c>
      <c r="E23" s="32">
        <f t="shared" si="1"/>
        <v>4.5976999999999997</v>
      </c>
      <c r="F23" s="43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ผ่านเกณฑ์ระดับสูง (HIGHLY VIABLE)</v>
      </c>
    </row>
    <row r="24" spans="1:6" ht="12" customHeight="1"/>
    <row r="25" spans="1:6" ht="26.05" customHeight="1">
      <c r="A25" s="19" t="s">
        <v>211</v>
      </c>
    </row>
    <row r="26" spans="1:6" ht="22" customHeight="1">
      <c r="A26" s="20" t="s">
        <v>212</v>
      </c>
    </row>
    <row r="27" spans="1:6" ht="24" customHeight="1">
      <c r="A27" s="44" t="s">
        <v>213</v>
      </c>
      <c r="B27" s="44" t="s">
        <v>214</v>
      </c>
      <c r="C27" s="44" t="s">
        <v>215</v>
      </c>
      <c r="D27" s="44" t="s">
        <v>216</v>
      </c>
      <c r="E27" s="44" t="s">
        <v>217</v>
      </c>
      <c r="F27" s="44" t="s">
        <v>218</v>
      </c>
    </row>
    <row r="28" spans="1:6" ht="95.05" customHeight="1">
      <c r="A28" s="45" t="s">
        <v>219</v>
      </c>
      <c r="B28" s="46">
        <v>5</v>
      </c>
      <c r="C28" s="26" t="s">
        <v>266</v>
      </c>
      <c r="D28" s="26" t="s">
        <v>267</v>
      </c>
      <c r="E28" s="26" t="s">
        <v>268</v>
      </c>
      <c r="F28" s="26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"/>
  <sheetViews>
    <sheetView topLeftCell="A6" workbookViewId="0">
      <selection activeCell="B8" sqref="B8"/>
    </sheetView>
  </sheetViews>
  <sheetFormatPr defaultRowHeight="14.6"/>
  <cols>
    <col min="1" max="1" width="38" customWidth="1"/>
    <col min="2" max="23" width="36" customWidth="1"/>
  </cols>
  <sheetData>
    <row r="1" spans="1:23" ht="19.3">
      <c r="A1" s="19" t="s">
        <v>269</v>
      </c>
    </row>
    <row r="2" spans="1:23" ht="15">
      <c r="A2" s="20" t="s">
        <v>49</v>
      </c>
    </row>
    <row r="4" spans="1:23" ht="24" customHeight="1">
      <c r="A4" s="21" t="s">
        <v>50</v>
      </c>
      <c r="B4" s="22" t="s">
        <v>51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2" t="s">
        <v>64</v>
      </c>
      <c r="P4" s="22" t="s">
        <v>65</v>
      </c>
      <c r="Q4" s="22" t="s">
        <v>66</v>
      </c>
      <c r="R4" s="22" t="s">
        <v>67</v>
      </c>
      <c r="S4" s="22" t="s">
        <v>68</v>
      </c>
      <c r="T4" s="22" t="s">
        <v>69</v>
      </c>
      <c r="U4" s="22" t="s">
        <v>70</v>
      </c>
      <c r="V4" s="22" t="s">
        <v>71</v>
      </c>
      <c r="W4" s="22" t="s">
        <v>72</v>
      </c>
    </row>
    <row r="5" spans="1:23" ht="24" customHeight="1">
      <c r="A5" s="23" t="s">
        <v>73</v>
      </c>
      <c r="B5" s="24" t="s">
        <v>74</v>
      </c>
      <c r="C5" s="24" t="s">
        <v>74</v>
      </c>
      <c r="D5" s="24" t="s">
        <v>74</v>
      </c>
      <c r="E5" s="24" t="s">
        <v>74</v>
      </c>
      <c r="F5" s="24" t="s">
        <v>74</v>
      </c>
      <c r="G5" s="24" t="s">
        <v>75</v>
      </c>
      <c r="H5" s="24" t="s">
        <v>75</v>
      </c>
      <c r="I5" s="24" t="s">
        <v>75</v>
      </c>
      <c r="J5" s="24" t="s">
        <v>76</v>
      </c>
      <c r="K5" s="24" t="s">
        <v>76</v>
      </c>
      <c r="L5" s="24" t="s">
        <v>77</v>
      </c>
      <c r="M5" s="24" t="s">
        <v>77</v>
      </c>
      <c r="N5" s="24" t="s">
        <v>77</v>
      </c>
      <c r="O5" s="24" t="s">
        <v>77</v>
      </c>
      <c r="P5" s="24" t="s">
        <v>77</v>
      </c>
      <c r="Q5" s="24" t="s">
        <v>77</v>
      </c>
      <c r="R5" s="24" t="s">
        <v>78</v>
      </c>
      <c r="S5" s="24" t="s">
        <v>78</v>
      </c>
      <c r="T5" s="24" t="s">
        <v>79</v>
      </c>
      <c r="U5" s="24" t="s">
        <v>79</v>
      </c>
      <c r="V5" s="24" t="s">
        <v>79</v>
      </c>
      <c r="W5" s="25" t="s">
        <v>80</v>
      </c>
    </row>
    <row r="6" spans="1:23" ht="80.05" customHeight="1">
      <c r="A6" s="23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91</v>
      </c>
      <c r="L6" s="26" t="s">
        <v>92</v>
      </c>
      <c r="M6" s="26" t="s">
        <v>93</v>
      </c>
      <c r="N6" s="26" t="s">
        <v>94</v>
      </c>
      <c r="O6" s="26" t="s">
        <v>95</v>
      </c>
      <c r="P6" s="26" t="s">
        <v>96</v>
      </c>
      <c r="Q6" s="26" t="s">
        <v>97</v>
      </c>
      <c r="R6" s="26" t="s">
        <v>98</v>
      </c>
      <c r="S6" s="26" t="s">
        <v>99</v>
      </c>
      <c r="T6" s="26" t="s">
        <v>100</v>
      </c>
      <c r="U6" s="26" t="s">
        <v>101</v>
      </c>
      <c r="V6" s="26" t="s">
        <v>102</v>
      </c>
      <c r="W6" s="27" t="s">
        <v>103</v>
      </c>
    </row>
    <row r="7" spans="1:23" ht="95.05" customHeight="1">
      <c r="A7" s="23" t="s">
        <v>104</v>
      </c>
      <c r="B7" s="26" t="s">
        <v>105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  <c r="K7" s="26" t="s">
        <v>114</v>
      </c>
      <c r="L7" s="26" t="s">
        <v>115</v>
      </c>
      <c r="M7" s="26" t="s">
        <v>116</v>
      </c>
      <c r="N7" s="26" t="s">
        <v>117</v>
      </c>
      <c r="O7" s="26" t="s">
        <v>118</v>
      </c>
      <c r="P7" s="26" t="s">
        <v>119</v>
      </c>
      <c r="Q7" s="26" t="s">
        <v>120</v>
      </c>
      <c r="R7" s="26" t="s">
        <v>121</v>
      </c>
      <c r="S7" s="26" t="s">
        <v>122</v>
      </c>
      <c r="T7" s="26" t="s">
        <v>123</v>
      </c>
      <c r="U7" s="26" t="s">
        <v>124</v>
      </c>
      <c r="V7" s="26" t="s">
        <v>125</v>
      </c>
      <c r="W7" s="27" t="s">
        <v>126</v>
      </c>
    </row>
    <row r="8" spans="1:23" ht="306">
      <c r="A8" s="23" t="s">
        <v>127</v>
      </c>
      <c r="B8" s="26" t="s">
        <v>128</v>
      </c>
      <c r="C8" s="26" t="s">
        <v>129</v>
      </c>
      <c r="D8" s="26" t="s">
        <v>130</v>
      </c>
      <c r="E8" s="26" t="s">
        <v>131</v>
      </c>
      <c r="F8" s="26" t="s">
        <v>132</v>
      </c>
      <c r="G8" s="26" t="s">
        <v>133</v>
      </c>
      <c r="H8" s="26" t="s">
        <v>134</v>
      </c>
      <c r="I8" s="26" t="s">
        <v>135</v>
      </c>
      <c r="J8" s="26" t="s">
        <v>136</v>
      </c>
      <c r="K8" s="26" t="s">
        <v>137</v>
      </c>
      <c r="L8" s="26" t="s">
        <v>138</v>
      </c>
      <c r="M8" s="26" t="s">
        <v>139</v>
      </c>
      <c r="N8" s="26" t="s">
        <v>140</v>
      </c>
      <c r="O8" s="26" t="s">
        <v>141</v>
      </c>
      <c r="P8" s="26" t="s">
        <v>142</v>
      </c>
      <c r="Q8" s="26" t="s">
        <v>143</v>
      </c>
      <c r="R8" s="26" t="s">
        <v>144</v>
      </c>
      <c r="S8" s="26" t="s">
        <v>145</v>
      </c>
      <c r="T8" s="26" t="s">
        <v>146</v>
      </c>
      <c r="U8" s="26" t="s">
        <v>147</v>
      </c>
      <c r="V8" s="26" t="s">
        <v>148</v>
      </c>
      <c r="W8" s="27" t="s">
        <v>149</v>
      </c>
    </row>
    <row r="9" spans="1:23" ht="36" customHeight="1">
      <c r="A9" s="28" t="s">
        <v>150</v>
      </c>
      <c r="B9" s="29">
        <v>3</v>
      </c>
      <c r="C9" s="29">
        <v>4</v>
      </c>
      <c r="D9" s="29">
        <v>3</v>
      </c>
      <c r="E9" s="29">
        <v>3</v>
      </c>
      <c r="F9" s="29">
        <v>3</v>
      </c>
      <c r="G9" s="29">
        <v>4</v>
      </c>
      <c r="H9" s="29">
        <v>4</v>
      </c>
      <c r="I9" s="29">
        <v>3</v>
      </c>
      <c r="J9" s="29">
        <v>3</v>
      </c>
      <c r="K9" s="29">
        <v>4</v>
      </c>
      <c r="L9" s="29">
        <v>3</v>
      </c>
      <c r="M9" s="29">
        <v>3</v>
      </c>
      <c r="N9" s="29">
        <v>4</v>
      </c>
      <c r="O9" s="29">
        <v>3</v>
      </c>
      <c r="P9" s="29">
        <v>3</v>
      </c>
      <c r="Q9" s="29">
        <v>3</v>
      </c>
      <c r="R9" s="29">
        <v>3</v>
      </c>
      <c r="S9" s="29">
        <v>3</v>
      </c>
      <c r="T9" s="29">
        <v>5</v>
      </c>
      <c r="U9" s="29">
        <v>5</v>
      </c>
      <c r="V9" s="29">
        <v>5</v>
      </c>
      <c r="W9" s="30">
        <f>IF(W10&gt;0, (W11/W10)*20, 0)</f>
        <v>69.634963496349641</v>
      </c>
    </row>
    <row r="10" spans="1:23" ht="22" customHeight="1">
      <c r="A10" s="23" t="s">
        <v>151</v>
      </c>
      <c r="B10" s="31">
        <v>0.04</v>
      </c>
      <c r="C10" s="31">
        <v>0.04</v>
      </c>
      <c r="D10" s="31">
        <v>0.04</v>
      </c>
      <c r="E10" s="31">
        <v>0.04</v>
      </c>
      <c r="F10" s="31">
        <v>0.04</v>
      </c>
      <c r="G10" s="31">
        <v>6.6699999999999995E-2</v>
      </c>
      <c r="H10" s="31">
        <v>6.6699999999999995E-2</v>
      </c>
      <c r="I10" s="31">
        <v>6.6600000000000006E-2</v>
      </c>
      <c r="J10" s="31">
        <v>7.4999999999999997E-2</v>
      </c>
      <c r="K10" s="31">
        <v>7.4999999999999997E-2</v>
      </c>
      <c r="L10" s="31">
        <v>3.3300000000000003E-2</v>
      </c>
      <c r="M10" s="31">
        <v>3.3300000000000003E-2</v>
      </c>
      <c r="N10" s="31">
        <v>3.3300000000000003E-2</v>
      </c>
      <c r="O10" s="31">
        <v>3.3300000000000003E-2</v>
      </c>
      <c r="P10" s="31">
        <v>3.3300000000000003E-2</v>
      </c>
      <c r="Q10" s="31">
        <v>3.3399999999999999E-2</v>
      </c>
      <c r="R10" s="31">
        <v>7.4999999999999997E-2</v>
      </c>
      <c r="S10" s="31">
        <v>7.4999999999999997E-2</v>
      </c>
      <c r="T10" s="31">
        <v>3.3300000000000003E-2</v>
      </c>
      <c r="U10" s="31">
        <v>3.3300000000000003E-2</v>
      </c>
      <c r="V10" s="31">
        <v>3.3399999999999999E-2</v>
      </c>
      <c r="W10" s="31">
        <f>SUM(B10:V10)</f>
        <v>0.99989999999999979</v>
      </c>
    </row>
    <row r="11" spans="1:23" ht="24" customHeight="1">
      <c r="A11" s="23" t="s">
        <v>152</v>
      </c>
      <c r="B11" s="32">
        <f t="shared" ref="B11:V11" si="0">B9*B10</f>
        <v>0.12</v>
      </c>
      <c r="C11" s="32">
        <f t="shared" si="0"/>
        <v>0.16</v>
      </c>
      <c r="D11" s="32">
        <f t="shared" si="0"/>
        <v>0.12</v>
      </c>
      <c r="E11" s="32">
        <f t="shared" si="0"/>
        <v>0.12</v>
      </c>
      <c r="F11" s="32">
        <f t="shared" si="0"/>
        <v>0.12</v>
      </c>
      <c r="G11" s="32">
        <f t="shared" si="0"/>
        <v>0.26679999999999998</v>
      </c>
      <c r="H11" s="32">
        <f t="shared" si="0"/>
        <v>0.26679999999999998</v>
      </c>
      <c r="I11" s="32">
        <f t="shared" si="0"/>
        <v>0.19980000000000003</v>
      </c>
      <c r="J11" s="32">
        <f t="shared" si="0"/>
        <v>0.22499999999999998</v>
      </c>
      <c r="K11" s="32">
        <f t="shared" si="0"/>
        <v>0.3</v>
      </c>
      <c r="L11" s="32">
        <f t="shared" si="0"/>
        <v>9.9900000000000017E-2</v>
      </c>
      <c r="M11" s="32">
        <f t="shared" si="0"/>
        <v>9.9900000000000017E-2</v>
      </c>
      <c r="N11" s="32">
        <f t="shared" si="0"/>
        <v>0.13320000000000001</v>
      </c>
      <c r="O11" s="32">
        <f t="shared" si="0"/>
        <v>9.9900000000000017E-2</v>
      </c>
      <c r="P11" s="32">
        <f t="shared" si="0"/>
        <v>9.9900000000000017E-2</v>
      </c>
      <c r="Q11" s="32">
        <f t="shared" si="0"/>
        <v>0.1002</v>
      </c>
      <c r="R11" s="32">
        <f t="shared" si="0"/>
        <v>0.22499999999999998</v>
      </c>
      <c r="S11" s="32">
        <f t="shared" si="0"/>
        <v>0.22499999999999998</v>
      </c>
      <c r="T11" s="32">
        <f t="shared" si="0"/>
        <v>0.16650000000000001</v>
      </c>
      <c r="U11" s="32">
        <f t="shared" si="0"/>
        <v>0.16650000000000001</v>
      </c>
      <c r="V11" s="32">
        <f t="shared" si="0"/>
        <v>0.16699999999999998</v>
      </c>
      <c r="W11" s="32">
        <f>SUM(B11:V11)</f>
        <v>3.4813999999999998</v>
      </c>
    </row>
    <row r="12" spans="1:23" ht="115" customHeight="1">
      <c r="A12" s="23" t="s">
        <v>153</v>
      </c>
      <c r="B12" s="26" t="s">
        <v>270</v>
      </c>
      <c r="C12" s="26" t="s">
        <v>271</v>
      </c>
      <c r="D12" s="26" t="s">
        <v>272</v>
      </c>
      <c r="E12" s="26" t="s">
        <v>273</v>
      </c>
      <c r="F12" s="26" t="s">
        <v>274</v>
      </c>
      <c r="G12" s="26" t="s">
        <v>275</v>
      </c>
      <c r="H12" s="26" t="s">
        <v>276</v>
      </c>
      <c r="I12" s="26" t="s">
        <v>277</v>
      </c>
      <c r="J12" s="26" t="s">
        <v>278</v>
      </c>
      <c r="K12" s="26" t="s">
        <v>279</v>
      </c>
      <c r="L12" s="26" t="s">
        <v>280</v>
      </c>
      <c r="M12" s="26" t="s">
        <v>281</v>
      </c>
      <c r="N12" s="26" t="s">
        <v>282</v>
      </c>
      <c r="O12" s="26" t="s">
        <v>283</v>
      </c>
      <c r="P12" s="26" t="s">
        <v>284</v>
      </c>
      <c r="Q12" s="26" t="s">
        <v>285</v>
      </c>
      <c r="R12" s="26" t="s">
        <v>286</v>
      </c>
      <c r="S12" s="26" t="s">
        <v>287</v>
      </c>
      <c r="T12" s="26" t="s">
        <v>288</v>
      </c>
      <c r="U12" s="26" t="s">
        <v>289</v>
      </c>
      <c r="V12" s="26" t="s">
        <v>290</v>
      </c>
      <c r="W12" s="33" t="str">
        <f>IF(MIN(B9:V9)=1, "VETOED / ตกเกณฑ์ข้อบังคับวิกฤต (คะแนนระดับ 1)", IF(W9&gt;=80, "ผ่านเกณฑ์ระดับสูง (HIGHLY VIABLE)", IF(W9&gt;=60,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3" ht="70" customHeight="1">
      <c r="A13" s="23" t="s">
        <v>175</v>
      </c>
      <c r="B13" s="26" t="s">
        <v>291</v>
      </c>
      <c r="C13" s="26" t="s">
        <v>292</v>
      </c>
      <c r="D13" s="26" t="s">
        <v>293</v>
      </c>
      <c r="E13" s="26" t="s">
        <v>294</v>
      </c>
      <c r="F13" s="26" t="s">
        <v>295</v>
      </c>
      <c r="G13" s="26" t="s">
        <v>296</v>
      </c>
      <c r="H13" s="26" t="s">
        <v>297</v>
      </c>
      <c r="I13" s="26" t="s">
        <v>298</v>
      </c>
      <c r="J13" s="26" t="s">
        <v>299</v>
      </c>
      <c r="K13" s="26" t="s">
        <v>292</v>
      </c>
      <c r="L13" s="26" t="s">
        <v>300</v>
      </c>
      <c r="M13" s="26" t="s">
        <v>301</v>
      </c>
      <c r="N13" s="26" t="s">
        <v>302</v>
      </c>
      <c r="O13" s="26" t="s">
        <v>303</v>
      </c>
      <c r="P13" s="26" t="s">
        <v>304</v>
      </c>
      <c r="Q13" s="26" t="s">
        <v>305</v>
      </c>
      <c r="R13" s="26" t="s">
        <v>306</v>
      </c>
      <c r="S13" s="26" t="s">
        <v>307</v>
      </c>
      <c r="T13" s="26" t="s">
        <v>308</v>
      </c>
      <c r="U13" s="26" t="s">
        <v>309</v>
      </c>
      <c r="V13" s="26" t="s">
        <v>310</v>
      </c>
      <c r="W13" s="25" t="s">
        <v>197</v>
      </c>
    </row>
    <row r="14" spans="1:23" ht="15" customHeight="1"/>
    <row r="15" spans="1:23" ht="26.05" customHeight="1">
      <c r="A15" s="19" t="s">
        <v>198</v>
      </c>
    </row>
    <row r="16" spans="1:23" ht="24" customHeight="1">
      <c r="A16" s="34" t="s">
        <v>73</v>
      </c>
      <c r="B16" s="34" t="s">
        <v>199</v>
      </c>
      <c r="C16" s="34" t="s">
        <v>200</v>
      </c>
      <c r="D16" s="34" t="s">
        <v>201</v>
      </c>
      <c r="E16" s="34" t="s">
        <v>202</v>
      </c>
      <c r="F16" s="34" t="s">
        <v>203</v>
      </c>
    </row>
    <row r="17" spans="1:6" ht="22" customHeight="1">
      <c r="A17" s="35" t="s">
        <v>204</v>
      </c>
      <c r="B17" s="36">
        <v>0.2</v>
      </c>
      <c r="C17" s="37">
        <v>20</v>
      </c>
      <c r="D17" s="38">
        <f>SUM(B11:F11)*20</f>
        <v>12.8</v>
      </c>
      <c r="E17" s="39">
        <f t="shared" ref="E17:E23" si="1">IF(C17&gt;0, (D17/C17)*5, 0)</f>
        <v>3.2</v>
      </c>
      <c r="F17" s="25" t="str">
        <f>IF(D17&gt;=16, "พร้อมระดับสูง (High)", IF(D17&gt;=12, "ปานกลาง (Medium)", "เสี่ยงวิกฤต (Critical)"))</f>
        <v>ปานกลาง (Medium)</v>
      </c>
    </row>
    <row r="18" spans="1:6" ht="22" customHeight="1">
      <c r="A18" s="35" t="s">
        <v>205</v>
      </c>
      <c r="B18" s="36">
        <v>0.2</v>
      </c>
      <c r="C18" s="37">
        <v>20</v>
      </c>
      <c r="D18" s="38">
        <f>SUM(G11:I11)*20</f>
        <v>14.668000000000001</v>
      </c>
      <c r="E18" s="39">
        <f t="shared" si="1"/>
        <v>3.6670000000000003</v>
      </c>
      <c r="F18" s="25" t="str">
        <f>IF(D18&gt;=16, "พร้อมระดับสูง (High)", IF(D18&gt;=12, "ปานกลาง (Medium)", "เสี่ยงวิกฤต (Critical)"))</f>
        <v>ปานกลาง (Medium)</v>
      </c>
    </row>
    <row r="19" spans="1:6" ht="22" customHeight="1">
      <c r="A19" s="35" t="s">
        <v>206</v>
      </c>
      <c r="B19" s="36">
        <v>0.15</v>
      </c>
      <c r="C19" s="37">
        <v>15</v>
      </c>
      <c r="D19" s="38">
        <f>SUM(J11:K11)*20</f>
        <v>10.499999999999998</v>
      </c>
      <c r="E19" s="39">
        <f t="shared" si="1"/>
        <v>3.4999999999999991</v>
      </c>
      <c r="F19" s="25" t="str">
        <f>IF(D19&gt;=12, "พร้อมระดับสูง (High)", IF(D19&gt;=9, "ปานกลาง (Medium)", "เสี่ยงวิกฤต (Critical)"))</f>
        <v>ปานกลาง (Medium)</v>
      </c>
    </row>
    <row r="20" spans="1:6" ht="22" customHeight="1">
      <c r="A20" s="35" t="s">
        <v>207</v>
      </c>
      <c r="B20" s="36">
        <v>0.2</v>
      </c>
      <c r="C20" s="37">
        <v>20</v>
      </c>
      <c r="D20" s="38">
        <f>SUM(L11:Q11)*20</f>
        <v>12.66</v>
      </c>
      <c r="E20" s="39">
        <f t="shared" si="1"/>
        <v>3.165</v>
      </c>
      <c r="F20" s="25" t="str">
        <f>IF(D20&gt;=16, "พร้อมระดับสูง (High)", IF(D20&gt;=12, "ปานกลาง (Medium)", "เสี่ยงวิกฤต (Critical)"))</f>
        <v>ปานกลาง (Medium)</v>
      </c>
    </row>
    <row r="21" spans="1:6" ht="22" customHeight="1">
      <c r="A21" s="35" t="s">
        <v>208</v>
      </c>
      <c r="B21" s="36">
        <v>0.15</v>
      </c>
      <c r="C21" s="37">
        <v>15</v>
      </c>
      <c r="D21" s="38">
        <f>SUM(R11:S11)*20</f>
        <v>9</v>
      </c>
      <c r="E21" s="39">
        <f t="shared" si="1"/>
        <v>3</v>
      </c>
      <c r="F21" s="25" t="str">
        <f>IF(D21&gt;=12, "พร้อมระดับสูง (High)", IF(D21&gt;=9, "ปานกลาง (Medium)", "เสี่ยงวิกฤต (Critical)"))</f>
        <v>ปานกลาง (Medium)</v>
      </c>
    </row>
    <row r="22" spans="1:6" ht="22" customHeight="1">
      <c r="A22" s="35" t="s">
        <v>209</v>
      </c>
      <c r="B22" s="36">
        <v>0.1</v>
      </c>
      <c r="C22" s="37">
        <v>10</v>
      </c>
      <c r="D22" s="38">
        <f>SUM(T11:V11)*20</f>
        <v>10</v>
      </c>
      <c r="E22" s="39">
        <f t="shared" si="1"/>
        <v>5</v>
      </c>
      <c r="F22" s="25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40" t="s">
        <v>210</v>
      </c>
      <c r="B23" s="31">
        <f>SUM(B17:B22)</f>
        <v>1</v>
      </c>
      <c r="C23" s="41">
        <f>SUM(C17:C22)</f>
        <v>100</v>
      </c>
      <c r="D23" s="42">
        <f>SUM(D17:D22)</f>
        <v>69.628</v>
      </c>
      <c r="E23" s="32">
        <f t="shared" si="1"/>
        <v>3.4813999999999998</v>
      </c>
      <c r="F23" s="43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9" t="s">
        <v>211</v>
      </c>
    </row>
    <row r="26" spans="1:6" ht="22" customHeight="1">
      <c r="A26" s="20" t="s">
        <v>212</v>
      </c>
    </row>
    <row r="27" spans="1:6" ht="24" customHeight="1">
      <c r="A27" s="44" t="s">
        <v>213</v>
      </c>
      <c r="B27" s="44" t="s">
        <v>214</v>
      </c>
      <c r="C27" s="44" t="s">
        <v>215</v>
      </c>
      <c r="D27" s="44" t="s">
        <v>216</v>
      </c>
      <c r="E27" s="44" t="s">
        <v>217</v>
      </c>
      <c r="F27" s="44" t="s">
        <v>218</v>
      </c>
    </row>
    <row r="28" spans="1:6" ht="95.05" customHeight="1">
      <c r="A28" s="45" t="s">
        <v>219</v>
      </c>
      <c r="B28" s="46">
        <v>8.5</v>
      </c>
      <c r="C28" s="26" t="s">
        <v>311</v>
      </c>
      <c r="D28" s="26" t="s">
        <v>312</v>
      </c>
      <c r="E28" s="26" t="s">
        <v>313</v>
      </c>
      <c r="F28" s="26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8"/>
  <sheetViews>
    <sheetView workbookViewId="0"/>
  </sheetViews>
  <sheetFormatPr defaultRowHeight="14.6"/>
  <cols>
    <col min="1" max="1" width="38" customWidth="1"/>
    <col min="2" max="23" width="36" customWidth="1"/>
  </cols>
  <sheetData>
    <row r="1" spans="1:23" ht="19.3">
      <c r="A1" s="19" t="s">
        <v>314</v>
      </c>
    </row>
    <row r="2" spans="1:23" ht="15">
      <c r="A2" s="20" t="s">
        <v>49</v>
      </c>
    </row>
    <row r="4" spans="1:23" ht="24" customHeight="1">
      <c r="A4" s="21" t="s">
        <v>50</v>
      </c>
      <c r="B4" s="22" t="s">
        <v>51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2" t="s">
        <v>64</v>
      </c>
      <c r="P4" s="22" t="s">
        <v>65</v>
      </c>
      <c r="Q4" s="22" t="s">
        <v>66</v>
      </c>
      <c r="R4" s="22" t="s">
        <v>67</v>
      </c>
      <c r="S4" s="22" t="s">
        <v>68</v>
      </c>
      <c r="T4" s="22" t="s">
        <v>69</v>
      </c>
      <c r="U4" s="22" t="s">
        <v>70</v>
      </c>
      <c r="V4" s="22" t="s">
        <v>71</v>
      </c>
      <c r="W4" s="22" t="s">
        <v>72</v>
      </c>
    </row>
    <row r="5" spans="1:23" ht="24" customHeight="1">
      <c r="A5" s="23" t="s">
        <v>73</v>
      </c>
      <c r="B5" s="24" t="s">
        <v>74</v>
      </c>
      <c r="C5" s="24" t="s">
        <v>74</v>
      </c>
      <c r="D5" s="24" t="s">
        <v>74</v>
      </c>
      <c r="E5" s="24" t="s">
        <v>74</v>
      </c>
      <c r="F5" s="24" t="s">
        <v>74</v>
      </c>
      <c r="G5" s="24" t="s">
        <v>75</v>
      </c>
      <c r="H5" s="24" t="s">
        <v>75</v>
      </c>
      <c r="I5" s="24" t="s">
        <v>75</v>
      </c>
      <c r="J5" s="24" t="s">
        <v>76</v>
      </c>
      <c r="K5" s="24" t="s">
        <v>76</v>
      </c>
      <c r="L5" s="24" t="s">
        <v>77</v>
      </c>
      <c r="M5" s="24" t="s">
        <v>77</v>
      </c>
      <c r="N5" s="24" t="s">
        <v>77</v>
      </c>
      <c r="O5" s="24" t="s">
        <v>77</v>
      </c>
      <c r="P5" s="24" t="s">
        <v>77</v>
      </c>
      <c r="Q5" s="24" t="s">
        <v>77</v>
      </c>
      <c r="R5" s="24" t="s">
        <v>78</v>
      </c>
      <c r="S5" s="24" t="s">
        <v>78</v>
      </c>
      <c r="T5" s="24" t="s">
        <v>79</v>
      </c>
      <c r="U5" s="24" t="s">
        <v>79</v>
      </c>
      <c r="V5" s="24" t="s">
        <v>79</v>
      </c>
      <c r="W5" s="25" t="s">
        <v>80</v>
      </c>
    </row>
    <row r="6" spans="1:23" ht="80.05" customHeight="1">
      <c r="A6" s="23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91</v>
      </c>
      <c r="L6" s="26" t="s">
        <v>92</v>
      </c>
      <c r="M6" s="26" t="s">
        <v>93</v>
      </c>
      <c r="N6" s="26" t="s">
        <v>94</v>
      </c>
      <c r="O6" s="26" t="s">
        <v>95</v>
      </c>
      <c r="P6" s="26" t="s">
        <v>96</v>
      </c>
      <c r="Q6" s="26" t="s">
        <v>97</v>
      </c>
      <c r="R6" s="26" t="s">
        <v>98</v>
      </c>
      <c r="S6" s="26" t="s">
        <v>99</v>
      </c>
      <c r="T6" s="26" t="s">
        <v>100</v>
      </c>
      <c r="U6" s="26" t="s">
        <v>101</v>
      </c>
      <c r="V6" s="26" t="s">
        <v>102</v>
      </c>
      <c r="W6" s="27" t="s">
        <v>103</v>
      </c>
    </row>
    <row r="7" spans="1:23" ht="95.05" customHeight="1">
      <c r="A7" s="23" t="s">
        <v>104</v>
      </c>
      <c r="B7" s="26" t="s">
        <v>105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  <c r="K7" s="26" t="s">
        <v>114</v>
      </c>
      <c r="L7" s="26" t="s">
        <v>115</v>
      </c>
      <c r="M7" s="26" t="s">
        <v>116</v>
      </c>
      <c r="N7" s="26" t="s">
        <v>117</v>
      </c>
      <c r="O7" s="26" t="s">
        <v>118</v>
      </c>
      <c r="P7" s="26" t="s">
        <v>119</v>
      </c>
      <c r="Q7" s="26" t="s">
        <v>120</v>
      </c>
      <c r="R7" s="26" t="s">
        <v>121</v>
      </c>
      <c r="S7" s="26" t="s">
        <v>122</v>
      </c>
      <c r="T7" s="26" t="s">
        <v>123</v>
      </c>
      <c r="U7" s="26" t="s">
        <v>124</v>
      </c>
      <c r="V7" s="26" t="s">
        <v>125</v>
      </c>
      <c r="W7" s="27" t="s">
        <v>126</v>
      </c>
    </row>
    <row r="8" spans="1:23" ht="150" customHeight="1">
      <c r="A8" s="23" t="s">
        <v>127</v>
      </c>
      <c r="B8" s="26" t="s">
        <v>128</v>
      </c>
      <c r="C8" s="26" t="s">
        <v>129</v>
      </c>
      <c r="D8" s="26" t="s">
        <v>130</v>
      </c>
      <c r="E8" s="26" t="s">
        <v>131</v>
      </c>
      <c r="F8" s="26" t="s">
        <v>132</v>
      </c>
      <c r="G8" s="26" t="s">
        <v>133</v>
      </c>
      <c r="H8" s="26" t="s">
        <v>134</v>
      </c>
      <c r="I8" s="26" t="s">
        <v>135</v>
      </c>
      <c r="J8" s="26" t="s">
        <v>136</v>
      </c>
      <c r="K8" s="26" t="s">
        <v>137</v>
      </c>
      <c r="L8" s="26" t="s">
        <v>138</v>
      </c>
      <c r="M8" s="26" t="s">
        <v>139</v>
      </c>
      <c r="N8" s="26" t="s">
        <v>140</v>
      </c>
      <c r="O8" s="26" t="s">
        <v>141</v>
      </c>
      <c r="P8" s="26" t="s">
        <v>142</v>
      </c>
      <c r="Q8" s="26" t="s">
        <v>143</v>
      </c>
      <c r="R8" s="26" t="s">
        <v>144</v>
      </c>
      <c r="S8" s="26" t="s">
        <v>145</v>
      </c>
      <c r="T8" s="26" t="s">
        <v>146</v>
      </c>
      <c r="U8" s="26" t="s">
        <v>147</v>
      </c>
      <c r="V8" s="26" t="s">
        <v>148</v>
      </c>
      <c r="W8" s="27" t="s">
        <v>149</v>
      </c>
    </row>
    <row r="9" spans="1:23" ht="36" customHeight="1">
      <c r="A9" s="28" t="s">
        <v>150</v>
      </c>
      <c r="B9" s="29">
        <v>3</v>
      </c>
      <c r="C9" s="29">
        <v>4</v>
      </c>
      <c r="D9" s="29">
        <v>3</v>
      </c>
      <c r="E9" s="29">
        <v>3</v>
      </c>
      <c r="F9" s="29">
        <v>2</v>
      </c>
      <c r="G9" s="29">
        <v>3</v>
      </c>
      <c r="H9" s="29">
        <v>4</v>
      </c>
      <c r="I9" s="29">
        <v>3</v>
      </c>
      <c r="J9" s="29">
        <v>4</v>
      </c>
      <c r="K9" s="29">
        <v>4</v>
      </c>
      <c r="L9" s="29">
        <v>3</v>
      </c>
      <c r="M9" s="29">
        <v>2</v>
      </c>
      <c r="N9" s="29">
        <v>4</v>
      </c>
      <c r="O9" s="29">
        <v>3</v>
      </c>
      <c r="P9" s="29">
        <v>2</v>
      </c>
      <c r="Q9" s="29">
        <v>2</v>
      </c>
      <c r="R9" s="29">
        <v>3</v>
      </c>
      <c r="S9" s="29">
        <v>3</v>
      </c>
      <c r="T9" s="29">
        <v>5</v>
      </c>
      <c r="U9" s="29">
        <v>4</v>
      </c>
      <c r="V9" s="29">
        <v>5</v>
      </c>
      <c r="W9" s="30">
        <f>IF(W10&gt;0, (W11/W10)*20, 0)</f>
        <v>66.334633463346364</v>
      </c>
    </row>
    <row r="10" spans="1:23" ht="22" customHeight="1">
      <c r="A10" s="23" t="s">
        <v>151</v>
      </c>
      <c r="B10" s="31">
        <v>0.04</v>
      </c>
      <c r="C10" s="31">
        <v>0.04</v>
      </c>
      <c r="D10" s="31">
        <v>0.04</v>
      </c>
      <c r="E10" s="31">
        <v>0.04</v>
      </c>
      <c r="F10" s="31">
        <v>0.04</v>
      </c>
      <c r="G10" s="31">
        <v>6.6699999999999995E-2</v>
      </c>
      <c r="H10" s="31">
        <v>6.6699999999999995E-2</v>
      </c>
      <c r="I10" s="31">
        <v>6.6600000000000006E-2</v>
      </c>
      <c r="J10" s="31">
        <v>7.4999999999999997E-2</v>
      </c>
      <c r="K10" s="31">
        <v>7.4999999999999997E-2</v>
      </c>
      <c r="L10" s="31">
        <v>3.3300000000000003E-2</v>
      </c>
      <c r="M10" s="31">
        <v>3.3300000000000003E-2</v>
      </c>
      <c r="N10" s="31">
        <v>3.3300000000000003E-2</v>
      </c>
      <c r="O10" s="31">
        <v>3.3300000000000003E-2</v>
      </c>
      <c r="P10" s="31">
        <v>3.3300000000000003E-2</v>
      </c>
      <c r="Q10" s="31">
        <v>3.3399999999999999E-2</v>
      </c>
      <c r="R10" s="31">
        <v>7.4999999999999997E-2</v>
      </c>
      <c r="S10" s="31">
        <v>7.4999999999999997E-2</v>
      </c>
      <c r="T10" s="31">
        <v>3.3300000000000003E-2</v>
      </c>
      <c r="U10" s="31">
        <v>3.3300000000000003E-2</v>
      </c>
      <c r="V10" s="31">
        <v>3.3399999999999999E-2</v>
      </c>
      <c r="W10" s="31">
        <f>SUM(B10:V10)</f>
        <v>0.99989999999999979</v>
      </c>
    </row>
    <row r="11" spans="1:23" ht="24" customHeight="1">
      <c r="A11" s="23" t="s">
        <v>152</v>
      </c>
      <c r="B11" s="32">
        <f t="shared" ref="B11:V11" si="0">B9*B10</f>
        <v>0.12</v>
      </c>
      <c r="C11" s="32">
        <f t="shared" si="0"/>
        <v>0.16</v>
      </c>
      <c r="D11" s="32">
        <f t="shared" si="0"/>
        <v>0.12</v>
      </c>
      <c r="E11" s="32">
        <f t="shared" si="0"/>
        <v>0.12</v>
      </c>
      <c r="F11" s="32">
        <f t="shared" si="0"/>
        <v>0.08</v>
      </c>
      <c r="G11" s="32">
        <f t="shared" si="0"/>
        <v>0.2001</v>
      </c>
      <c r="H11" s="32">
        <f t="shared" si="0"/>
        <v>0.26679999999999998</v>
      </c>
      <c r="I11" s="32">
        <f t="shared" si="0"/>
        <v>0.19980000000000003</v>
      </c>
      <c r="J11" s="32">
        <f t="shared" si="0"/>
        <v>0.3</v>
      </c>
      <c r="K11" s="32">
        <f t="shared" si="0"/>
        <v>0.3</v>
      </c>
      <c r="L11" s="32">
        <f t="shared" si="0"/>
        <v>9.9900000000000017E-2</v>
      </c>
      <c r="M11" s="32">
        <f t="shared" si="0"/>
        <v>6.6600000000000006E-2</v>
      </c>
      <c r="N11" s="32">
        <f t="shared" si="0"/>
        <v>0.13320000000000001</v>
      </c>
      <c r="O11" s="32">
        <f t="shared" si="0"/>
        <v>9.9900000000000017E-2</v>
      </c>
      <c r="P11" s="32">
        <f t="shared" si="0"/>
        <v>6.6600000000000006E-2</v>
      </c>
      <c r="Q11" s="32">
        <f t="shared" si="0"/>
        <v>6.6799999999999998E-2</v>
      </c>
      <c r="R11" s="32">
        <f t="shared" si="0"/>
        <v>0.22499999999999998</v>
      </c>
      <c r="S11" s="32">
        <f t="shared" si="0"/>
        <v>0.22499999999999998</v>
      </c>
      <c r="T11" s="32">
        <f t="shared" si="0"/>
        <v>0.16650000000000001</v>
      </c>
      <c r="U11" s="32">
        <f t="shared" si="0"/>
        <v>0.13320000000000001</v>
      </c>
      <c r="V11" s="32">
        <f t="shared" si="0"/>
        <v>0.16699999999999998</v>
      </c>
      <c r="W11" s="32">
        <f>SUM(B11:V11)</f>
        <v>3.3164000000000007</v>
      </c>
    </row>
    <row r="12" spans="1:23" ht="115" customHeight="1">
      <c r="A12" s="23" t="s">
        <v>153</v>
      </c>
      <c r="B12" s="26" t="s">
        <v>315</v>
      </c>
      <c r="C12" s="26" t="s">
        <v>316</v>
      </c>
      <c r="D12" s="26" t="s">
        <v>317</v>
      </c>
      <c r="E12" s="26" t="s">
        <v>318</v>
      </c>
      <c r="F12" s="26" t="s">
        <v>319</v>
      </c>
      <c r="G12" s="26" t="s">
        <v>320</v>
      </c>
      <c r="H12" s="26" t="s">
        <v>321</v>
      </c>
      <c r="I12" s="26" t="s">
        <v>322</v>
      </c>
      <c r="J12" s="26" t="s">
        <v>323</v>
      </c>
      <c r="K12" s="26" t="s">
        <v>324</v>
      </c>
      <c r="L12" s="26" t="s">
        <v>325</v>
      </c>
      <c r="M12" s="26" t="s">
        <v>326</v>
      </c>
      <c r="N12" s="26" t="s">
        <v>327</v>
      </c>
      <c r="O12" s="26" t="s">
        <v>328</v>
      </c>
      <c r="P12" s="26" t="s">
        <v>329</v>
      </c>
      <c r="Q12" s="26" t="s">
        <v>330</v>
      </c>
      <c r="R12" s="26" t="s">
        <v>331</v>
      </c>
      <c r="S12" s="26" t="s">
        <v>332</v>
      </c>
      <c r="T12" s="26" t="s">
        <v>333</v>
      </c>
      <c r="U12" s="26" t="s">
        <v>334</v>
      </c>
      <c r="V12" s="26" t="s">
        <v>335</v>
      </c>
      <c r="W12" s="33" t="str">
        <f>IF(MIN(B9:V9)=1, "VETOED / ตกเกณฑ์ข้อบังคับวิกฤต (คะแนนระดับ 1)", IF(W9&gt;=80, "ผ่านเกณฑ์ระดับสูง (HIGHLY VIABLE)", IF(W9&gt;=60,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3" ht="70" customHeight="1">
      <c r="A13" s="23" t="s">
        <v>175</v>
      </c>
      <c r="B13" s="26" t="s">
        <v>336</v>
      </c>
      <c r="C13" s="26" t="s">
        <v>337</v>
      </c>
      <c r="D13" s="26" t="s">
        <v>338</v>
      </c>
      <c r="E13" s="26" t="s">
        <v>339</v>
      </c>
      <c r="F13" s="26" t="s">
        <v>340</v>
      </c>
      <c r="G13" s="26" t="s">
        <v>341</v>
      </c>
      <c r="H13" s="26" t="s">
        <v>342</v>
      </c>
      <c r="I13" s="26" t="s">
        <v>343</v>
      </c>
      <c r="J13" s="26" t="s">
        <v>344</v>
      </c>
      <c r="K13" s="26" t="s">
        <v>345</v>
      </c>
      <c r="L13" s="26" t="s">
        <v>346</v>
      </c>
      <c r="M13" s="26" t="s">
        <v>347</v>
      </c>
      <c r="N13" s="26" t="s">
        <v>348</v>
      </c>
      <c r="O13" s="26" t="s">
        <v>349</v>
      </c>
      <c r="P13" s="26" t="s">
        <v>350</v>
      </c>
      <c r="Q13" s="26" t="s">
        <v>351</v>
      </c>
      <c r="R13" s="26" t="s">
        <v>352</v>
      </c>
      <c r="S13" s="26" t="s">
        <v>353</v>
      </c>
      <c r="T13" s="26" t="s">
        <v>354</v>
      </c>
      <c r="U13" s="26" t="s">
        <v>355</v>
      </c>
      <c r="V13" s="26" t="s">
        <v>356</v>
      </c>
      <c r="W13" s="25" t="s">
        <v>197</v>
      </c>
    </row>
    <row r="14" spans="1:23" ht="15" customHeight="1"/>
    <row r="15" spans="1:23" ht="26.05" customHeight="1">
      <c r="A15" s="19" t="s">
        <v>198</v>
      </c>
    </row>
    <row r="16" spans="1:23" ht="24" customHeight="1">
      <c r="A16" s="34" t="s">
        <v>73</v>
      </c>
      <c r="B16" s="34" t="s">
        <v>199</v>
      </c>
      <c r="C16" s="34" t="s">
        <v>200</v>
      </c>
      <c r="D16" s="34" t="s">
        <v>201</v>
      </c>
      <c r="E16" s="34" t="s">
        <v>202</v>
      </c>
      <c r="F16" s="34" t="s">
        <v>203</v>
      </c>
    </row>
    <row r="17" spans="1:6" ht="22" customHeight="1">
      <c r="A17" s="35" t="s">
        <v>204</v>
      </c>
      <c r="B17" s="36">
        <v>0.2</v>
      </c>
      <c r="C17" s="37">
        <v>20</v>
      </c>
      <c r="D17" s="38">
        <f>SUM(B11:F11)*20</f>
        <v>12</v>
      </c>
      <c r="E17" s="39">
        <f t="shared" ref="E17:E23" si="1">IF(C17&gt;0, (D17/C17)*5, 0)</f>
        <v>3</v>
      </c>
      <c r="F17" s="25" t="str">
        <f>IF(D17&gt;=16, "พร้อมระดับสูง (High)", IF(D17&gt;=12, "ปานกลาง (Medium)", "เสี่ยงวิกฤต (Critical)"))</f>
        <v>ปานกลาง (Medium)</v>
      </c>
    </row>
    <row r="18" spans="1:6" ht="22" customHeight="1">
      <c r="A18" s="35" t="s">
        <v>205</v>
      </c>
      <c r="B18" s="36">
        <v>0.2</v>
      </c>
      <c r="C18" s="37">
        <v>20</v>
      </c>
      <c r="D18" s="38">
        <f>SUM(G11:I11)*20</f>
        <v>13.334000000000001</v>
      </c>
      <c r="E18" s="39">
        <f t="shared" si="1"/>
        <v>3.3335000000000004</v>
      </c>
      <c r="F18" s="25" t="str">
        <f>IF(D18&gt;=16, "พร้อมระดับสูง (High)", IF(D18&gt;=12, "ปานกลาง (Medium)", "เสี่ยงวิกฤต (Critical)"))</f>
        <v>ปานกลาง (Medium)</v>
      </c>
    </row>
    <row r="19" spans="1:6" ht="22" customHeight="1">
      <c r="A19" s="35" t="s">
        <v>206</v>
      </c>
      <c r="B19" s="36">
        <v>0.15</v>
      </c>
      <c r="C19" s="37">
        <v>15</v>
      </c>
      <c r="D19" s="38">
        <f>SUM(J11:K11)*20</f>
        <v>12</v>
      </c>
      <c r="E19" s="39">
        <f t="shared" si="1"/>
        <v>4</v>
      </c>
      <c r="F19" s="25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5" t="s">
        <v>207</v>
      </c>
      <c r="B20" s="36">
        <v>0.2</v>
      </c>
      <c r="C20" s="37">
        <v>20</v>
      </c>
      <c r="D20" s="38">
        <f>SUM(L11:Q11)*20</f>
        <v>10.66</v>
      </c>
      <c r="E20" s="39">
        <f t="shared" si="1"/>
        <v>2.665</v>
      </c>
      <c r="F20" s="25" t="str">
        <f>IF(D20&gt;=16, "พร้อมระดับสูง (High)", IF(D20&gt;=12, "ปานกลาง (Medium)", "เสี่ยงวิกฤต (Critical)"))</f>
        <v>เสี่ยงวิกฤต (Critical)</v>
      </c>
    </row>
    <row r="21" spans="1:6" ht="22" customHeight="1">
      <c r="A21" s="35" t="s">
        <v>208</v>
      </c>
      <c r="B21" s="36">
        <v>0.15</v>
      </c>
      <c r="C21" s="37">
        <v>15</v>
      </c>
      <c r="D21" s="38">
        <f>SUM(R11:S11)*20</f>
        <v>9</v>
      </c>
      <c r="E21" s="39">
        <f t="shared" si="1"/>
        <v>3</v>
      </c>
      <c r="F21" s="25" t="str">
        <f>IF(D21&gt;=12, "พร้อมระดับสูง (High)", IF(D21&gt;=9, "ปานกลาง (Medium)", "เสี่ยงวิกฤต (Critical)"))</f>
        <v>ปานกลาง (Medium)</v>
      </c>
    </row>
    <row r="22" spans="1:6" ht="22" customHeight="1">
      <c r="A22" s="35" t="s">
        <v>209</v>
      </c>
      <c r="B22" s="36">
        <v>0.1</v>
      </c>
      <c r="C22" s="37">
        <v>10</v>
      </c>
      <c r="D22" s="38">
        <f>SUM(T11:V11)*20</f>
        <v>9.3339999999999996</v>
      </c>
      <c r="E22" s="39">
        <f t="shared" si="1"/>
        <v>4.6669999999999998</v>
      </c>
      <c r="F22" s="25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40" t="s">
        <v>210</v>
      </c>
      <c r="B23" s="31">
        <f>SUM(B17:B22)</f>
        <v>1</v>
      </c>
      <c r="C23" s="41">
        <f>SUM(C17:C22)</f>
        <v>100</v>
      </c>
      <c r="D23" s="42">
        <f>SUM(D17:D22)</f>
        <v>66.328000000000003</v>
      </c>
      <c r="E23" s="32">
        <f t="shared" si="1"/>
        <v>3.3163999999999998</v>
      </c>
      <c r="F23" s="43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9" t="s">
        <v>211</v>
      </c>
    </row>
    <row r="26" spans="1:6" ht="22" customHeight="1">
      <c r="A26" s="20" t="s">
        <v>212</v>
      </c>
    </row>
    <row r="27" spans="1:6" ht="24" customHeight="1">
      <c r="A27" s="44" t="s">
        <v>213</v>
      </c>
      <c r="B27" s="44" t="s">
        <v>214</v>
      </c>
      <c r="C27" s="44" t="s">
        <v>215</v>
      </c>
      <c r="D27" s="44" t="s">
        <v>216</v>
      </c>
      <c r="E27" s="44" t="s">
        <v>217</v>
      </c>
      <c r="F27" s="44" t="s">
        <v>218</v>
      </c>
    </row>
    <row r="28" spans="1:6" ht="95.05" customHeight="1">
      <c r="A28" s="45" t="s">
        <v>219</v>
      </c>
      <c r="B28" s="46">
        <v>6.5</v>
      </c>
      <c r="C28" s="26" t="s">
        <v>357</v>
      </c>
      <c r="D28" s="26" t="s">
        <v>358</v>
      </c>
      <c r="E28" s="26" t="s">
        <v>359</v>
      </c>
      <c r="F28" s="26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8"/>
  <sheetViews>
    <sheetView workbookViewId="0"/>
  </sheetViews>
  <sheetFormatPr defaultRowHeight="14.6"/>
  <cols>
    <col min="1" max="1" width="38" customWidth="1"/>
    <col min="2" max="23" width="36" customWidth="1"/>
  </cols>
  <sheetData>
    <row r="1" spans="1:23" ht="19.3">
      <c r="A1" s="19" t="s">
        <v>360</v>
      </c>
    </row>
    <row r="2" spans="1:23" ht="15">
      <c r="A2" s="20" t="s">
        <v>49</v>
      </c>
    </row>
    <row r="4" spans="1:23" ht="24" customHeight="1">
      <c r="A4" s="21" t="s">
        <v>50</v>
      </c>
      <c r="B4" s="22" t="s">
        <v>51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2" t="s">
        <v>64</v>
      </c>
      <c r="P4" s="22" t="s">
        <v>65</v>
      </c>
      <c r="Q4" s="22" t="s">
        <v>66</v>
      </c>
      <c r="R4" s="22" t="s">
        <v>67</v>
      </c>
      <c r="S4" s="22" t="s">
        <v>68</v>
      </c>
      <c r="T4" s="22" t="s">
        <v>69</v>
      </c>
      <c r="U4" s="22" t="s">
        <v>70</v>
      </c>
      <c r="V4" s="22" t="s">
        <v>71</v>
      </c>
      <c r="W4" s="22" t="s">
        <v>72</v>
      </c>
    </row>
    <row r="5" spans="1:23" ht="24" customHeight="1">
      <c r="A5" s="23" t="s">
        <v>73</v>
      </c>
      <c r="B5" s="24" t="s">
        <v>74</v>
      </c>
      <c r="C5" s="24" t="s">
        <v>74</v>
      </c>
      <c r="D5" s="24" t="s">
        <v>74</v>
      </c>
      <c r="E5" s="24" t="s">
        <v>74</v>
      </c>
      <c r="F5" s="24" t="s">
        <v>74</v>
      </c>
      <c r="G5" s="24" t="s">
        <v>75</v>
      </c>
      <c r="H5" s="24" t="s">
        <v>75</v>
      </c>
      <c r="I5" s="24" t="s">
        <v>75</v>
      </c>
      <c r="J5" s="24" t="s">
        <v>76</v>
      </c>
      <c r="K5" s="24" t="s">
        <v>76</v>
      </c>
      <c r="L5" s="24" t="s">
        <v>77</v>
      </c>
      <c r="M5" s="24" t="s">
        <v>77</v>
      </c>
      <c r="N5" s="24" t="s">
        <v>77</v>
      </c>
      <c r="O5" s="24" t="s">
        <v>77</v>
      </c>
      <c r="P5" s="24" t="s">
        <v>77</v>
      </c>
      <c r="Q5" s="24" t="s">
        <v>77</v>
      </c>
      <c r="R5" s="24" t="s">
        <v>78</v>
      </c>
      <c r="S5" s="24" t="s">
        <v>78</v>
      </c>
      <c r="T5" s="24" t="s">
        <v>79</v>
      </c>
      <c r="U5" s="24" t="s">
        <v>79</v>
      </c>
      <c r="V5" s="24" t="s">
        <v>79</v>
      </c>
      <c r="W5" s="25" t="s">
        <v>80</v>
      </c>
    </row>
    <row r="6" spans="1:23" ht="80.05" customHeight="1">
      <c r="A6" s="23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6" t="s">
        <v>86</v>
      </c>
      <c r="G6" s="26" t="s">
        <v>87</v>
      </c>
      <c r="H6" s="26" t="s">
        <v>88</v>
      </c>
      <c r="I6" s="26" t="s">
        <v>89</v>
      </c>
      <c r="J6" s="26" t="s">
        <v>90</v>
      </c>
      <c r="K6" s="26" t="s">
        <v>91</v>
      </c>
      <c r="L6" s="26" t="s">
        <v>92</v>
      </c>
      <c r="M6" s="26" t="s">
        <v>93</v>
      </c>
      <c r="N6" s="26" t="s">
        <v>94</v>
      </c>
      <c r="O6" s="26" t="s">
        <v>95</v>
      </c>
      <c r="P6" s="26" t="s">
        <v>96</v>
      </c>
      <c r="Q6" s="26" t="s">
        <v>97</v>
      </c>
      <c r="R6" s="26" t="s">
        <v>98</v>
      </c>
      <c r="S6" s="26" t="s">
        <v>99</v>
      </c>
      <c r="T6" s="26" t="s">
        <v>100</v>
      </c>
      <c r="U6" s="26" t="s">
        <v>101</v>
      </c>
      <c r="V6" s="26" t="s">
        <v>102</v>
      </c>
      <c r="W6" s="27" t="s">
        <v>103</v>
      </c>
    </row>
    <row r="7" spans="1:23" ht="95.05" customHeight="1">
      <c r="A7" s="23" t="s">
        <v>104</v>
      </c>
      <c r="B7" s="26" t="s">
        <v>105</v>
      </c>
      <c r="C7" s="26" t="s">
        <v>106</v>
      </c>
      <c r="D7" s="26" t="s">
        <v>107</v>
      </c>
      <c r="E7" s="26" t="s">
        <v>108</v>
      </c>
      <c r="F7" s="26" t="s">
        <v>109</v>
      </c>
      <c r="G7" s="26" t="s">
        <v>110</v>
      </c>
      <c r="H7" s="26" t="s">
        <v>111</v>
      </c>
      <c r="I7" s="26" t="s">
        <v>112</v>
      </c>
      <c r="J7" s="26" t="s">
        <v>113</v>
      </c>
      <c r="K7" s="26" t="s">
        <v>114</v>
      </c>
      <c r="L7" s="26" t="s">
        <v>115</v>
      </c>
      <c r="M7" s="26" t="s">
        <v>116</v>
      </c>
      <c r="N7" s="26" t="s">
        <v>117</v>
      </c>
      <c r="O7" s="26" t="s">
        <v>118</v>
      </c>
      <c r="P7" s="26" t="s">
        <v>119</v>
      </c>
      <c r="Q7" s="26" t="s">
        <v>120</v>
      </c>
      <c r="R7" s="26" t="s">
        <v>121</v>
      </c>
      <c r="S7" s="26" t="s">
        <v>122</v>
      </c>
      <c r="T7" s="26" t="s">
        <v>123</v>
      </c>
      <c r="U7" s="26" t="s">
        <v>124</v>
      </c>
      <c r="V7" s="26" t="s">
        <v>125</v>
      </c>
      <c r="W7" s="27" t="s">
        <v>126</v>
      </c>
    </row>
    <row r="8" spans="1:23" ht="150" customHeight="1">
      <c r="A8" s="23" t="s">
        <v>127</v>
      </c>
      <c r="B8" s="26" t="s">
        <v>128</v>
      </c>
      <c r="C8" s="26" t="s">
        <v>129</v>
      </c>
      <c r="D8" s="26" t="s">
        <v>130</v>
      </c>
      <c r="E8" s="26" t="s">
        <v>131</v>
      </c>
      <c r="F8" s="26" t="s">
        <v>132</v>
      </c>
      <c r="G8" s="26" t="s">
        <v>133</v>
      </c>
      <c r="H8" s="26" t="s">
        <v>134</v>
      </c>
      <c r="I8" s="26" t="s">
        <v>135</v>
      </c>
      <c r="J8" s="26" t="s">
        <v>136</v>
      </c>
      <c r="K8" s="26" t="s">
        <v>137</v>
      </c>
      <c r="L8" s="26" t="s">
        <v>138</v>
      </c>
      <c r="M8" s="26" t="s">
        <v>139</v>
      </c>
      <c r="N8" s="26" t="s">
        <v>140</v>
      </c>
      <c r="O8" s="26" t="s">
        <v>141</v>
      </c>
      <c r="P8" s="26" t="s">
        <v>142</v>
      </c>
      <c r="Q8" s="26" t="s">
        <v>143</v>
      </c>
      <c r="R8" s="26" t="s">
        <v>144</v>
      </c>
      <c r="S8" s="26" t="s">
        <v>145</v>
      </c>
      <c r="T8" s="26" t="s">
        <v>146</v>
      </c>
      <c r="U8" s="26" t="s">
        <v>147</v>
      </c>
      <c r="V8" s="26" t="s">
        <v>148</v>
      </c>
      <c r="W8" s="27" t="s">
        <v>149</v>
      </c>
    </row>
    <row r="9" spans="1:23" ht="36" customHeight="1">
      <c r="A9" s="28" t="s">
        <v>150</v>
      </c>
      <c r="B9" s="29">
        <v>2</v>
      </c>
      <c r="C9" s="29">
        <v>5</v>
      </c>
      <c r="D9" s="29">
        <v>4</v>
      </c>
      <c r="E9" s="29">
        <v>3</v>
      </c>
      <c r="F9" s="29">
        <v>3</v>
      </c>
      <c r="G9" s="29">
        <v>3</v>
      </c>
      <c r="H9" s="29">
        <v>4</v>
      </c>
      <c r="I9" s="29">
        <v>3</v>
      </c>
      <c r="J9" s="29">
        <v>2</v>
      </c>
      <c r="K9" s="29">
        <v>5</v>
      </c>
      <c r="L9" s="29">
        <v>2</v>
      </c>
      <c r="M9" s="29">
        <v>2</v>
      </c>
      <c r="N9" s="29">
        <v>4</v>
      </c>
      <c r="O9" s="29">
        <v>2</v>
      </c>
      <c r="P9" s="29">
        <v>2</v>
      </c>
      <c r="Q9" s="29">
        <v>4</v>
      </c>
      <c r="R9" s="29">
        <v>3</v>
      </c>
      <c r="S9" s="29">
        <v>4</v>
      </c>
      <c r="T9" s="29">
        <v>5</v>
      </c>
      <c r="U9" s="29">
        <v>4</v>
      </c>
      <c r="V9" s="29">
        <v>5</v>
      </c>
      <c r="W9" s="30">
        <f>IF(W10&gt;0, (W11/W10)*20, 0)</f>
        <v>67.938793879387958</v>
      </c>
    </row>
    <row r="10" spans="1:23" ht="22" customHeight="1">
      <c r="A10" s="23" t="s">
        <v>151</v>
      </c>
      <c r="B10" s="31">
        <v>0.04</v>
      </c>
      <c r="C10" s="31">
        <v>0.04</v>
      </c>
      <c r="D10" s="31">
        <v>0.04</v>
      </c>
      <c r="E10" s="31">
        <v>0.04</v>
      </c>
      <c r="F10" s="31">
        <v>0.04</v>
      </c>
      <c r="G10" s="31">
        <v>6.6699999999999995E-2</v>
      </c>
      <c r="H10" s="31">
        <v>6.6699999999999995E-2</v>
      </c>
      <c r="I10" s="31">
        <v>6.6600000000000006E-2</v>
      </c>
      <c r="J10" s="31">
        <v>7.4999999999999997E-2</v>
      </c>
      <c r="K10" s="31">
        <v>7.4999999999999997E-2</v>
      </c>
      <c r="L10" s="31">
        <v>3.3300000000000003E-2</v>
      </c>
      <c r="M10" s="31">
        <v>3.3300000000000003E-2</v>
      </c>
      <c r="N10" s="31">
        <v>3.3300000000000003E-2</v>
      </c>
      <c r="O10" s="31">
        <v>3.3300000000000003E-2</v>
      </c>
      <c r="P10" s="31">
        <v>3.3300000000000003E-2</v>
      </c>
      <c r="Q10" s="31">
        <v>3.3399999999999999E-2</v>
      </c>
      <c r="R10" s="31">
        <v>7.4999999999999997E-2</v>
      </c>
      <c r="S10" s="31">
        <v>7.4999999999999997E-2</v>
      </c>
      <c r="T10" s="31">
        <v>3.3300000000000003E-2</v>
      </c>
      <c r="U10" s="31">
        <v>3.3300000000000003E-2</v>
      </c>
      <c r="V10" s="31">
        <v>3.3399999999999999E-2</v>
      </c>
      <c r="W10" s="31">
        <f>SUM(B10:V10)</f>
        <v>0.99989999999999979</v>
      </c>
    </row>
    <row r="11" spans="1:23" ht="24" customHeight="1">
      <c r="A11" s="23" t="s">
        <v>152</v>
      </c>
      <c r="B11" s="32">
        <f t="shared" ref="B11:V11" si="0">B9*B10</f>
        <v>0.08</v>
      </c>
      <c r="C11" s="32">
        <f t="shared" si="0"/>
        <v>0.2</v>
      </c>
      <c r="D11" s="32">
        <f t="shared" si="0"/>
        <v>0.16</v>
      </c>
      <c r="E11" s="32">
        <f t="shared" si="0"/>
        <v>0.12</v>
      </c>
      <c r="F11" s="32">
        <f t="shared" si="0"/>
        <v>0.12</v>
      </c>
      <c r="G11" s="32">
        <f t="shared" si="0"/>
        <v>0.2001</v>
      </c>
      <c r="H11" s="32">
        <f t="shared" si="0"/>
        <v>0.26679999999999998</v>
      </c>
      <c r="I11" s="32">
        <f t="shared" si="0"/>
        <v>0.19980000000000003</v>
      </c>
      <c r="J11" s="32">
        <f t="shared" si="0"/>
        <v>0.15</v>
      </c>
      <c r="K11" s="32">
        <f t="shared" si="0"/>
        <v>0.375</v>
      </c>
      <c r="L11" s="32">
        <f t="shared" si="0"/>
        <v>6.6600000000000006E-2</v>
      </c>
      <c r="M11" s="32">
        <f t="shared" si="0"/>
        <v>6.6600000000000006E-2</v>
      </c>
      <c r="N11" s="32">
        <f t="shared" si="0"/>
        <v>0.13320000000000001</v>
      </c>
      <c r="O11" s="32">
        <f t="shared" si="0"/>
        <v>6.6600000000000006E-2</v>
      </c>
      <c r="P11" s="32">
        <f t="shared" si="0"/>
        <v>6.6600000000000006E-2</v>
      </c>
      <c r="Q11" s="32">
        <f t="shared" si="0"/>
        <v>0.1336</v>
      </c>
      <c r="R11" s="32">
        <f t="shared" si="0"/>
        <v>0.22499999999999998</v>
      </c>
      <c r="S11" s="32">
        <f t="shared" si="0"/>
        <v>0.3</v>
      </c>
      <c r="T11" s="32">
        <f t="shared" si="0"/>
        <v>0.16650000000000001</v>
      </c>
      <c r="U11" s="32">
        <f t="shared" si="0"/>
        <v>0.13320000000000001</v>
      </c>
      <c r="V11" s="32">
        <f t="shared" si="0"/>
        <v>0.16699999999999998</v>
      </c>
      <c r="W11" s="32">
        <f>SUM(B11:V11)</f>
        <v>3.3966000000000003</v>
      </c>
    </row>
    <row r="12" spans="1:23" ht="115" customHeight="1">
      <c r="A12" s="23" t="s">
        <v>153</v>
      </c>
      <c r="B12" s="26" t="s">
        <v>361</v>
      </c>
      <c r="C12" s="26" t="s">
        <v>362</v>
      </c>
      <c r="D12" s="26" t="s">
        <v>363</v>
      </c>
      <c r="E12" s="26" t="s">
        <v>364</v>
      </c>
      <c r="F12" s="26" t="s">
        <v>365</v>
      </c>
      <c r="G12" s="26" t="s">
        <v>366</v>
      </c>
      <c r="H12" s="26" t="s">
        <v>367</v>
      </c>
      <c r="I12" s="26" t="s">
        <v>368</v>
      </c>
      <c r="J12" s="26" t="s">
        <v>369</v>
      </c>
      <c r="K12" s="26" t="s">
        <v>370</v>
      </c>
      <c r="L12" s="26" t="s">
        <v>371</v>
      </c>
      <c r="M12" s="26" t="s">
        <v>372</v>
      </c>
      <c r="N12" s="26" t="s">
        <v>373</v>
      </c>
      <c r="O12" s="26" t="s">
        <v>374</v>
      </c>
      <c r="P12" s="26" t="s">
        <v>375</v>
      </c>
      <c r="Q12" s="26" t="s">
        <v>376</v>
      </c>
      <c r="R12" s="26" t="s">
        <v>377</v>
      </c>
      <c r="S12" s="26" t="s">
        <v>378</v>
      </c>
      <c r="T12" s="26" t="s">
        <v>379</v>
      </c>
      <c r="U12" s="26" t="s">
        <v>380</v>
      </c>
      <c r="V12" s="26" t="s">
        <v>381</v>
      </c>
      <c r="W12" s="33" t="str">
        <f>IF(MIN(B9:V9)=1, "VETOED / ตกเกณฑ์ข้อบังคับวิกฤต (คะแนนระดับ 1)", IF(W9&gt;=80, "ผ่านเกณฑ์ระดับสูง (HIGHLY VIABLE)", IF(W9&gt;=60,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3" ht="70" customHeight="1">
      <c r="A13" s="23" t="s">
        <v>175</v>
      </c>
      <c r="B13" s="26" t="s">
        <v>382</v>
      </c>
      <c r="C13" s="26" t="s">
        <v>383</v>
      </c>
      <c r="D13" s="26" t="s">
        <v>384</v>
      </c>
      <c r="E13" s="26" t="s">
        <v>385</v>
      </c>
      <c r="F13" s="26" t="s">
        <v>386</v>
      </c>
      <c r="G13" s="26" t="s">
        <v>387</v>
      </c>
      <c r="H13" s="26" t="s">
        <v>384</v>
      </c>
      <c r="I13" s="26" t="s">
        <v>388</v>
      </c>
      <c r="J13" s="26" t="s">
        <v>389</v>
      </c>
      <c r="K13" s="26" t="s">
        <v>383</v>
      </c>
      <c r="L13" s="26" t="s">
        <v>390</v>
      </c>
      <c r="M13" s="26" t="s">
        <v>391</v>
      </c>
      <c r="N13" s="26" t="s">
        <v>392</v>
      </c>
      <c r="O13" s="26" t="s">
        <v>393</v>
      </c>
      <c r="P13" s="26" t="s">
        <v>394</v>
      </c>
      <c r="Q13" s="26" t="s">
        <v>395</v>
      </c>
      <c r="R13" s="26" t="s">
        <v>396</v>
      </c>
      <c r="S13" s="26" t="s">
        <v>397</v>
      </c>
      <c r="T13" s="26" t="s">
        <v>398</v>
      </c>
      <c r="U13" s="26" t="s">
        <v>399</v>
      </c>
      <c r="V13" s="26" t="s">
        <v>400</v>
      </c>
      <c r="W13" s="25" t="s">
        <v>197</v>
      </c>
    </row>
    <row r="14" spans="1:23" ht="15" customHeight="1"/>
    <row r="15" spans="1:23" ht="26.05" customHeight="1">
      <c r="A15" s="19" t="s">
        <v>198</v>
      </c>
    </row>
    <row r="16" spans="1:23" ht="24" customHeight="1">
      <c r="A16" s="34" t="s">
        <v>73</v>
      </c>
      <c r="B16" s="34" t="s">
        <v>199</v>
      </c>
      <c r="C16" s="34" t="s">
        <v>200</v>
      </c>
      <c r="D16" s="34" t="s">
        <v>201</v>
      </c>
      <c r="E16" s="34" t="s">
        <v>202</v>
      </c>
      <c r="F16" s="34" t="s">
        <v>203</v>
      </c>
    </row>
    <row r="17" spans="1:6" ht="22" customHeight="1">
      <c r="A17" s="35" t="s">
        <v>204</v>
      </c>
      <c r="B17" s="36">
        <v>0.2</v>
      </c>
      <c r="C17" s="37">
        <v>20</v>
      </c>
      <c r="D17" s="38">
        <f>SUM(B11:F11)*20</f>
        <v>13.600000000000001</v>
      </c>
      <c r="E17" s="39">
        <f t="shared" ref="E17:E23" si="1">IF(C17&gt;0, (D17/C17)*5, 0)</f>
        <v>3.4000000000000004</v>
      </c>
      <c r="F17" s="25" t="str">
        <f>IF(D17&gt;=16, "พร้อมระดับสูง (High)", IF(D17&gt;=12, "ปานกลาง (Medium)", "เสี่ยงวิกฤต (Critical)"))</f>
        <v>ปานกลาง (Medium)</v>
      </c>
    </row>
    <row r="18" spans="1:6" ht="22" customHeight="1">
      <c r="A18" s="35" t="s">
        <v>205</v>
      </c>
      <c r="B18" s="36">
        <v>0.2</v>
      </c>
      <c r="C18" s="37">
        <v>20</v>
      </c>
      <c r="D18" s="38">
        <f>SUM(G11:I11)*20</f>
        <v>13.334000000000001</v>
      </c>
      <c r="E18" s="39">
        <f t="shared" si="1"/>
        <v>3.3335000000000004</v>
      </c>
      <c r="F18" s="25" t="str">
        <f>IF(D18&gt;=16, "พร้อมระดับสูง (High)", IF(D18&gt;=12, "ปานกลาง (Medium)", "เสี่ยงวิกฤต (Critical)"))</f>
        <v>ปานกลาง (Medium)</v>
      </c>
    </row>
    <row r="19" spans="1:6" ht="22" customHeight="1">
      <c r="A19" s="35" t="s">
        <v>206</v>
      </c>
      <c r="B19" s="36">
        <v>0.15</v>
      </c>
      <c r="C19" s="37">
        <v>15</v>
      </c>
      <c r="D19" s="38">
        <f>SUM(J11:K11)*20</f>
        <v>10.5</v>
      </c>
      <c r="E19" s="39">
        <f t="shared" si="1"/>
        <v>3.5</v>
      </c>
      <c r="F19" s="25" t="str">
        <f>IF(D19&gt;=12, "พร้อมระดับสูง (High)", IF(D19&gt;=9, "ปานกลาง (Medium)", "เสี่ยงวิกฤต (Critical)"))</f>
        <v>ปานกลาง (Medium)</v>
      </c>
    </row>
    <row r="20" spans="1:6" ht="22" customHeight="1">
      <c r="A20" s="35" t="s">
        <v>207</v>
      </c>
      <c r="B20" s="36">
        <v>0.2</v>
      </c>
      <c r="C20" s="37">
        <v>20</v>
      </c>
      <c r="D20" s="38">
        <f>SUM(L11:Q11)*20</f>
        <v>10.664</v>
      </c>
      <c r="E20" s="39">
        <f t="shared" si="1"/>
        <v>2.6659999999999999</v>
      </c>
      <c r="F20" s="25" t="str">
        <f>IF(D20&gt;=16, "พร้อมระดับสูง (High)", IF(D20&gt;=12, "ปานกลาง (Medium)", "เสี่ยงวิกฤต (Critical)"))</f>
        <v>เสี่ยงวิกฤต (Critical)</v>
      </c>
    </row>
    <row r="21" spans="1:6" ht="22" customHeight="1">
      <c r="A21" s="35" t="s">
        <v>208</v>
      </c>
      <c r="B21" s="36">
        <v>0.15</v>
      </c>
      <c r="C21" s="37">
        <v>15</v>
      </c>
      <c r="D21" s="38">
        <f>SUM(R11:S11)*20</f>
        <v>10.499999999999998</v>
      </c>
      <c r="E21" s="39">
        <f t="shared" si="1"/>
        <v>3.4999999999999991</v>
      </c>
      <c r="F21" s="25" t="str">
        <f>IF(D21&gt;=12, "พร้อมระดับสูง (High)", IF(D21&gt;=9, "ปานกลาง (Medium)", "เสี่ยงวิกฤต (Critical)"))</f>
        <v>ปานกลาง (Medium)</v>
      </c>
    </row>
    <row r="22" spans="1:6" ht="22" customHeight="1">
      <c r="A22" s="35" t="s">
        <v>209</v>
      </c>
      <c r="B22" s="36">
        <v>0.1</v>
      </c>
      <c r="C22" s="37">
        <v>10</v>
      </c>
      <c r="D22" s="38">
        <f>SUM(T11:V11)*20</f>
        <v>9.3339999999999996</v>
      </c>
      <c r="E22" s="39">
        <f t="shared" si="1"/>
        <v>4.6669999999999998</v>
      </c>
      <c r="F22" s="25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40" t="s">
        <v>210</v>
      </c>
      <c r="B23" s="31">
        <f>SUM(B17:B22)</f>
        <v>1</v>
      </c>
      <c r="C23" s="41">
        <f>SUM(C17:C22)</f>
        <v>100</v>
      </c>
      <c r="D23" s="42">
        <f>SUM(D17:D22)</f>
        <v>67.932000000000002</v>
      </c>
      <c r="E23" s="32">
        <f t="shared" si="1"/>
        <v>3.3966000000000003</v>
      </c>
      <c r="F23" s="43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9" t="s">
        <v>211</v>
      </c>
    </row>
    <row r="26" spans="1:6" ht="22" customHeight="1">
      <c r="A26" s="20" t="s">
        <v>212</v>
      </c>
    </row>
    <row r="27" spans="1:6" ht="24" customHeight="1">
      <c r="A27" s="44" t="s">
        <v>213</v>
      </c>
      <c r="B27" s="44" t="s">
        <v>214</v>
      </c>
      <c r="C27" s="44" t="s">
        <v>215</v>
      </c>
      <c r="D27" s="44" t="s">
        <v>216</v>
      </c>
      <c r="E27" s="44" t="s">
        <v>217</v>
      </c>
      <c r="F27" s="44" t="s">
        <v>218</v>
      </c>
    </row>
    <row r="28" spans="1:6" ht="95.05" customHeight="1">
      <c r="A28" s="45" t="s">
        <v>219</v>
      </c>
      <c r="B28" s="46">
        <v>9</v>
      </c>
      <c r="C28" s="26" t="s">
        <v>401</v>
      </c>
      <c r="D28" s="26" t="s">
        <v>402</v>
      </c>
      <c r="E28" s="26" t="s">
        <v>403</v>
      </c>
      <c r="F28" s="2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เปรียบเทียบทุก Solution</vt:lpstr>
      <vt:lpstr>Solution-1</vt:lpstr>
      <vt:lpstr>Solution-2</vt:lpstr>
      <vt:lpstr>Solution-3</vt:lpstr>
      <vt:lpstr>Solution-4</vt:lpstr>
      <vt:lpstr>Solution-5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PIRAKARN YOU</cp:lastModifiedBy>
  <dcterms:created xsi:type="dcterms:W3CDTF">2026-09-24T08:58:24Z</dcterms:created>
  <dcterms:modified xsi:type="dcterms:W3CDTF">2026-09-26T07:27:32Z</dcterms:modified>
</cp:coreProperties>
</file>